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진진\Desktop\"/>
    </mc:Choice>
  </mc:AlternateContent>
  <xr:revisionPtr revIDLastSave="0" documentId="13_ncr:1_{3CC7A9FB-4A32-49F7-B98D-F6E5441C9573}" xr6:coauthVersionLast="47" xr6:coauthVersionMax="47" xr10:uidLastSave="{00000000-0000-0000-0000-000000000000}"/>
  <bookViews>
    <workbookView xWindow="-120" yWindow="-120" windowWidth="29040" windowHeight="15840" activeTab="10" xr2:uid="{BE39892A-29C9-438B-AF8A-01B79B5C38C2}"/>
  </bookViews>
  <sheets>
    <sheet name="1월" sheetId="1" r:id="rId1"/>
    <sheet name="2월" sheetId="2" r:id="rId2"/>
    <sheet name="3월" sheetId="3" r:id="rId3"/>
    <sheet name="4월" sheetId="6" r:id="rId4"/>
    <sheet name="5월" sheetId="7" r:id="rId5"/>
    <sheet name="6월" sheetId="8" r:id="rId6"/>
    <sheet name="7월" sheetId="9" r:id="rId7"/>
    <sheet name="8월" sheetId="10" r:id="rId8"/>
    <sheet name="9월" sheetId="11" r:id="rId9"/>
    <sheet name="10월" sheetId="12" r:id="rId10"/>
    <sheet name="11월" sheetId="13" r:id="rId11"/>
    <sheet name="12월" sheetId="14" r:id="rId12"/>
    <sheet name="복사본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3" l="1"/>
  <c r="D35" i="14"/>
  <c r="D37" i="14" s="1"/>
  <c r="D34" i="14"/>
  <c r="D35" i="13"/>
  <c r="D37" i="13" s="1"/>
  <c r="D34" i="13"/>
  <c r="D35" i="12"/>
  <c r="D37" i="12" s="1"/>
  <c r="D34" i="12"/>
  <c r="D35" i="11"/>
  <c r="D37" i="11" s="1"/>
  <c r="D34" i="11"/>
  <c r="D35" i="10"/>
  <c r="D37" i="10" s="1"/>
  <c r="D34" i="10"/>
  <c r="D35" i="9"/>
  <c r="D37" i="9" s="1"/>
  <c r="D34" i="9"/>
  <c r="D35" i="8"/>
  <c r="D37" i="8" s="1"/>
  <c r="D34" i="8"/>
  <c r="D35" i="7"/>
  <c r="D37" i="7" s="1"/>
  <c r="D34" i="7"/>
  <c r="D35" i="6"/>
  <c r="D37" i="6" s="1"/>
  <c r="D34" i="6"/>
  <c r="D35" i="4"/>
  <c r="D37" i="4" s="1"/>
  <c r="D34" i="4"/>
  <c r="D37" i="3"/>
  <c r="D39" i="3" s="1"/>
  <c r="D36" i="3"/>
  <c r="D37" i="2"/>
  <c r="D39" i="2" s="1"/>
  <c r="D36" i="2"/>
  <c r="D37" i="1"/>
  <c r="D39" i="1" s="1"/>
  <c r="D36" i="1"/>
</calcChain>
</file>

<file path=xl/sharedStrings.xml><?xml version="1.0" encoding="utf-8"?>
<sst xmlns="http://schemas.openxmlformats.org/spreadsheetml/2006/main" count="587" uniqueCount="60">
  <si>
    <t>미니푸드</t>
    <phoneticPr fontId="2" type="noConversion"/>
  </si>
  <si>
    <t>태성</t>
    <phoneticPr fontId="2" type="noConversion"/>
  </si>
  <si>
    <t>주류</t>
    <phoneticPr fontId="2" type="noConversion"/>
  </si>
  <si>
    <t>고성(막걸리)</t>
    <phoneticPr fontId="2" type="noConversion"/>
  </si>
  <si>
    <t>음료</t>
    <phoneticPr fontId="2" type="noConversion"/>
  </si>
  <si>
    <t>진천(야채)</t>
    <phoneticPr fontId="2" type="noConversion"/>
  </si>
  <si>
    <t>계란</t>
    <phoneticPr fontId="2" type="noConversion"/>
  </si>
  <si>
    <t>쿠팡</t>
    <phoneticPr fontId="2" type="noConversion"/>
  </si>
  <si>
    <t>가게카드</t>
    <phoneticPr fontId="2" type="noConversion"/>
  </si>
  <si>
    <t>기타</t>
    <phoneticPr fontId="2" type="noConversion"/>
  </si>
  <si>
    <t>기타 A/S</t>
    <phoneticPr fontId="2" type="noConversion"/>
  </si>
  <si>
    <t>임대료</t>
    <phoneticPr fontId="2" type="noConversion"/>
  </si>
  <si>
    <t>아이스크림</t>
    <phoneticPr fontId="2" type="noConversion"/>
  </si>
  <si>
    <t>캡스(cctv)</t>
    <phoneticPr fontId="2" type="noConversion"/>
  </si>
  <si>
    <t>인터넷전화</t>
    <phoneticPr fontId="2" type="noConversion"/>
  </si>
  <si>
    <t>정수기</t>
    <phoneticPr fontId="2" type="noConversion"/>
  </si>
  <si>
    <t>포스기</t>
    <phoneticPr fontId="2" type="noConversion"/>
  </si>
  <si>
    <t>로열티</t>
    <phoneticPr fontId="2" type="noConversion"/>
  </si>
  <si>
    <t>세무사</t>
    <phoneticPr fontId="2" type="noConversion"/>
  </si>
  <si>
    <t>화재보험</t>
    <phoneticPr fontId="2" type="noConversion"/>
  </si>
  <si>
    <t>매트(월 2회)</t>
    <phoneticPr fontId="2" type="noConversion"/>
  </si>
  <si>
    <t>해충방역</t>
    <phoneticPr fontId="2" type="noConversion"/>
  </si>
  <si>
    <t>청소</t>
    <phoneticPr fontId="2" type="noConversion"/>
  </si>
  <si>
    <t>부가세</t>
    <phoneticPr fontId="2" type="noConversion"/>
  </si>
  <si>
    <t>세금</t>
    <phoneticPr fontId="2" type="noConversion"/>
  </si>
  <si>
    <t>꾸인</t>
    <phoneticPr fontId="2" type="noConversion"/>
  </si>
  <si>
    <t>티엔</t>
    <phoneticPr fontId="2" type="noConversion"/>
  </si>
  <si>
    <t>휘엔</t>
    <phoneticPr fontId="2" type="noConversion"/>
  </si>
  <si>
    <t>지엔</t>
    <phoneticPr fontId="2" type="noConversion"/>
  </si>
  <si>
    <t>예승</t>
    <phoneticPr fontId="2" type="noConversion"/>
  </si>
  <si>
    <t>인건비</t>
    <phoneticPr fontId="2" type="noConversion"/>
  </si>
  <si>
    <t>연 4회</t>
    <phoneticPr fontId="2" type="noConversion"/>
  </si>
  <si>
    <t>식자재 및 주류, 음료 등</t>
    <phoneticPr fontId="2" type="noConversion"/>
  </si>
  <si>
    <t>음식물 처리비</t>
    <phoneticPr fontId="2" type="noConversion"/>
  </si>
  <si>
    <t>고정비</t>
    <phoneticPr fontId="2" type="noConversion"/>
  </si>
  <si>
    <t>여유비용</t>
    <phoneticPr fontId="2" type="noConversion"/>
  </si>
  <si>
    <t>튀김기 A/S</t>
    <phoneticPr fontId="2" type="noConversion"/>
  </si>
  <si>
    <t>시럽, 골뱅이, 우유 등</t>
    <phoneticPr fontId="2" type="noConversion"/>
  </si>
  <si>
    <t>다이소, 만물상회 등</t>
    <phoneticPr fontId="2" type="noConversion"/>
  </si>
  <si>
    <t>총 매출</t>
    <phoneticPr fontId="2" type="noConversion"/>
  </si>
  <si>
    <t>총 비용</t>
    <phoneticPr fontId="2" type="noConversion"/>
  </si>
  <si>
    <t>이익 잉여금</t>
    <phoneticPr fontId="2" type="noConversion"/>
  </si>
  <si>
    <t>총 인건비</t>
    <phoneticPr fontId="2" type="noConversion"/>
  </si>
  <si>
    <t>퇴사</t>
    <phoneticPr fontId="2" type="noConversion"/>
  </si>
  <si>
    <t>2025.0X</t>
    <phoneticPr fontId="2" type="noConversion"/>
  </si>
  <si>
    <t>수도</t>
    <phoneticPr fontId="2" type="noConversion"/>
  </si>
  <si>
    <t>전기</t>
    <phoneticPr fontId="2" type="noConversion"/>
  </si>
  <si>
    <t>가스</t>
    <phoneticPr fontId="2" type="noConversion"/>
  </si>
  <si>
    <t>공과금</t>
    <phoneticPr fontId="2" type="noConversion"/>
  </si>
  <si>
    <t>찌</t>
    <phoneticPr fontId="2" type="noConversion"/>
  </si>
  <si>
    <t>종합소득세 연 1회</t>
    <phoneticPr fontId="2" type="noConversion"/>
  </si>
  <si>
    <t>식기세척기 A/S</t>
    <phoneticPr fontId="2" type="noConversion"/>
  </si>
  <si>
    <t>냉동실 A/S</t>
    <phoneticPr fontId="2" type="noConversion"/>
  </si>
  <si>
    <t>주방 A/S</t>
    <phoneticPr fontId="2" type="noConversion"/>
  </si>
  <si>
    <t>앞접시, 컵</t>
    <phoneticPr fontId="2" type="noConversion"/>
  </si>
  <si>
    <t>가게 호출벨 20개</t>
    <phoneticPr fontId="2" type="noConversion"/>
  </si>
  <si>
    <t>임시</t>
    <phoneticPr fontId="2" type="noConversion"/>
  </si>
  <si>
    <t>1월~11월 이익잉여금</t>
    <phoneticPr fontId="2" type="noConversion"/>
  </si>
  <si>
    <t>2025.01</t>
    <phoneticPr fontId="2" type="noConversion"/>
  </si>
  <si>
    <t>2025.10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</si>
</sst>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0" fillId="0" borderId="15" xfId="0" applyNumberFormat="1" applyBorder="1">
      <alignment vertical="center"/>
    </xf>
    <xf numFmtId="0" fontId="0" fillId="0" borderId="13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>
      <alignment vertical="center"/>
    </xf>
    <xf numFmtId="176" fontId="0" fillId="0" borderId="4" xfId="0" applyNumberFormat="1" applyBorder="1" applyAlignment="1">
      <alignment horizontal="right" vertical="center"/>
    </xf>
    <xf numFmtId="176" fontId="0" fillId="0" borderId="6" xfId="0" applyNumberForma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7" fontId="0" fillId="0" borderId="7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7" fontId="0" fillId="0" borderId="8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7" fontId="0" fillId="0" borderId="4" xfId="0" applyNumberFormat="1" applyBorder="1">
      <alignment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15" xfId="0" applyNumberFormat="1" applyBorder="1">
      <alignment vertical="center"/>
    </xf>
    <xf numFmtId="177" fontId="0" fillId="0" borderId="13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>
      <alignment vertical="center"/>
    </xf>
    <xf numFmtId="177" fontId="0" fillId="0" borderId="17" xfId="0" applyNumberFormat="1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7" fontId="0" fillId="0" borderId="14" xfId="0" applyNumberForma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6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  <xf numFmtId="176" fontId="3" fillId="0" borderId="18" xfId="0" applyNumberFormat="1" applyFont="1" applyBorder="1">
      <alignment vertical="center"/>
    </xf>
    <xf numFmtId="176" fontId="3" fillId="0" borderId="4" xfId="0" applyNumberFormat="1" applyFont="1" applyBorder="1">
      <alignment vertical="center"/>
    </xf>
    <xf numFmtId="176" fontId="3" fillId="0" borderId="15" xfId="0" applyNumberFormat="1" applyFont="1" applyBorder="1">
      <alignment vertical="center"/>
    </xf>
    <xf numFmtId="176" fontId="3" fillId="0" borderId="4" xfId="0" applyNumberFormat="1" applyFont="1" applyBorder="1" applyAlignment="1">
      <alignment horizontal="right" vertical="center"/>
    </xf>
    <xf numFmtId="177" fontId="3" fillId="0" borderId="4" xfId="0" applyNumberFormat="1" applyFont="1" applyBorder="1">
      <alignment vertical="center"/>
    </xf>
    <xf numFmtId="177" fontId="3" fillId="0" borderId="6" xfId="0" applyNumberFormat="1" applyFont="1" applyBorder="1">
      <alignment vertical="center"/>
    </xf>
    <xf numFmtId="176" fontId="4" fillId="0" borderId="4" xfId="0" applyNumberFormat="1" applyFont="1" applyBorder="1" applyAlignment="1">
      <alignment horizontal="right" vertical="center"/>
    </xf>
    <xf numFmtId="177" fontId="1" fillId="0" borderId="6" xfId="0" applyNumberFormat="1" applyFont="1" applyBorder="1">
      <alignment vertical="center"/>
    </xf>
    <xf numFmtId="177" fontId="5" fillId="0" borderId="6" xfId="0" applyNumberFormat="1" applyFont="1" applyBorder="1">
      <alignment vertical="center"/>
    </xf>
    <xf numFmtId="178" fontId="3" fillId="0" borderId="0" xfId="0" quotePrefix="1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AEFE-0FDD-4D8C-8936-FCC95D0E9973}">
  <dimension ref="A1:D39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40" customWidth="1"/>
    <col min="2" max="2" width="22.5" style="22" bestFit="1" customWidth="1"/>
    <col min="3" max="3" width="13.75" style="22" bestFit="1" customWidth="1"/>
    <col min="4" max="4" width="12.875" style="22" customWidth="1"/>
    <col min="5" max="5" width="22.5" style="22" bestFit="1" customWidth="1"/>
    <col min="6" max="6" width="13.75" style="22" bestFit="1" customWidth="1"/>
    <col min="7" max="7" width="11" style="22" bestFit="1" customWidth="1"/>
    <col min="8" max="16384" width="9" style="22"/>
  </cols>
  <sheetData>
    <row r="1" spans="1:4" x14ac:dyDescent="0.3">
      <c r="A1" s="22"/>
      <c r="B1" s="59" t="s">
        <v>58</v>
      </c>
    </row>
    <row r="2" spans="1:4" ht="17.25" thickBot="1" x14ac:dyDescent="0.35">
      <c r="A2" s="22"/>
    </row>
    <row r="3" spans="1:4" x14ac:dyDescent="0.3">
      <c r="A3" s="22"/>
      <c r="B3" s="23" t="s">
        <v>32</v>
      </c>
      <c r="C3" s="24" t="s">
        <v>0</v>
      </c>
      <c r="D3" s="25">
        <v>4768810</v>
      </c>
    </row>
    <row r="4" spans="1:4" x14ac:dyDescent="0.3">
      <c r="A4" s="22"/>
      <c r="B4" s="26"/>
      <c r="C4" s="27" t="s">
        <v>1</v>
      </c>
      <c r="D4" s="28">
        <v>1613895</v>
      </c>
    </row>
    <row r="5" spans="1:4" x14ac:dyDescent="0.3">
      <c r="A5" s="22"/>
      <c r="B5" s="26"/>
      <c r="C5" s="27" t="s">
        <v>2</v>
      </c>
      <c r="D5" s="28">
        <v>1488775</v>
      </c>
    </row>
    <row r="6" spans="1:4" x14ac:dyDescent="0.3">
      <c r="A6" s="22"/>
      <c r="B6" s="26"/>
      <c r="C6" s="27" t="s">
        <v>3</v>
      </c>
      <c r="D6" s="28">
        <v>343550</v>
      </c>
    </row>
    <row r="7" spans="1:4" x14ac:dyDescent="0.3">
      <c r="A7" s="22"/>
      <c r="B7" s="26"/>
      <c r="C7" s="27" t="s">
        <v>4</v>
      </c>
      <c r="D7" s="28">
        <v>195500</v>
      </c>
    </row>
    <row r="8" spans="1:4" x14ac:dyDescent="0.3">
      <c r="A8" s="22"/>
      <c r="B8" s="26"/>
      <c r="C8" s="27" t="s">
        <v>5</v>
      </c>
      <c r="D8" s="28">
        <v>57000</v>
      </c>
    </row>
    <row r="9" spans="1:4" x14ac:dyDescent="0.3">
      <c r="A9" s="22"/>
      <c r="B9" s="26"/>
      <c r="C9" s="27" t="s">
        <v>6</v>
      </c>
      <c r="D9" s="28">
        <v>79800</v>
      </c>
    </row>
    <row r="10" spans="1:4" x14ac:dyDescent="0.3">
      <c r="A10" s="22"/>
      <c r="B10" s="29"/>
      <c r="C10" s="30" t="s">
        <v>12</v>
      </c>
      <c r="D10" s="31">
        <v>47800</v>
      </c>
    </row>
    <row r="11" spans="1:4" x14ac:dyDescent="0.3">
      <c r="A11" s="22"/>
      <c r="B11" s="32" t="s">
        <v>37</v>
      </c>
      <c r="C11" s="30" t="s">
        <v>7</v>
      </c>
      <c r="D11" s="31">
        <v>261400</v>
      </c>
    </row>
    <row r="12" spans="1:4" x14ac:dyDescent="0.3">
      <c r="A12" s="22"/>
      <c r="B12" s="32" t="s">
        <v>38</v>
      </c>
      <c r="C12" s="30" t="s">
        <v>8</v>
      </c>
      <c r="D12" s="31">
        <v>45000</v>
      </c>
    </row>
    <row r="13" spans="1:4" x14ac:dyDescent="0.3">
      <c r="A13" s="22"/>
      <c r="B13" s="32" t="s">
        <v>36</v>
      </c>
      <c r="C13" s="30" t="s">
        <v>10</v>
      </c>
      <c r="D13" s="31">
        <v>60000</v>
      </c>
    </row>
    <row r="14" spans="1:4" x14ac:dyDescent="0.3">
      <c r="A14" s="22"/>
      <c r="B14" s="33"/>
      <c r="C14" s="27" t="s">
        <v>33</v>
      </c>
      <c r="D14" s="28">
        <v>92400</v>
      </c>
    </row>
    <row r="15" spans="1:4" x14ac:dyDescent="0.3">
      <c r="A15" s="22"/>
      <c r="B15" s="34" t="s">
        <v>34</v>
      </c>
      <c r="C15" s="35" t="s">
        <v>11</v>
      </c>
      <c r="D15" s="36">
        <v>2310000</v>
      </c>
    </row>
    <row r="16" spans="1:4" x14ac:dyDescent="0.3">
      <c r="A16" s="22"/>
      <c r="B16" s="26"/>
      <c r="C16" s="27" t="s">
        <v>13</v>
      </c>
      <c r="D16" s="28">
        <v>63800</v>
      </c>
    </row>
    <row r="17" spans="1:4" x14ac:dyDescent="0.3">
      <c r="A17" s="22"/>
      <c r="B17" s="26"/>
      <c r="C17" s="27" t="s">
        <v>14</v>
      </c>
      <c r="D17" s="28">
        <v>36460</v>
      </c>
    </row>
    <row r="18" spans="1:4" x14ac:dyDescent="0.3">
      <c r="A18" s="22"/>
      <c r="B18" s="26"/>
      <c r="C18" s="27" t="s">
        <v>15</v>
      </c>
      <c r="D18" s="28">
        <v>19900</v>
      </c>
    </row>
    <row r="19" spans="1:4" x14ac:dyDescent="0.3">
      <c r="A19" s="22"/>
      <c r="B19" s="26"/>
      <c r="C19" s="27" t="s">
        <v>16</v>
      </c>
      <c r="D19" s="28">
        <v>70000</v>
      </c>
    </row>
    <row r="20" spans="1:4" x14ac:dyDescent="0.3">
      <c r="A20" s="22"/>
      <c r="B20" s="26"/>
      <c r="C20" s="27" t="s">
        <v>17</v>
      </c>
      <c r="D20" s="28">
        <v>330000</v>
      </c>
    </row>
    <row r="21" spans="1:4" x14ac:dyDescent="0.3">
      <c r="A21" s="22"/>
      <c r="B21" s="26"/>
      <c r="C21" s="27" t="s">
        <v>18</v>
      </c>
      <c r="D21" s="28">
        <v>77000</v>
      </c>
    </row>
    <row r="22" spans="1:4" x14ac:dyDescent="0.3">
      <c r="A22" s="22"/>
      <c r="B22" s="26"/>
      <c r="C22" s="27" t="s">
        <v>19</v>
      </c>
      <c r="D22" s="28">
        <v>30000</v>
      </c>
    </row>
    <row r="23" spans="1:4" x14ac:dyDescent="0.3">
      <c r="A23" s="22"/>
      <c r="B23" s="26"/>
      <c r="C23" s="27" t="s">
        <v>20</v>
      </c>
      <c r="D23" s="28">
        <v>12000</v>
      </c>
    </row>
    <row r="24" spans="1:4" x14ac:dyDescent="0.3">
      <c r="A24" s="22"/>
      <c r="B24" s="34" t="s">
        <v>48</v>
      </c>
      <c r="C24" s="37" t="s">
        <v>45</v>
      </c>
      <c r="D24" s="36">
        <v>236880</v>
      </c>
    </row>
    <row r="25" spans="1:4" x14ac:dyDescent="0.3">
      <c r="A25" s="22"/>
      <c r="B25" s="26"/>
      <c r="C25" s="38" t="s">
        <v>46</v>
      </c>
      <c r="D25" s="28">
        <v>634590</v>
      </c>
    </row>
    <row r="26" spans="1:4" x14ac:dyDescent="0.3">
      <c r="A26" s="22"/>
      <c r="B26" s="29"/>
      <c r="C26" s="39" t="s">
        <v>47</v>
      </c>
      <c r="D26" s="31">
        <v>187670</v>
      </c>
    </row>
    <row r="27" spans="1:4" x14ac:dyDescent="0.3">
      <c r="A27" s="22"/>
      <c r="B27" s="26" t="s">
        <v>35</v>
      </c>
      <c r="C27" s="27" t="s">
        <v>21</v>
      </c>
      <c r="D27" s="28">
        <v>100000</v>
      </c>
    </row>
    <row r="28" spans="1:4" x14ac:dyDescent="0.3">
      <c r="A28" s="22"/>
      <c r="B28" s="29"/>
      <c r="C28" s="30" t="s">
        <v>22</v>
      </c>
      <c r="D28" s="31">
        <v>400000</v>
      </c>
    </row>
    <row r="29" spans="1:4" x14ac:dyDescent="0.3">
      <c r="A29" s="22"/>
      <c r="B29" s="32" t="s">
        <v>31</v>
      </c>
      <c r="C29" s="30" t="s">
        <v>23</v>
      </c>
      <c r="D29" s="31">
        <v>2031850</v>
      </c>
    </row>
    <row r="30" spans="1:4" x14ac:dyDescent="0.3">
      <c r="A30" s="22"/>
      <c r="B30" s="33"/>
      <c r="C30" s="27" t="s">
        <v>24</v>
      </c>
      <c r="D30" s="28">
        <v>66000</v>
      </c>
    </row>
    <row r="31" spans="1:4" x14ac:dyDescent="0.3">
      <c r="A31" s="22"/>
      <c r="B31" s="34" t="s">
        <v>30</v>
      </c>
      <c r="C31" s="35" t="s">
        <v>25</v>
      </c>
      <c r="D31" s="36">
        <v>1750000</v>
      </c>
    </row>
    <row r="32" spans="1:4" x14ac:dyDescent="0.3">
      <c r="A32" s="22"/>
      <c r="B32" s="26"/>
      <c r="C32" s="27" t="s">
        <v>26</v>
      </c>
      <c r="D32" s="28">
        <v>2400000</v>
      </c>
    </row>
    <row r="33" spans="1:4" x14ac:dyDescent="0.3">
      <c r="A33" s="22"/>
      <c r="B33" s="26"/>
      <c r="C33" s="27" t="s">
        <v>27</v>
      </c>
      <c r="D33" s="28">
        <v>1050000</v>
      </c>
    </row>
    <row r="34" spans="1:4" x14ac:dyDescent="0.3">
      <c r="A34" s="22"/>
      <c r="B34" s="26"/>
      <c r="C34" s="27" t="s">
        <v>28</v>
      </c>
      <c r="D34" s="28">
        <v>1638100</v>
      </c>
    </row>
    <row r="35" spans="1:4" ht="17.25" thickBot="1" x14ac:dyDescent="0.35">
      <c r="B35" s="41"/>
      <c r="C35" s="42" t="s">
        <v>29</v>
      </c>
      <c r="D35" s="43">
        <v>1000000</v>
      </c>
    </row>
    <row r="36" spans="1:4" x14ac:dyDescent="0.3">
      <c r="B36" s="44" t="s">
        <v>42</v>
      </c>
      <c r="C36" s="45"/>
      <c r="D36" s="28">
        <f>SUM(D31:D35)</f>
        <v>7838100</v>
      </c>
    </row>
    <row r="37" spans="1:4" x14ac:dyDescent="0.3">
      <c r="B37" s="46" t="s">
        <v>40</v>
      </c>
      <c r="C37" s="47"/>
      <c r="D37" s="28">
        <f>SUM(D3:D35)</f>
        <v>23498180</v>
      </c>
    </row>
    <row r="38" spans="1:4" x14ac:dyDescent="0.3">
      <c r="B38" s="46" t="s">
        <v>39</v>
      </c>
      <c r="C38" s="47"/>
      <c r="D38" s="28">
        <v>26263100</v>
      </c>
    </row>
    <row r="39" spans="1:4" ht="17.25" thickBot="1" x14ac:dyDescent="0.35">
      <c r="B39" s="48" t="s">
        <v>41</v>
      </c>
      <c r="C39" s="49"/>
      <c r="D39" s="57">
        <f>D38-D37</f>
        <v>2764920</v>
      </c>
    </row>
  </sheetData>
  <mergeCells count="9">
    <mergeCell ref="B38:C38"/>
    <mergeCell ref="B39:C39"/>
    <mergeCell ref="B24:B26"/>
    <mergeCell ref="B3:B10"/>
    <mergeCell ref="B15:B23"/>
    <mergeCell ref="B27:B28"/>
    <mergeCell ref="B31:B35"/>
    <mergeCell ref="B36:C36"/>
    <mergeCell ref="B37:C37"/>
  </mergeCells>
  <phoneticPr fontId="2" type="noConversion"/>
  <pageMargins left="0.7" right="0.7" top="0.75" bottom="0.75" header="0.3" footer="0.3"/>
  <pageSetup paperSize="9" orientation="portrait" horizontalDpi="300" verticalDpi="300" r:id="rId1"/>
  <ignoredErrors>
    <ignoredError sqref="D36" formulaRange="1"/>
    <ignoredError sqref="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B2D2-CBC8-47E6-9D9F-253459B95359}">
  <dimension ref="A1:D39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  <col min="14" max="14" width="11" bestFit="1" customWidth="1"/>
  </cols>
  <sheetData>
    <row r="1" spans="1:4" x14ac:dyDescent="0.3">
      <c r="A1"/>
      <c r="B1" s="21">
        <v>2025.02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3599870</v>
      </c>
    </row>
    <row r="4" spans="1:4" x14ac:dyDescent="0.3">
      <c r="A4"/>
      <c r="B4" s="6"/>
      <c r="C4" s="10" t="s">
        <v>1</v>
      </c>
      <c r="D4" s="4">
        <v>1478390</v>
      </c>
    </row>
    <row r="5" spans="1:4" x14ac:dyDescent="0.3">
      <c r="A5"/>
      <c r="B5" s="6"/>
      <c r="C5" s="10" t="s">
        <v>2</v>
      </c>
      <c r="D5" s="4">
        <v>1791270</v>
      </c>
    </row>
    <row r="6" spans="1:4" x14ac:dyDescent="0.3">
      <c r="A6"/>
      <c r="B6" s="6"/>
      <c r="C6" s="10" t="s">
        <v>3</v>
      </c>
      <c r="D6" s="4">
        <v>211750</v>
      </c>
    </row>
    <row r="7" spans="1:4" x14ac:dyDescent="0.3">
      <c r="A7"/>
      <c r="B7" s="6"/>
      <c r="C7" s="10" t="s">
        <v>4</v>
      </c>
      <c r="D7" s="4">
        <v>236500</v>
      </c>
    </row>
    <row r="8" spans="1:4" x14ac:dyDescent="0.3">
      <c r="A8"/>
      <c r="B8" s="6"/>
      <c r="C8" s="10" t="s">
        <v>5</v>
      </c>
      <c r="D8" s="4">
        <v>120800</v>
      </c>
    </row>
    <row r="9" spans="1:4" x14ac:dyDescent="0.3">
      <c r="A9"/>
      <c r="B9" s="6"/>
      <c r="C9" s="10" t="s">
        <v>6</v>
      </c>
      <c r="D9" s="4">
        <v>100000</v>
      </c>
    </row>
    <row r="10" spans="1:4" x14ac:dyDescent="0.3">
      <c r="A10"/>
      <c r="B10" s="11"/>
      <c r="C10" s="12" t="s">
        <v>12</v>
      </c>
      <c r="D10" s="13">
        <v>48960</v>
      </c>
    </row>
    <row r="11" spans="1:4" x14ac:dyDescent="0.3">
      <c r="A11"/>
      <c r="B11" s="14" t="s">
        <v>37</v>
      </c>
      <c r="C11" s="12" t="s">
        <v>7</v>
      </c>
      <c r="D11" s="13">
        <v>39450</v>
      </c>
    </row>
    <row r="12" spans="1:4" x14ac:dyDescent="0.3">
      <c r="A12"/>
      <c r="B12" s="14" t="s">
        <v>38</v>
      </c>
      <c r="C12" s="12" t="s">
        <v>8</v>
      </c>
      <c r="D12" s="13">
        <v>106400</v>
      </c>
    </row>
    <row r="13" spans="1:4" x14ac:dyDescent="0.3">
      <c r="A13"/>
      <c r="B13" s="15" t="s">
        <v>36</v>
      </c>
      <c r="C13" s="12" t="s">
        <v>10</v>
      </c>
      <c r="D13" s="13">
        <v>0</v>
      </c>
    </row>
    <row r="14" spans="1:4" x14ac:dyDescent="0.3">
      <c r="A14"/>
      <c r="B14" s="7"/>
      <c r="C14" s="10" t="s">
        <v>33</v>
      </c>
      <c r="D14" s="4">
        <v>88550</v>
      </c>
    </row>
    <row r="15" spans="1:4" x14ac:dyDescent="0.3">
      <c r="A15"/>
      <c r="B15" s="16" t="s">
        <v>34</v>
      </c>
      <c r="C15" s="17" t="s">
        <v>11</v>
      </c>
      <c r="D15" s="18">
        <v>2310000</v>
      </c>
    </row>
    <row r="16" spans="1:4" x14ac:dyDescent="0.3">
      <c r="A16"/>
      <c r="B16" s="6"/>
      <c r="C16" s="10" t="s">
        <v>13</v>
      </c>
      <c r="D16" s="4">
        <v>63800</v>
      </c>
    </row>
    <row r="17" spans="1:4" x14ac:dyDescent="0.3">
      <c r="A17"/>
      <c r="B17" s="6"/>
      <c r="C17" s="10" t="s">
        <v>14</v>
      </c>
      <c r="D17" s="4">
        <v>36460</v>
      </c>
    </row>
    <row r="18" spans="1:4" x14ac:dyDescent="0.3">
      <c r="A18"/>
      <c r="B18" s="6"/>
      <c r="C18" s="10" t="s">
        <v>15</v>
      </c>
      <c r="D18" s="4">
        <v>19900</v>
      </c>
    </row>
    <row r="19" spans="1:4" x14ac:dyDescent="0.3">
      <c r="A19"/>
      <c r="B19" s="6"/>
      <c r="C19" s="10" t="s">
        <v>16</v>
      </c>
      <c r="D19" s="4">
        <v>70000</v>
      </c>
    </row>
    <row r="20" spans="1:4" x14ac:dyDescent="0.3">
      <c r="A20"/>
      <c r="B20" s="6"/>
      <c r="C20" s="10" t="s">
        <v>17</v>
      </c>
      <c r="D20" s="4">
        <v>330000</v>
      </c>
    </row>
    <row r="21" spans="1:4" x14ac:dyDescent="0.3">
      <c r="A21"/>
      <c r="B21" s="6"/>
      <c r="C21" s="10" t="s">
        <v>18</v>
      </c>
      <c r="D21" s="4">
        <v>77000</v>
      </c>
    </row>
    <row r="22" spans="1:4" x14ac:dyDescent="0.3">
      <c r="A22"/>
      <c r="B22" s="6"/>
      <c r="C22" s="10" t="s">
        <v>19</v>
      </c>
      <c r="D22" s="4">
        <v>30000</v>
      </c>
    </row>
    <row r="23" spans="1:4" x14ac:dyDescent="0.3">
      <c r="A23"/>
      <c r="B23" s="11"/>
      <c r="C23" s="12" t="s">
        <v>20</v>
      </c>
      <c r="D23" s="13">
        <v>12000</v>
      </c>
    </row>
    <row r="24" spans="1:4" x14ac:dyDescent="0.3">
      <c r="A24"/>
      <c r="B24" s="34" t="s">
        <v>48</v>
      </c>
      <c r="C24" s="37" t="s">
        <v>45</v>
      </c>
      <c r="D24" s="36">
        <v>0</v>
      </c>
    </row>
    <row r="25" spans="1:4" x14ac:dyDescent="0.3">
      <c r="A25"/>
      <c r="B25" s="26"/>
      <c r="C25" s="38" t="s">
        <v>46</v>
      </c>
      <c r="D25" s="28">
        <v>641520</v>
      </c>
    </row>
    <row r="26" spans="1:4" x14ac:dyDescent="0.3">
      <c r="A26"/>
      <c r="B26" s="29"/>
      <c r="C26" s="39" t="s">
        <v>47</v>
      </c>
      <c r="D26" s="31">
        <v>224520</v>
      </c>
    </row>
    <row r="27" spans="1:4" x14ac:dyDescent="0.3">
      <c r="A27"/>
      <c r="B27" s="26" t="s">
        <v>35</v>
      </c>
      <c r="C27" s="27" t="s">
        <v>21</v>
      </c>
      <c r="D27" s="4">
        <v>100000</v>
      </c>
    </row>
    <row r="28" spans="1:4" x14ac:dyDescent="0.3">
      <c r="A28"/>
      <c r="B28" s="29"/>
      <c r="C28" s="30" t="s">
        <v>22</v>
      </c>
      <c r="D28" s="13">
        <v>400000</v>
      </c>
    </row>
    <row r="29" spans="1:4" x14ac:dyDescent="0.3">
      <c r="A29"/>
      <c r="B29" s="32" t="s">
        <v>31</v>
      </c>
      <c r="C29" s="30" t="s">
        <v>23</v>
      </c>
      <c r="D29" s="13">
        <v>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775500</v>
      </c>
    </row>
    <row r="32" spans="1:4" x14ac:dyDescent="0.3">
      <c r="A32"/>
      <c r="B32" s="26"/>
      <c r="C32" s="27" t="s">
        <v>26</v>
      </c>
      <c r="D32" s="19" t="s">
        <v>43</v>
      </c>
    </row>
    <row r="33" spans="1:4" x14ac:dyDescent="0.3">
      <c r="A33"/>
      <c r="B33" s="26"/>
      <c r="C33" s="27" t="s">
        <v>27</v>
      </c>
      <c r="D33" s="4">
        <v>605000</v>
      </c>
    </row>
    <row r="34" spans="1:4" x14ac:dyDescent="0.3">
      <c r="A34"/>
      <c r="B34" s="26"/>
      <c r="C34" s="27" t="s">
        <v>28</v>
      </c>
      <c r="D34" s="4">
        <v>2478430</v>
      </c>
    </row>
    <row r="35" spans="1:4" ht="17.25" thickBot="1" x14ac:dyDescent="0.35">
      <c r="B35" s="41"/>
      <c r="C35" s="42" t="s">
        <v>29</v>
      </c>
      <c r="D35" s="8">
        <v>2000000</v>
      </c>
    </row>
    <row r="36" spans="1:4" x14ac:dyDescent="0.3">
      <c r="B36" s="44" t="s">
        <v>42</v>
      </c>
      <c r="C36" s="45"/>
      <c r="D36" s="28">
        <f>SUM(D31:D35)</f>
        <v>5858930</v>
      </c>
    </row>
    <row r="37" spans="1:4" x14ac:dyDescent="0.3">
      <c r="B37" s="46" t="s">
        <v>40</v>
      </c>
      <c r="C37" s="47"/>
      <c r="D37" s="28">
        <f>SUM(D3:D35)</f>
        <v>18062070</v>
      </c>
    </row>
    <row r="38" spans="1:4" x14ac:dyDescent="0.3">
      <c r="B38" s="46" t="s">
        <v>39</v>
      </c>
      <c r="C38" s="47"/>
      <c r="D38" s="28">
        <v>25139200</v>
      </c>
    </row>
    <row r="39" spans="1:4" ht="17.25" thickBot="1" x14ac:dyDescent="0.35">
      <c r="B39" s="48" t="s">
        <v>41</v>
      </c>
      <c r="C39" s="49"/>
      <c r="D39" s="57">
        <f>D38-D37</f>
        <v>7077130</v>
      </c>
    </row>
  </sheetData>
  <mergeCells count="9">
    <mergeCell ref="B37:C37"/>
    <mergeCell ref="B38:C38"/>
    <mergeCell ref="B39:C39"/>
    <mergeCell ref="B24:B26"/>
    <mergeCell ref="B27:B28"/>
    <mergeCell ref="B31:B35"/>
    <mergeCell ref="B36:C36"/>
    <mergeCell ref="B3:B10"/>
    <mergeCell ref="B15:B2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9E9D-154D-43DF-BD54-AD16222F397C}">
  <dimension ref="A1:E39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5" x14ac:dyDescent="0.3">
      <c r="A1"/>
      <c r="B1" s="21">
        <v>2025.03</v>
      </c>
    </row>
    <row r="2" spans="1:5" ht="17.25" thickBot="1" x14ac:dyDescent="0.35">
      <c r="A2"/>
    </row>
    <row r="3" spans="1:5" x14ac:dyDescent="0.3">
      <c r="A3"/>
      <c r="B3" s="5" t="s">
        <v>32</v>
      </c>
      <c r="C3" s="9" t="s">
        <v>0</v>
      </c>
      <c r="D3" s="3">
        <v>5467640</v>
      </c>
    </row>
    <row r="4" spans="1:5" x14ac:dyDescent="0.3">
      <c r="A4"/>
      <c r="B4" s="6"/>
      <c r="C4" s="10" t="s">
        <v>1</v>
      </c>
      <c r="D4" s="4">
        <v>2661215</v>
      </c>
    </row>
    <row r="5" spans="1:5" x14ac:dyDescent="0.3">
      <c r="A5"/>
      <c r="B5" s="6"/>
      <c r="C5" s="10" t="s">
        <v>2</v>
      </c>
      <c r="D5" s="4">
        <v>2781160</v>
      </c>
    </row>
    <row r="6" spans="1:5" x14ac:dyDescent="0.3">
      <c r="A6"/>
      <c r="B6" s="6"/>
      <c r="C6" s="10" t="s">
        <v>3</v>
      </c>
      <c r="D6" s="4">
        <v>259250</v>
      </c>
    </row>
    <row r="7" spans="1:5" x14ac:dyDescent="0.3">
      <c r="A7"/>
      <c r="B7" s="6"/>
      <c r="C7" s="10" t="s">
        <v>4</v>
      </c>
      <c r="D7" s="4">
        <v>314500</v>
      </c>
    </row>
    <row r="8" spans="1:5" x14ac:dyDescent="0.3">
      <c r="A8"/>
      <c r="B8" s="6"/>
      <c r="C8" s="10" t="s">
        <v>5</v>
      </c>
      <c r="D8" s="4">
        <v>110400</v>
      </c>
    </row>
    <row r="9" spans="1:5" x14ac:dyDescent="0.3">
      <c r="A9"/>
      <c r="B9" s="6"/>
      <c r="C9" s="10" t="s">
        <v>6</v>
      </c>
      <c r="D9" s="4">
        <v>157000</v>
      </c>
    </row>
    <row r="10" spans="1:5" x14ac:dyDescent="0.3">
      <c r="A10"/>
      <c r="B10" s="11"/>
      <c r="C10" s="12" t="s">
        <v>12</v>
      </c>
      <c r="D10" s="13">
        <v>95500</v>
      </c>
    </row>
    <row r="11" spans="1:5" x14ac:dyDescent="0.3">
      <c r="A11"/>
      <c r="B11" s="14" t="s">
        <v>37</v>
      </c>
      <c r="C11" s="12" t="s">
        <v>7</v>
      </c>
      <c r="D11" s="13">
        <v>215400</v>
      </c>
    </row>
    <row r="12" spans="1:5" x14ac:dyDescent="0.3">
      <c r="A12"/>
      <c r="B12" s="14" t="s">
        <v>38</v>
      </c>
      <c r="C12" s="12" t="s">
        <v>8</v>
      </c>
      <c r="D12" s="13">
        <v>142000</v>
      </c>
    </row>
    <row r="13" spans="1:5" x14ac:dyDescent="0.3">
      <c r="A13"/>
      <c r="B13" s="15" t="s">
        <v>36</v>
      </c>
      <c r="C13" s="12" t="s">
        <v>10</v>
      </c>
      <c r="D13" s="13"/>
    </row>
    <row r="14" spans="1:5" x14ac:dyDescent="0.3">
      <c r="A14"/>
      <c r="B14" s="7"/>
      <c r="C14" s="10" t="s">
        <v>33</v>
      </c>
      <c r="D14" s="4">
        <v>103950</v>
      </c>
    </row>
    <row r="15" spans="1:5" x14ac:dyDescent="0.3">
      <c r="A15"/>
      <c r="B15" s="16" t="s">
        <v>34</v>
      </c>
      <c r="C15" s="17" t="s">
        <v>11</v>
      </c>
      <c r="D15" s="18">
        <v>2310000</v>
      </c>
      <c r="E15" s="2"/>
    </row>
    <row r="16" spans="1:5" x14ac:dyDescent="0.3">
      <c r="A16"/>
      <c r="B16" s="6"/>
      <c r="C16" s="10" t="s">
        <v>13</v>
      </c>
      <c r="D16" s="4">
        <v>63800</v>
      </c>
    </row>
    <row r="17" spans="1:4" x14ac:dyDescent="0.3">
      <c r="A17"/>
      <c r="B17" s="6"/>
      <c r="C17" s="10" t="s">
        <v>14</v>
      </c>
      <c r="D17" s="4">
        <v>36170</v>
      </c>
    </row>
    <row r="18" spans="1:4" x14ac:dyDescent="0.3">
      <c r="A18"/>
      <c r="B18" s="6"/>
      <c r="C18" s="10" t="s">
        <v>15</v>
      </c>
      <c r="D18" s="4">
        <v>19900</v>
      </c>
    </row>
    <row r="19" spans="1:4" x14ac:dyDescent="0.3">
      <c r="A19"/>
      <c r="B19" s="6"/>
      <c r="C19" s="10" t="s">
        <v>16</v>
      </c>
      <c r="D19" s="4">
        <v>70000</v>
      </c>
    </row>
    <row r="20" spans="1:4" x14ac:dyDescent="0.3">
      <c r="A20"/>
      <c r="B20" s="6"/>
      <c r="C20" s="10" t="s">
        <v>17</v>
      </c>
      <c r="D20" s="4">
        <v>330000</v>
      </c>
    </row>
    <row r="21" spans="1:4" x14ac:dyDescent="0.3">
      <c r="A21"/>
      <c r="B21" s="6"/>
      <c r="C21" s="10" t="s">
        <v>18</v>
      </c>
      <c r="D21" s="4">
        <v>77000</v>
      </c>
    </row>
    <row r="22" spans="1:4" x14ac:dyDescent="0.3">
      <c r="A22"/>
      <c r="B22" s="6"/>
      <c r="C22" s="10" t="s">
        <v>19</v>
      </c>
      <c r="D22" s="4">
        <v>30000</v>
      </c>
    </row>
    <row r="23" spans="1:4" x14ac:dyDescent="0.3">
      <c r="A23"/>
      <c r="B23" s="11"/>
      <c r="C23" s="12" t="s">
        <v>20</v>
      </c>
      <c r="D23" s="13">
        <v>12000</v>
      </c>
    </row>
    <row r="24" spans="1:4" x14ac:dyDescent="0.3">
      <c r="A24"/>
      <c r="B24" s="34" t="s">
        <v>48</v>
      </c>
      <c r="C24" s="37" t="s">
        <v>45</v>
      </c>
      <c r="D24" s="36">
        <v>228000</v>
      </c>
    </row>
    <row r="25" spans="1:4" x14ac:dyDescent="0.3">
      <c r="A25"/>
      <c r="B25" s="26"/>
      <c r="C25" s="38" t="s">
        <v>46</v>
      </c>
      <c r="D25" s="28">
        <v>515310</v>
      </c>
    </row>
    <row r="26" spans="1:4" x14ac:dyDescent="0.3">
      <c r="A26"/>
      <c r="B26" s="29"/>
      <c r="C26" s="39" t="s">
        <v>47</v>
      </c>
      <c r="D26" s="31">
        <v>229760</v>
      </c>
    </row>
    <row r="27" spans="1:4" x14ac:dyDescent="0.3">
      <c r="A27"/>
      <c r="B27" s="26" t="s">
        <v>35</v>
      </c>
      <c r="C27" s="27" t="s">
        <v>21</v>
      </c>
      <c r="D27" s="4">
        <v>100000</v>
      </c>
    </row>
    <row r="28" spans="1:4" x14ac:dyDescent="0.3">
      <c r="A28"/>
      <c r="B28" s="29"/>
      <c r="C28" s="30" t="s">
        <v>22</v>
      </c>
      <c r="D28" s="13">
        <v>400000</v>
      </c>
    </row>
    <row r="29" spans="1:4" x14ac:dyDescent="0.3">
      <c r="A29"/>
      <c r="B29" s="32" t="s">
        <v>31</v>
      </c>
      <c r="C29" s="30" t="s">
        <v>23</v>
      </c>
      <c r="D29" s="13"/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3000000</v>
      </c>
    </row>
    <row r="32" spans="1:4" x14ac:dyDescent="0.3">
      <c r="A32"/>
      <c r="B32" s="26"/>
      <c r="C32" s="27" t="s">
        <v>26</v>
      </c>
      <c r="D32" s="19" t="s">
        <v>43</v>
      </c>
    </row>
    <row r="33" spans="1:4" x14ac:dyDescent="0.3">
      <c r="A33"/>
      <c r="B33" s="26"/>
      <c r="C33" s="27" t="s">
        <v>27</v>
      </c>
      <c r="D33" s="4">
        <v>3000000</v>
      </c>
    </row>
    <row r="34" spans="1:4" x14ac:dyDescent="0.3">
      <c r="A34"/>
      <c r="B34" s="26"/>
      <c r="C34" s="27" t="s">
        <v>28</v>
      </c>
      <c r="D34" s="4">
        <v>2000000</v>
      </c>
    </row>
    <row r="35" spans="1:4" ht="17.25" thickBot="1" x14ac:dyDescent="0.35">
      <c r="B35" s="41"/>
      <c r="C35" s="42" t="s">
        <v>29</v>
      </c>
      <c r="D35" s="20" t="s">
        <v>43</v>
      </c>
    </row>
    <row r="36" spans="1:4" x14ac:dyDescent="0.3">
      <c r="B36" s="44" t="s">
        <v>42</v>
      </c>
      <c r="C36" s="45"/>
      <c r="D36" s="28">
        <f>SUM(D31:D35)</f>
        <v>8000000</v>
      </c>
    </row>
    <row r="37" spans="1:4" x14ac:dyDescent="0.3">
      <c r="B37" s="46" t="s">
        <v>40</v>
      </c>
      <c r="C37" s="47"/>
      <c r="D37" s="28">
        <f>SUM(D3:D35)</f>
        <v>24795955</v>
      </c>
    </row>
    <row r="38" spans="1:4" x14ac:dyDescent="0.3">
      <c r="B38" s="46" t="s">
        <v>39</v>
      </c>
      <c r="C38" s="47"/>
      <c r="D38" s="28">
        <v>40130900</v>
      </c>
    </row>
    <row r="39" spans="1:4" ht="17.25" thickBot="1" x14ac:dyDescent="0.35">
      <c r="B39" s="48" t="s">
        <v>41</v>
      </c>
      <c r="C39" s="49"/>
      <c r="D39" s="57">
        <f>D38-D37</f>
        <v>15334945</v>
      </c>
    </row>
  </sheetData>
  <mergeCells count="9">
    <mergeCell ref="B37:C37"/>
    <mergeCell ref="B38:C38"/>
    <mergeCell ref="B39:C39"/>
    <mergeCell ref="B24:B26"/>
    <mergeCell ref="B27:B28"/>
    <mergeCell ref="B31:B35"/>
    <mergeCell ref="B36:C36"/>
    <mergeCell ref="B3:B10"/>
    <mergeCell ref="B15:B2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D735-B0FB-4EFE-9786-2B8BDB6ACA25}">
  <dimension ref="A1:E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2025.04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4342400</v>
      </c>
    </row>
    <row r="4" spans="1:4" x14ac:dyDescent="0.3">
      <c r="A4"/>
      <c r="B4" s="6"/>
      <c r="C4" s="10" t="s">
        <v>1</v>
      </c>
      <c r="D4" s="4">
        <v>1475420</v>
      </c>
    </row>
    <row r="5" spans="1:4" x14ac:dyDescent="0.3">
      <c r="A5"/>
      <c r="B5" s="6"/>
      <c r="C5" s="10" t="s">
        <v>2</v>
      </c>
      <c r="D5" s="4">
        <v>1439980</v>
      </c>
    </row>
    <row r="6" spans="1:4" x14ac:dyDescent="0.3">
      <c r="A6"/>
      <c r="B6" s="6"/>
      <c r="C6" s="10" t="s">
        <v>3</v>
      </c>
      <c r="D6" s="4">
        <v>253250</v>
      </c>
    </row>
    <row r="7" spans="1:4" x14ac:dyDescent="0.3">
      <c r="A7"/>
      <c r="B7" s="6"/>
      <c r="C7" s="10" t="s">
        <v>4</v>
      </c>
      <c r="D7" s="4">
        <v>198000</v>
      </c>
    </row>
    <row r="8" spans="1:4" x14ac:dyDescent="0.3">
      <c r="A8"/>
      <c r="B8" s="6"/>
      <c r="C8" s="10" t="s">
        <v>5</v>
      </c>
      <c r="D8" s="4">
        <v>79500</v>
      </c>
    </row>
    <row r="9" spans="1:4" x14ac:dyDescent="0.3">
      <c r="A9"/>
      <c r="B9" s="6"/>
      <c r="C9" s="10" t="s">
        <v>6</v>
      </c>
      <c r="D9" s="4">
        <v>137000</v>
      </c>
    </row>
    <row r="10" spans="1:4" x14ac:dyDescent="0.3">
      <c r="A10"/>
      <c r="B10" s="11"/>
      <c r="C10" s="12" t="s">
        <v>12</v>
      </c>
      <c r="D10" s="13">
        <v>63300</v>
      </c>
    </row>
    <row r="11" spans="1:4" x14ac:dyDescent="0.3">
      <c r="A11"/>
      <c r="B11" s="14" t="s">
        <v>37</v>
      </c>
      <c r="C11" s="12" t="s">
        <v>7</v>
      </c>
      <c r="D11" s="13">
        <v>91500</v>
      </c>
    </row>
    <row r="12" spans="1:4" x14ac:dyDescent="0.3">
      <c r="A12"/>
      <c r="B12" s="14" t="s">
        <v>38</v>
      </c>
      <c r="C12" s="12" t="s">
        <v>8</v>
      </c>
      <c r="D12" s="13">
        <v>18500</v>
      </c>
    </row>
    <row r="13" spans="1:4" x14ac:dyDescent="0.3">
      <c r="A13"/>
      <c r="B13" s="15" t="s">
        <v>36</v>
      </c>
      <c r="C13" s="12" t="s">
        <v>10</v>
      </c>
      <c r="D13" s="13"/>
    </row>
    <row r="14" spans="1:4" x14ac:dyDescent="0.3">
      <c r="A14"/>
      <c r="B14" s="7"/>
      <c r="C14" s="10" t="s">
        <v>33</v>
      </c>
      <c r="D14" s="4">
        <v>90475</v>
      </c>
    </row>
    <row r="15" spans="1:4" x14ac:dyDescent="0.3">
      <c r="A15"/>
      <c r="B15" s="16" t="s">
        <v>34</v>
      </c>
      <c r="C15" s="17" t="s">
        <v>11</v>
      </c>
      <c r="D15" s="18">
        <v>2310000</v>
      </c>
    </row>
    <row r="16" spans="1:4" x14ac:dyDescent="0.3">
      <c r="A16"/>
      <c r="B16" s="6"/>
      <c r="C16" s="10" t="s">
        <v>13</v>
      </c>
      <c r="D16" s="4">
        <v>63800</v>
      </c>
    </row>
    <row r="17" spans="1:4" x14ac:dyDescent="0.3">
      <c r="A17"/>
      <c r="B17" s="6"/>
      <c r="C17" s="10" t="s">
        <v>14</v>
      </c>
      <c r="D17" s="4">
        <v>36460</v>
      </c>
    </row>
    <row r="18" spans="1:4" x14ac:dyDescent="0.3">
      <c r="A18"/>
      <c r="B18" s="6"/>
      <c r="C18" s="10" t="s">
        <v>15</v>
      </c>
      <c r="D18" s="4">
        <v>19900</v>
      </c>
    </row>
    <row r="19" spans="1:4" x14ac:dyDescent="0.3">
      <c r="A19"/>
      <c r="B19" s="6"/>
      <c r="C19" s="10" t="s">
        <v>16</v>
      </c>
      <c r="D19" s="4">
        <v>70000</v>
      </c>
    </row>
    <row r="20" spans="1:4" x14ac:dyDescent="0.3">
      <c r="A20"/>
      <c r="B20" s="6"/>
      <c r="C20" s="10" t="s">
        <v>17</v>
      </c>
      <c r="D20" s="4">
        <v>330000</v>
      </c>
    </row>
    <row r="21" spans="1:4" x14ac:dyDescent="0.3">
      <c r="A21"/>
      <c r="B21" s="6"/>
      <c r="C21" s="10" t="s">
        <v>18</v>
      </c>
      <c r="D21" s="4">
        <v>77000</v>
      </c>
    </row>
    <row r="22" spans="1:4" x14ac:dyDescent="0.3">
      <c r="A22"/>
      <c r="B22" s="6"/>
      <c r="C22" s="10" t="s">
        <v>19</v>
      </c>
      <c r="D22" s="4">
        <v>30000</v>
      </c>
    </row>
    <row r="23" spans="1:4" x14ac:dyDescent="0.3">
      <c r="A23"/>
      <c r="B23" s="11"/>
      <c r="C23" s="12" t="s">
        <v>20</v>
      </c>
      <c r="D23" s="13">
        <v>12000</v>
      </c>
    </row>
    <row r="24" spans="1:4" x14ac:dyDescent="0.3">
      <c r="A24"/>
      <c r="B24" s="34" t="s">
        <v>48</v>
      </c>
      <c r="C24" s="37" t="s">
        <v>45</v>
      </c>
      <c r="D24" s="36">
        <v>0</v>
      </c>
    </row>
    <row r="25" spans="1:4" x14ac:dyDescent="0.3">
      <c r="A25"/>
      <c r="B25" s="26"/>
      <c r="C25" s="38" t="s">
        <v>46</v>
      </c>
      <c r="D25" s="28">
        <v>506200</v>
      </c>
    </row>
    <row r="26" spans="1:4" x14ac:dyDescent="0.3">
      <c r="A26"/>
      <c r="B26" s="29"/>
      <c r="C26" s="39" t="s">
        <v>47</v>
      </c>
      <c r="D26" s="31">
        <v>263230</v>
      </c>
    </row>
    <row r="27" spans="1:4" x14ac:dyDescent="0.3">
      <c r="A27"/>
      <c r="B27" s="26" t="s">
        <v>35</v>
      </c>
      <c r="C27" s="27" t="s">
        <v>21</v>
      </c>
      <c r="D27" s="4">
        <v>100000</v>
      </c>
    </row>
    <row r="28" spans="1:4" x14ac:dyDescent="0.3">
      <c r="A28"/>
      <c r="B28" s="29"/>
      <c r="C28" s="30" t="s">
        <v>22</v>
      </c>
      <c r="D28" s="13">
        <v>400000</v>
      </c>
    </row>
    <row r="29" spans="1:4" x14ac:dyDescent="0.3">
      <c r="A29"/>
      <c r="B29" s="32" t="s">
        <v>31</v>
      </c>
      <c r="C29" s="30" t="s">
        <v>23</v>
      </c>
      <c r="D29" s="13">
        <v>2720000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19">
        <v>3000000</v>
      </c>
    </row>
    <row r="33" spans="1:5" ht="17.25" thickBot="1" x14ac:dyDescent="0.35">
      <c r="A33"/>
      <c r="B33" s="41"/>
      <c r="C33" s="42" t="s">
        <v>49</v>
      </c>
      <c r="D33" s="8">
        <v>1365000</v>
      </c>
    </row>
    <row r="34" spans="1:5" x14ac:dyDescent="0.3">
      <c r="A34"/>
      <c r="B34" s="44" t="s">
        <v>42</v>
      </c>
      <c r="C34" s="47"/>
      <c r="D34" s="28">
        <f>SUM(D31:D33)</f>
        <v>7465000</v>
      </c>
    </row>
    <row r="35" spans="1:5" x14ac:dyDescent="0.3">
      <c r="B35" s="46" t="s">
        <v>40</v>
      </c>
      <c r="C35" s="47"/>
      <c r="D35" s="28">
        <f>SUM(D3:D33)</f>
        <v>22658915</v>
      </c>
    </row>
    <row r="36" spans="1:5" x14ac:dyDescent="0.3">
      <c r="B36" s="46" t="s">
        <v>39</v>
      </c>
      <c r="C36" s="47"/>
      <c r="D36" s="28">
        <v>30000000</v>
      </c>
      <c r="E36" t="s">
        <v>56</v>
      </c>
    </row>
    <row r="37" spans="1:5" ht="17.25" thickBot="1" x14ac:dyDescent="0.35">
      <c r="B37" s="48" t="s">
        <v>41</v>
      </c>
      <c r="C37" s="49"/>
      <c r="D37" s="57">
        <f>D36-D35</f>
        <v>7341085</v>
      </c>
    </row>
  </sheetData>
  <mergeCells count="9">
    <mergeCell ref="B35:C35"/>
    <mergeCell ref="B36:C36"/>
    <mergeCell ref="B37:C37"/>
    <mergeCell ref="B31:B33"/>
    <mergeCell ref="B3:B10"/>
    <mergeCell ref="B15:B23"/>
    <mergeCell ref="B24:B26"/>
    <mergeCell ref="B27:B28"/>
    <mergeCell ref="B34:C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0CC3-558E-4A31-A16E-7AC34B56D48B}">
  <dimension ref="A1:D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2025.05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5765510</v>
      </c>
    </row>
    <row r="4" spans="1:4" x14ac:dyDescent="0.3">
      <c r="A4"/>
      <c r="B4" s="6"/>
      <c r="C4" s="10" t="s">
        <v>1</v>
      </c>
      <c r="D4" s="4">
        <v>2383655</v>
      </c>
    </row>
    <row r="5" spans="1:4" x14ac:dyDescent="0.3">
      <c r="A5"/>
      <c r="B5" s="6"/>
      <c r="C5" s="10" t="s">
        <v>2</v>
      </c>
      <c r="D5" s="4">
        <v>2063030</v>
      </c>
    </row>
    <row r="6" spans="1:4" x14ac:dyDescent="0.3">
      <c r="A6"/>
      <c r="B6" s="6"/>
      <c r="C6" s="10" t="s">
        <v>3</v>
      </c>
      <c r="D6" s="4">
        <v>379000</v>
      </c>
    </row>
    <row r="7" spans="1:4" x14ac:dyDescent="0.3">
      <c r="A7"/>
      <c r="B7" s="6"/>
      <c r="C7" s="10" t="s">
        <v>4</v>
      </c>
      <c r="D7" s="4">
        <v>237500</v>
      </c>
    </row>
    <row r="8" spans="1:4" x14ac:dyDescent="0.3">
      <c r="A8"/>
      <c r="B8" s="6"/>
      <c r="C8" s="10" t="s">
        <v>5</v>
      </c>
      <c r="D8" s="4">
        <v>103600</v>
      </c>
    </row>
    <row r="9" spans="1:4" x14ac:dyDescent="0.3">
      <c r="A9"/>
      <c r="B9" s="6"/>
      <c r="C9" s="10" t="s">
        <v>6</v>
      </c>
      <c r="D9" s="4">
        <v>252000</v>
      </c>
    </row>
    <row r="10" spans="1:4" x14ac:dyDescent="0.3">
      <c r="A10"/>
      <c r="B10" s="11"/>
      <c r="C10" s="12" t="s">
        <v>12</v>
      </c>
      <c r="D10" s="13">
        <v>38600</v>
      </c>
    </row>
    <row r="11" spans="1:4" x14ac:dyDescent="0.3">
      <c r="A11"/>
      <c r="B11" s="14" t="s">
        <v>37</v>
      </c>
      <c r="C11" s="12" t="s">
        <v>7</v>
      </c>
      <c r="D11" s="13">
        <v>290460</v>
      </c>
    </row>
    <row r="12" spans="1:4" x14ac:dyDescent="0.3">
      <c r="A12"/>
      <c r="B12" s="14" t="s">
        <v>38</v>
      </c>
      <c r="C12" s="12" t="s">
        <v>8</v>
      </c>
      <c r="D12" s="13">
        <v>81200</v>
      </c>
    </row>
    <row r="13" spans="1:4" x14ac:dyDescent="0.3">
      <c r="A13"/>
      <c r="B13" s="15" t="s">
        <v>36</v>
      </c>
      <c r="C13" s="12" t="s">
        <v>10</v>
      </c>
      <c r="D13" s="13">
        <v>0</v>
      </c>
    </row>
    <row r="14" spans="1:4" x14ac:dyDescent="0.3">
      <c r="A14"/>
      <c r="B14" s="7"/>
      <c r="C14" s="10" t="s">
        <v>33</v>
      </c>
      <c r="D14" s="4">
        <v>77000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143276</v>
      </c>
    </row>
    <row r="25" spans="1:4" x14ac:dyDescent="0.3">
      <c r="A25"/>
      <c r="B25" s="26"/>
      <c r="C25" s="38" t="s">
        <v>46</v>
      </c>
      <c r="D25" s="28">
        <v>513150</v>
      </c>
    </row>
    <row r="26" spans="1:4" x14ac:dyDescent="0.3">
      <c r="A26"/>
      <c r="B26" s="29"/>
      <c r="C26" s="39" t="s">
        <v>47</v>
      </c>
      <c r="D26" s="31">
        <v>241470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0</v>
      </c>
    </row>
    <row r="30" spans="1:4" x14ac:dyDescent="0.3">
      <c r="A30"/>
      <c r="B30" s="33" t="s">
        <v>50</v>
      </c>
      <c r="C30" s="27" t="s">
        <v>24</v>
      </c>
      <c r="D30" s="4">
        <v>880000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24998611</v>
      </c>
    </row>
    <row r="36" spans="1:4" x14ac:dyDescent="0.3">
      <c r="B36" s="46" t="s">
        <v>39</v>
      </c>
      <c r="C36" s="47"/>
      <c r="D36" s="28">
        <v>39637100</v>
      </c>
    </row>
    <row r="37" spans="1:4" ht="17.25" thickBot="1" x14ac:dyDescent="0.35">
      <c r="B37" s="48" t="s">
        <v>41</v>
      </c>
      <c r="C37" s="49"/>
      <c r="D37" s="58">
        <f>D36-D35</f>
        <v>14638489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  <ignoredErrors>
    <ignoredError sqref="D3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E5B5-FC53-4DB3-9565-A25A6C885C29}">
  <dimension ref="A1:D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2025.06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4671540</v>
      </c>
    </row>
    <row r="4" spans="1:4" x14ac:dyDescent="0.3">
      <c r="A4"/>
      <c r="B4" s="6"/>
      <c r="C4" s="10" t="s">
        <v>1</v>
      </c>
      <c r="D4" s="4">
        <v>1682565</v>
      </c>
    </row>
    <row r="5" spans="1:4" x14ac:dyDescent="0.3">
      <c r="A5"/>
      <c r="B5" s="6"/>
      <c r="C5" s="10" t="s">
        <v>2</v>
      </c>
      <c r="D5" s="4">
        <v>1983140</v>
      </c>
    </row>
    <row r="6" spans="1:4" x14ac:dyDescent="0.3">
      <c r="A6"/>
      <c r="B6" s="6"/>
      <c r="C6" s="10" t="s">
        <v>3</v>
      </c>
      <c r="D6" s="4">
        <v>338500</v>
      </c>
    </row>
    <row r="7" spans="1:4" x14ac:dyDescent="0.3">
      <c r="A7"/>
      <c r="B7" s="6"/>
      <c r="C7" s="10" t="s">
        <v>4</v>
      </c>
      <c r="D7" s="4">
        <v>233500</v>
      </c>
    </row>
    <row r="8" spans="1:4" x14ac:dyDescent="0.3">
      <c r="A8"/>
      <c r="B8" s="6"/>
      <c r="C8" s="10" t="s">
        <v>5</v>
      </c>
      <c r="D8" s="4">
        <v>36400</v>
      </c>
    </row>
    <row r="9" spans="1:4" x14ac:dyDescent="0.3">
      <c r="A9"/>
      <c r="B9" s="6"/>
      <c r="C9" s="10" t="s">
        <v>6</v>
      </c>
      <c r="D9" s="4">
        <v>217800</v>
      </c>
    </row>
    <row r="10" spans="1:4" x14ac:dyDescent="0.3">
      <c r="A10"/>
      <c r="B10" s="11"/>
      <c r="C10" s="12" t="s">
        <v>12</v>
      </c>
      <c r="D10" s="13">
        <v>124060</v>
      </c>
    </row>
    <row r="11" spans="1:4" x14ac:dyDescent="0.3">
      <c r="A11"/>
      <c r="B11" s="14" t="s">
        <v>37</v>
      </c>
      <c r="C11" s="12" t="s">
        <v>7</v>
      </c>
      <c r="D11" s="13">
        <v>371610</v>
      </c>
    </row>
    <row r="12" spans="1:4" x14ac:dyDescent="0.3">
      <c r="A12"/>
      <c r="B12" s="14" t="s">
        <v>38</v>
      </c>
      <c r="C12" s="12" t="s">
        <v>8</v>
      </c>
      <c r="D12" s="13">
        <v>190500</v>
      </c>
    </row>
    <row r="13" spans="1:4" x14ac:dyDescent="0.3">
      <c r="A13"/>
      <c r="B13" s="15" t="s">
        <v>51</v>
      </c>
      <c r="C13" s="12" t="s">
        <v>10</v>
      </c>
      <c r="D13" s="13">
        <v>165000</v>
      </c>
    </row>
    <row r="14" spans="1:4" x14ac:dyDescent="0.3">
      <c r="A14"/>
      <c r="B14" s="7"/>
      <c r="C14" s="10" t="s">
        <v>33</v>
      </c>
      <c r="D14" s="4">
        <v>92400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0</v>
      </c>
    </row>
    <row r="25" spans="1:4" x14ac:dyDescent="0.3">
      <c r="A25"/>
      <c r="B25" s="26"/>
      <c r="C25" s="38" t="s">
        <v>46</v>
      </c>
      <c r="D25" s="28">
        <v>714390</v>
      </c>
    </row>
    <row r="26" spans="1:4" x14ac:dyDescent="0.3">
      <c r="A26"/>
      <c r="B26" s="29"/>
      <c r="C26" s="39" t="s">
        <v>47</v>
      </c>
      <c r="D26" s="31">
        <v>236800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2600000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7700000</v>
      </c>
    </row>
    <row r="35" spans="1:4" x14ac:dyDescent="0.3">
      <c r="B35" s="46" t="s">
        <v>40</v>
      </c>
      <c r="C35" s="47"/>
      <c r="D35" s="54">
        <f>SUM(D3:D33)</f>
        <v>22273365</v>
      </c>
    </row>
    <row r="36" spans="1:4" x14ac:dyDescent="0.3">
      <c r="B36" s="46" t="s">
        <v>39</v>
      </c>
      <c r="C36" s="47"/>
      <c r="D36" s="28">
        <v>29099700</v>
      </c>
    </row>
    <row r="37" spans="1:4" ht="17.25" thickBot="1" x14ac:dyDescent="0.35">
      <c r="B37" s="48" t="s">
        <v>41</v>
      </c>
      <c r="C37" s="49"/>
      <c r="D37" s="58">
        <f>D36-D35</f>
        <v>6826335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13F0-DA2C-4E2C-B942-D28928EABAE6}">
  <dimension ref="A1:D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2025.07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4809170</v>
      </c>
    </row>
    <row r="4" spans="1:4" x14ac:dyDescent="0.3">
      <c r="A4"/>
      <c r="B4" s="6"/>
      <c r="C4" s="10" t="s">
        <v>1</v>
      </c>
      <c r="D4" s="4">
        <v>2229335</v>
      </c>
    </row>
    <row r="5" spans="1:4" x14ac:dyDescent="0.3">
      <c r="A5"/>
      <c r="B5" s="6"/>
      <c r="C5" s="10" t="s">
        <v>2</v>
      </c>
      <c r="D5" s="4">
        <v>1314600</v>
      </c>
    </row>
    <row r="6" spans="1:4" x14ac:dyDescent="0.3">
      <c r="A6"/>
      <c r="B6" s="6"/>
      <c r="C6" s="10" t="s">
        <v>3</v>
      </c>
      <c r="D6" s="4">
        <v>243000</v>
      </c>
    </row>
    <row r="7" spans="1:4" x14ac:dyDescent="0.3">
      <c r="A7"/>
      <c r="B7" s="6"/>
      <c r="C7" s="10" t="s">
        <v>4</v>
      </c>
      <c r="D7" s="4">
        <v>181000</v>
      </c>
    </row>
    <row r="8" spans="1:4" x14ac:dyDescent="0.3">
      <c r="A8"/>
      <c r="B8" s="6"/>
      <c r="C8" s="10" t="s">
        <v>5</v>
      </c>
      <c r="D8" s="4">
        <v>15000</v>
      </c>
    </row>
    <row r="9" spans="1:4" x14ac:dyDescent="0.3">
      <c r="A9"/>
      <c r="B9" s="6"/>
      <c r="C9" s="10" t="s">
        <v>6</v>
      </c>
      <c r="D9" s="4">
        <v>204600</v>
      </c>
    </row>
    <row r="10" spans="1:4" x14ac:dyDescent="0.3">
      <c r="A10"/>
      <c r="B10" s="11"/>
      <c r="C10" s="12" t="s">
        <v>12</v>
      </c>
      <c r="D10" s="13">
        <v>58900</v>
      </c>
    </row>
    <row r="11" spans="1:4" x14ac:dyDescent="0.3">
      <c r="A11"/>
      <c r="B11" s="14" t="s">
        <v>37</v>
      </c>
      <c r="C11" s="12" t="s">
        <v>7</v>
      </c>
      <c r="D11" s="13">
        <v>259070</v>
      </c>
    </row>
    <row r="12" spans="1:4" x14ac:dyDescent="0.3">
      <c r="A12"/>
      <c r="B12" s="14" t="s">
        <v>38</v>
      </c>
      <c r="C12" s="12" t="s">
        <v>8</v>
      </c>
      <c r="D12" s="13">
        <v>85820</v>
      </c>
    </row>
    <row r="13" spans="1:4" x14ac:dyDescent="0.3">
      <c r="A13"/>
      <c r="B13" s="15" t="s">
        <v>52</v>
      </c>
      <c r="C13" s="12" t="s">
        <v>10</v>
      </c>
      <c r="D13" s="13">
        <v>352000</v>
      </c>
    </row>
    <row r="14" spans="1:4" x14ac:dyDescent="0.3">
      <c r="A14"/>
      <c r="B14" s="7"/>
      <c r="C14" s="10" t="s">
        <v>33</v>
      </c>
      <c r="D14" s="4">
        <v>115500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290160</v>
      </c>
    </row>
    <row r="25" spans="1:4" x14ac:dyDescent="0.3">
      <c r="A25"/>
      <c r="B25" s="26"/>
      <c r="C25" s="38" t="s">
        <v>46</v>
      </c>
      <c r="D25" s="28">
        <v>879010</v>
      </c>
    </row>
    <row r="26" spans="1:4" x14ac:dyDescent="0.3">
      <c r="A26"/>
      <c r="B26" s="29"/>
      <c r="C26" s="39" t="s">
        <v>47</v>
      </c>
      <c r="D26" s="31">
        <v>239800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1925550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3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24817675</v>
      </c>
    </row>
    <row r="36" spans="1:4" x14ac:dyDescent="0.3">
      <c r="B36" s="46" t="s">
        <v>39</v>
      </c>
      <c r="C36" s="47"/>
      <c r="D36" s="28">
        <v>30749500</v>
      </c>
    </row>
    <row r="37" spans="1:4" ht="17.25" thickBot="1" x14ac:dyDescent="0.35">
      <c r="B37" s="48" t="s">
        <v>41</v>
      </c>
      <c r="C37" s="49"/>
      <c r="D37" s="58">
        <f>D36-D35</f>
        <v>5931825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4031-D83F-47B9-994B-3D5FDCE8FC11}">
  <dimension ref="A1:D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2025.08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4041840</v>
      </c>
    </row>
    <row r="4" spans="1:4" x14ac:dyDescent="0.3">
      <c r="A4"/>
      <c r="B4" s="6"/>
      <c r="C4" s="10" t="s">
        <v>1</v>
      </c>
      <c r="D4" s="4">
        <v>1542655</v>
      </c>
    </row>
    <row r="5" spans="1:4" x14ac:dyDescent="0.3">
      <c r="A5"/>
      <c r="B5" s="6"/>
      <c r="C5" s="10" t="s">
        <v>2</v>
      </c>
      <c r="D5" s="4">
        <v>219750</v>
      </c>
    </row>
    <row r="6" spans="1:4" x14ac:dyDescent="0.3">
      <c r="A6"/>
      <c r="B6" s="6"/>
      <c r="C6" s="10" t="s">
        <v>3</v>
      </c>
      <c r="D6" s="4">
        <v>1417400</v>
      </c>
    </row>
    <row r="7" spans="1:4" x14ac:dyDescent="0.3">
      <c r="A7"/>
      <c r="B7" s="6"/>
      <c r="C7" s="10" t="s">
        <v>4</v>
      </c>
      <c r="D7" s="4">
        <v>176500</v>
      </c>
    </row>
    <row r="8" spans="1:4" x14ac:dyDescent="0.3">
      <c r="A8"/>
      <c r="B8" s="6"/>
      <c r="C8" s="10" t="s">
        <v>5</v>
      </c>
      <c r="D8" s="4">
        <v>48000</v>
      </c>
    </row>
    <row r="9" spans="1:4" x14ac:dyDescent="0.3">
      <c r="A9"/>
      <c r="B9" s="6"/>
      <c r="C9" s="10" t="s">
        <v>6</v>
      </c>
      <c r="D9" s="4">
        <v>231000</v>
      </c>
    </row>
    <row r="10" spans="1:4" x14ac:dyDescent="0.3">
      <c r="A10"/>
      <c r="B10" s="11"/>
      <c r="C10" s="12" t="s">
        <v>12</v>
      </c>
      <c r="D10" s="13">
        <v>70200</v>
      </c>
    </row>
    <row r="11" spans="1:4" x14ac:dyDescent="0.3">
      <c r="A11"/>
      <c r="B11" s="14" t="s">
        <v>37</v>
      </c>
      <c r="C11" s="12" t="s">
        <v>7</v>
      </c>
      <c r="D11" s="13">
        <v>400565</v>
      </c>
    </row>
    <row r="12" spans="1:4" x14ac:dyDescent="0.3">
      <c r="A12"/>
      <c r="B12" s="14" t="s">
        <v>38</v>
      </c>
      <c r="C12" s="12" t="s">
        <v>8</v>
      </c>
      <c r="D12" s="13">
        <v>96100</v>
      </c>
    </row>
    <row r="13" spans="1:4" x14ac:dyDescent="0.3">
      <c r="A13"/>
      <c r="B13" s="15" t="s">
        <v>53</v>
      </c>
      <c r="C13" s="12" t="s">
        <v>10</v>
      </c>
      <c r="D13" s="13">
        <v>58300</v>
      </c>
    </row>
    <row r="14" spans="1:4" x14ac:dyDescent="0.3">
      <c r="A14"/>
      <c r="B14" s="7"/>
      <c r="C14" s="10" t="s">
        <v>33</v>
      </c>
      <c r="D14" s="4">
        <v>77000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0</v>
      </c>
    </row>
    <row r="25" spans="1:4" x14ac:dyDescent="0.3">
      <c r="A25"/>
      <c r="B25" s="26"/>
      <c r="C25" s="38" t="s">
        <v>46</v>
      </c>
      <c r="D25" s="28">
        <v>914250</v>
      </c>
    </row>
    <row r="26" spans="1:4" x14ac:dyDescent="0.3">
      <c r="A26"/>
      <c r="B26" s="29"/>
      <c r="C26" s="39" t="s">
        <v>47</v>
      </c>
      <c r="D26" s="31">
        <v>234900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/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3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21143620</v>
      </c>
    </row>
    <row r="36" spans="1:4" x14ac:dyDescent="0.3">
      <c r="B36" s="46" t="s">
        <v>39</v>
      </c>
      <c r="C36" s="47"/>
      <c r="D36" s="28">
        <v>29838750</v>
      </c>
    </row>
    <row r="37" spans="1:4" ht="17.25" thickBot="1" x14ac:dyDescent="0.35">
      <c r="B37" s="48" t="s">
        <v>41</v>
      </c>
      <c r="C37" s="49"/>
      <c r="D37" s="58">
        <f>D36-D35</f>
        <v>8695130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F425-E91A-40EF-87BF-8B9AA22C4D8A}">
  <dimension ref="A1:D37"/>
  <sheetViews>
    <sheetView zoomScale="115" zoomScaleNormal="115" workbookViewId="0">
      <selection activeCell="F36" sqref="F36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2025.09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4982670</v>
      </c>
    </row>
    <row r="4" spans="1:4" x14ac:dyDescent="0.3">
      <c r="A4"/>
      <c r="B4" s="6"/>
      <c r="C4" s="10" t="s">
        <v>1</v>
      </c>
      <c r="D4" s="4">
        <v>2086775</v>
      </c>
    </row>
    <row r="5" spans="1:4" x14ac:dyDescent="0.3">
      <c r="A5"/>
      <c r="B5" s="6"/>
      <c r="C5" s="10" t="s">
        <v>2</v>
      </c>
      <c r="D5" s="4">
        <v>3390750</v>
      </c>
    </row>
    <row r="6" spans="1:4" x14ac:dyDescent="0.3">
      <c r="A6"/>
      <c r="B6" s="6"/>
      <c r="C6" s="10" t="s">
        <v>3</v>
      </c>
      <c r="D6" s="4">
        <v>152250</v>
      </c>
    </row>
    <row r="7" spans="1:4" x14ac:dyDescent="0.3">
      <c r="A7"/>
      <c r="B7" s="6"/>
      <c r="C7" s="10" t="s">
        <v>4</v>
      </c>
      <c r="D7" s="4">
        <v>332500</v>
      </c>
    </row>
    <row r="8" spans="1:4" x14ac:dyDescent="0.3">
      <c r="A8"/>
      <c r="B8" s="6"/>
      <c r="C8" s="10" t="s">
        <v>5</v>
      </c>
      <c r="D8" s="4">
        <v>87500</v>
      </c>
    </row>
    <row r="9" spans="1:4" x14ac:dyDescent="0.3">
      <c r="A9"/>
      <c r="B9" s="6"/>
      <c r="C9" s="10" t="s">
        <v>6</v>
      </c>
      <c r="D9" s="4">
        <v>231000</v>
      </c>
    </row>
    <row r="10" spans="1:4" x14ac:dyDescent="0.3">
      <c r="A10"/>
      <c r="B10" s="11"/>
      <c r="C10" s="12" t="s">
        <v>12</v>
      </c>
      <c r="D10" s="13">
        <v>96400</v>
      </c>
    </row>
    <row r="11" spans="1:4" x14ac:dyDescent="0.3">
      <c r="A11"/>
      <c r="B11" s="14" t="s">
        <v>37</v>
      </c>
      <c r="C11" s="12" t="s">
        <v>7</v>
      </c>
      <c r="D11" s="13">
        <v>516935</v>
      </c>
    </row>
    <row r="12" spans="1:4" x14ac:dyDescent="0.3">
      <c r="A12"/>
      <c r="B12" s="14" t="s">
        <v>38</v>
      </c>
      <c r="C12" s="12" t="s">
        <v>8</v>
      </c>
      <c r="D12" s="13">
        <v>60920</v>
      </c>
    </row>
    <row r="13" spans="1:4" x14ac:dyDescent="0.3">
      <c r="A13"/>
      <c r="B13" s="15" t="s">
        <v>54</v>
      </c>
      <c r="C13" s="12" t="s">
        <v>9</v>
      </c>
      <c r="D13" s="13">
        <v>180000</v>
      </c>
    </row>
    <row r="14" spans="1:4" x14ac:dyDescent="0.3">
      <c r="A14"/>
      <c r="B14" s="7"/>
      <c r="C14" s="10" t="s">
        <v>33</v>
      </c>
      <c r="D14" s="4">
        <v>107800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222080</v>
      </c>
    </row>
    <row r="25" spans="1:4" x14ac:dyDescent="0.3">
      <c r="A25"/>
      <c r="B25" s="26"/>
      <c r="C25" s="38" t="s">
        <v>46</v>
      </c>
      <c r="D25" s="28">
        <v>781090</v>
      </c>
    </row>
    <row r="26" spans="1:4" x14ac:dyDescent="0.3">
      <c r="A26"/>
      <c r="B26" s="29"/>
      <c r="C26" s="39" t="s">
        <v>47</v>
      </c>
      <c r="D26" s="31">
        <v>214350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0</v>
      </c>
    </row>
    <row r="30" spans="1:4" x14ac:dyDescent="0.3">
      <c r="A30"/>
      <c r="B30" s="33"/>
      <c r="C30" s="27" t="s">
        <v>24</v>
      </c>
      <c r="D30" s="4">
        <v>99000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25091180</v>
      </c>
    </row>
    <row r="36" spans="1:4" x14ac:dyDescent="0.3">
      <c r="B36" s="46" t="s">
        <v>39</v>
      </c>
      <c r="C36" s="47"/>
      <c r="D36" s="28">
        <v>38684800</v>
      </c>
    </row>
    <row r="37" spans="1:4" ht="17.25" thickBot="1" x14ac:dyDescent="0.35">
      <c r="B37" s="48" t="s">
        <v>41</v>
      </c>
      <c r="C37" s="49"/>
      <c r="D37" s="58">
        <f>D36-D35</f>
        <v>13593620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7574-5F03-4131-AFE8-EA0123FAC693}">
  <dimension ref="A1:D37"/>
  <sheetViews>
    <sheetView zoomScale="115" zoomScaleNormal="115" workbookViewId="0">
      <selection activeCell="B1" sqref="B1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60" t="s">
        <v>59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3831350</v>
      </c>
    </row>
    <row r="4" spans="1:4" x14ac:dyDescent="0.3">
      <c r="A4"/>
      <c r="B4" s="6"/>
      <c r="C4" s="10" t="s">
        <v>1</v>
      </c>
      <c r="D4" s="4">
        <v>1530190</v>
      </c>
    </row>
    <row r="5" spans="1:4" x14ac:dyDescent="0.3">
      <c r="A5"/>
      <c r="B5" s="6"/>
      <c r="C5" s="10" t="s">
        <v>2</v>
      </c>
      <c r="D5" s="4">
        <v>776250</v>
      </c>
    </row>
    <row r="6" spans="1:4" x14ac:dyDescent="0.3">
      <c r="A6"/>
      <c r="B6" s="6"/>
      <c r="C6" s="10" t="s">
        <v>3</v>
      </c>
      <c r="D6" s="4">
        <v>149000</v>
      </c>
    </row>
    <row r="7" spans="1:4" x14ac:dyDescent="0.3">
      <c r="A7"/>
      <c r="B7" s="6"/>
      <c r="C7" s="10" t="s">
        <v>4</v>
      </c>
      <c r="D7" s="4">
        <v>141500</v>
      </c>
    </row>
    <row r="8" spans="1:4" x14ac:dyDescent="0.3">
      <c r="A8"/>
      <c r="B8" s="6"/>
      <c r="C8" s="10" t="s">
        <v>5</v>
      </c>
      <c r="D8" s="4">
        <v>0</v>
      </c>
    </row>
    <row r="9" spans="1:4" x14ac:dyDescent="0.3">
      <c r="A9"/>
      <c r="B9" s="6"/>
      <c r="C9" s="10" t="s">
        <v>6</v>
      </c>
      <c r="D9" s="4">
        <v>148500</v>
      </c>
    </row>
    <row r="10" spans="1:4" x14ac:dyDescent="0.3">
      <c r="A10"/>
      <c r="B10" s="11"/>
      <c r="C10" s="12" t="s">
        <v>12</v>
      </c>
      <c r="D10" s="13">
        <v>0</v>
      </c>
    </row>
    <row r="11" spans="1:4" x14ac:dyDescent="0.3">
      <c r="A11"/>
      <c r="B11" s="14" t="s">
        <v>37</v>
      </c>
      <c r="C11" s="12" t="s">
        <v>7</v>
      </c>
      <c r="D11" s="13">
        <v>283300</v>
      </c>
    </row>
    <row r="12" spans="1:4" x14ac:dyDescent="0.3">
      <c r="A12"/>
      <c r="B12" s="14" t="s">
        <v>38</v>
      </c>
      <c r="C12" s="12" t="s">
        <v>8</v>
      </c>
      <c r="D12" s="13">
        <v>62200</v>
      </c>
    </row>
    <row r="13" spans="1:4" x14ac:dyDescent="0.3">
      <c r="A13"/>
      <c r="B13" s="15" t="s">
        <v>36</v>
      </c>
      <c r="C13" s="12" t="s">
        <v>10</v>
      </c>
      <c r="D13" s="13">
        <v>0</v>
      </c>
    </row>
    <row r="14" spans="1:4" x14ac:dyDescent="0.3">
      <c r="A14"/>
      <c r="B14" s="7"/>
      <c r="C14" s="10" t="s">
        <v>33</v>
      </c>
      <c r="D14" s="4">
        <v>77000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0</v>
      </c>
    </row>
    <row r="25" spans="1:4" x14ac:dyDescent="0.3">
      <c r="A25"/>
      <c r="B25" s="26"/>
      <c r="C25" s="38" t="s">
        <v>46</v>
      </c>
      <c r="D25" s="28">
        <v>494060</v>
      </c>
    </row>
    <row r="26" spans="1:4" x14ac:dyDescent="0.3">
      <c r="A26"/>
      <c r="B26" s="29"/>
      <c r="C26" s="39" t="s">
        <v>47</v>
      </c>
      <c r="D26" s="31">
        <v>172840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2322000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21603350</v>
      </c>
    </row>
    <row r="36" spans="1:4" x14ac:dyDescent="0.3">
      <c r="B36" s="46" t="s">
        <v>39</v>
      </c>
      <c r="C36" s="47"/>
      <c r="D36" s="28">
        <v>24841800</v>
      </c>
    </row>
    <row r="37" spans="1:4" ht="17.25" thickBot="1" x14ac:dyDescent="0.35">
      <c r="B37" s="48" t="s">
        <v>41</v>
      </c>
      <c r="C37" s="49"/>
      <c r="D37" s="58">
        <f>D36-D35</f>
        <v>3238450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  <ignoredErrors>
    <ignoredError sqref="B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FACA-AD20-455E-9A48-E8CEBE7CF247}">
  <dimension ref="A1:F37"/>
  <sheetViews>
    <sheetView tabSelected="1" zoomScale="115" zoomScaleNormal="115" workbookViewId="0">
      <selection activeCell="F1" sqref="F1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2025.11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>
        <v>2893470</v>
      </c>
    </row>
    <row r="4" spans="1:4" x14ac:dyDescent="0.3">
      <c r="A4"/>
      <c r="B4" s="6"/>
      <c r="C4" s="10" t="s">
        <v>1</v>
      </c>
      <c r="D4" s="4">
        <v>1186215</v>
      </c>
    </row>
    <row r="5" spans="1:4" x14ac:dyDescent="0.3">
      <c r="A5"/>
      <c r="B5" s="6"/>
      <c r="C5" s="10" t="s">
        <v>2</v>
      </c>
      <c r="D5" s="4">
        <v>1269650</v>
      </c>
    </row>
    <row r="6" spans="1:4" x14ac:dyDescent="0.3">
      <c r="A6"/>
      <c r="B6" s="6"/>
      <c r="C6" s="10" t="s">
        <v>3</v>
      </c>
      <c r="D6" s="4">
        <v>75500</v>
      </c>
    </row>
    <row r="7" spans="1:4" x14ac:dyDescent="0.3">
      <c r="A7"/>
      <c r="B7" s="6"/>
      <c r="C7" s="10" t="s">
        <v>4</v>
      </c>
      <c r="D7" s="4">
        <v>159500</v>
      </c>
    </row>
    <row r="8" spans="1:4" x14ac:dyDescent="0.3">
      <c r="A8"/>
      <c r="B8" s="6"/>
      <c r="C8" s="10" t="s">
        <v>5</v>
      </c>
      <c r="D8" s="4">
        <v>18000</v>
      </c>
    </row>
    <row r="9" spans="1:4" x14ac:dyDescent="0.3">
      <c r="A9"/>
      <c r="B9" s="6"/>
      <c r="C9" s="10" t="s">
        <v>6</v>
      </c>
      <c r="D9" s="4">
        <v>175000</v>
      </c>
    </row>
    <row r="10" spans="1:4" x14ac:dyDescent="0.3">
      <c r="A10"/>
      <c r="B10" s="11"/>
      <c r="C10" s="12" t="s">
        <v>12</v>
      </c>
      <c r="D10" s="13">
        <v>0</v>
      </c>
    </row>
    <row r="11" spans="1:4" x14ac:dyDescent="0.3">
      <c r="A11"/>
      <c r="B11" s="14" t="s">
        <v>37</v>
      </c>
      <c r="C11" s="12" t="s">
        <v>7</v>
      </c>
      <c r="D11" s="13">
        <v>336660</v>
      </c>
    </row>
    <row r="12" spans="1:4" x14ac:dyDescent="0.3">
      <c r="A12"/>
      <c r="B12" s="14" t="s">
        <v>38</v>
      </c>
      <c r="C12" s="12" t="s">
        <v>8</v>
      </c>
      <c r="D12" s="13">
        <v>92900</v>
      </c>
    </row>
    <row r="13" spans="1:4" x14ac:dyDescent="0.3">
      <c r="A13"/>
      <c r="B13" s="15" t="s">
        <v>55</v>
      </c>
      <c r="C13" s="12" t="s">
        <v>9</v>
      </c>
      <c r="D13" s="13">
        <v>100000</v>
      </c>
    </row>
    <row r="14" spans="1:4" x14ac:dyDescent="0.3">
      <c r="A14"/>
      <c r="B14" s="7"/>
      <c r="C14" s="10" t="s">
        <v>33</v>
      </c>
      <c r="D14" s="4">
        <v>92400</v>
      </c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>
        <v>208840</v>
      </c>
    </row>
    <row r="25" spans="1:4" x14ac:dyDescent="0.3">
      <c r="A25"/>
      <c r="B25" s="26"/>
      <c r="C25" s="38" t="s">
        <v>46</v>
      </c>
      <c r="D25" s="28">
        <v>498590</v>
      </c>
    </row>
    <row r="26" spans="1:4" x14ac:dyDescent="0.3">
      <c r="A26"/>
      <c r="B26" s="29"/>
      <c r="C26" s="39" t="s">
        <v>47</v>
      </c>
      <c r="D26" s="31">
        <v>103700</v>
      </c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>
        <v>0</v>
      </c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3000000</v>
      </c>
    </row>
    <row r="33" spans="1:6" ht="17.25" thickBot="1" x14ac:dyDescent="0.35">
      <c r="A33"/>
      <c r="B33" s="41"/>
      <c r="C33" s="42" t="s">
        <v>49</v>
      </c>
      <c r="D33" s="8">
        <v>2000000</v>
      </c>
    </row>
    <row r="34" spans="1:6" x14ac:dyDescent="0.3">
      <c r="A34"/>
      <c r="B34" s="44" t="s">
        <v>42</v>
      </c>
      <c r="C34" s="47"/>
      <c r="D34" s="54">
        <f>SUM(D31:D33)</f>
        <v>8100000</v>
      </c>
    </row>
    <row r="35" spans="1:6" x14ac:dyDescent="0.3">
      <c r="B35" s="46" t="s">
        <v>40</v>
      </c>
      <c r="C35" s="47"/>
      <c r="D35" s="54">
        <f>SUM(D3:D33)</f>
        <v>18825585</v>
      </c>
    </row>
    <row r="36" spans="1:6" x14ac:dyDescent="0.3">
      <c r="B36" s="46" t="s">
        <v>39</v>
      </c>
      <c r="C36" s="47"/>
      <c r="D36" s="28">
        <v>21304700</v>
      </c>
      <c r="F36" s="61" t="s">
        <v>57</v>
      </c>
    </row>
    <row r="37" spans="1:6" ht="17.25" thickBot="1" x14ac:dyDescent="0.35">
      <c r="B37" s="48" t="s">
        <v>41</v>
      </c>
      <c r="C37" s="49"/>
      <c r="D37" s="58">
        <f>D36-D35</f>
        <v>2479115</v>
      </c>
      <c r="F37" s="62">
        <f>D37+'10월'!D37+'9월'!D37+'8월'!D37+'7월'!D37+'6월'!D37+'5월'!D37+'4월'!D37+'3월'!D39+'2월'!D39+'1월'!D39</f>
        <v>87921044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3C40-70F0-4E63-A21D-299601F35132}">
  <dimension ref="A1:D37"/>
  <sheetViews>
    <sheetView zoomScale="115" zoomScaleNormal="115" workbookViewId="0">
      <selection activeCell="H27" sqref="H27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20.625" bestFit="1" customWidth="1"/>
    <col min="7" max="7" width="11" bestFit="1" customWidth="1"/>
  </cols>
  <sheetData>
    <row r="1" spans="1:4" x14ac:dyDescent="0.3">
      <c r="A1"/>
      <c r="B1" s="21">
        <v>2025.12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/>
    </row>
    <row r="4" spans="1:4" x14ac:dyDescent="0.3">
      <c r="A4"/>
      <c r="B4" s="6"/>
      <c r="C4" s="10" t="s">
        <v>1</v>
      </c>
      <c r="D4" s="4"/>
    </row>
    <row r="5" spans="1:4" x14ac:dyDescent="0.3">
      <c r="A5"/>
      <c r="B5" s="6"/>
      <c r="C5" s="10" t="s">
        <v>2</v>
      </c>
      <c r="D5" s="4"/>
    </row>
    <row r="6" spans="1:4" x14ac:dyDescent="0.3">
      <c r="A6"/>
      <c r="B6" s="6"/>
      <c r="C6" s="10" t="s">
        <v>3</v>
      </c>
      <c r="D6" s="4"/>
    </row>
    <row r="7" spans="1:4" x14ac:dyDescent="0.3">
      <c r="A7"/>
      <c r="B7" s="6"/>
      <c r="C7" s="10" t="s">
        <v>4</v>
      </c>
      <c r="D7" s="4"/>
    </row>
    <row r="8" spans="1:4" x14ac:dyDescent="0.3">
      <c r="A8"/>
      <c r="B8" s="6"/>
      <c r="C8" s="10" t="s">
        <v>5</v>
      </c>
      <c r="D8" s="4"/>
    </row>
    <row r="9" spans="1:4" x14ac:dyDescent="0.3">
      <c r="A9"/>
      <c r="B9" s="6"/>
      <c r="C9" s="10" t="s">
        <v>6</v>
      </c>
      <c r="D9" s="4"/>
    </row>
    <row r="10" spans="1:4" x14ac:dyDescent="0.3">
      <c r="A10"/>
      <c r="B10" s="11"/>
      <c r="C10" s="12" t="s">
        <v>12</v>
      </c>
      <c r="D10" s="13"/>
    </row>
    <row r="11" spans="1:4" x14ac:dyDescent="0.3">
      <c r="A11"/>
      <c r="B11" s="14" t="s">
        <v>37</v>
      </c>
      <c r="C11" s="12" t="s">
        <v>7</v>
      </c>
      <c r="D11" s="13"/>
    </row>
    <row r="12" spans="1:4" x14ac:dyDescent="0.3">
      <c r="A12"/>
      <c r="B12" s="14" t="s">
        <v>38</v>
      </c>
      <c r="C12" s="12" t="s">
        <v>8</v>
      </c>
      <c r="D12" s="13"/>
    </row>
    <row r="13" spans="1:4" x14ac:dyDescent="0.3">
      <c r="A13"/>
      <c r="B13" s="15" t="s">
        <v>36</v>
      </c>
      <c r="C13" s="12" t="s">
        <v>10</v>
      </c>
      <c r="D13" s="13"/>
    </row>
    <row r="14" spans="1:4" x14ac:dyDescent="0.3">
      <c r="A14"/>
      <c r="B14" s="7"/>
      <c r="C14" s="10" t="s">
        <v>33</v>
      </c>
      <c r="D14" s="4"/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/>
    </row>
    <row r="25" spans="1:4" x14ac:dyDescent="0.3">
      <c r="A25"/>
      <c r="B25" s="26"/>
      <c r="C25" s="38" t="s">
        <v>46</v>
      </c>
      <c r="D25" s="28"/>
    </row>
    <row r="26" spans="1:4" x14ac:dyDescent="0.3">
      <c r="A26"/>
      <c r="B26" s="29"/>
      <c r="C26" s="39" t="s">
        <v>47</v>
      </c>
      <c r="D26" s="31"/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/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>
        <v>3100000</v>
      </c>
    </row>
    <row r="32" spans="1:4" x14ac:dyDescent="0.3">
      <c r="A32"/>
      <c r="B32" s="26"/>
      <c r="C32" s="27" t="s">
        <v>27</v>
      </c>
      <c r="D32" s="56">
        <v>3000000</v>
      </c>
    </row>
    <row r="33" spans="1:4" ht="17.25" thickBot="1" x14ac:dyDescent="0.35">
      <c r="A33"/>
      <c r="B33" s="41"/>
      <c r="C33" s="42" t="s">
        <v>49</v>
      </c>
      <c r="D33" s="8">
        <v>2000000</v>
      </c>
    </row>
    <row r="34" spans="1:4" x14ac:dyDescent="0.3">
      <c r="A34"/>
      <c r="B34" s="44" t="s">
        <v>42</v>
      </c>
      <c r="C34" s="47"/>
      <c r="D34" s="54">
        <f>SUM(D31:D33)</f>
        <v>8100000</v>
      </c>
    </row>
    <row r="35" spans="1:4" x14ac:dyDescent="0.3">
      <c r="B35" s="46" t="s">
        <v>40</v>
      </c>
      <c r="C35" s="47"/>
      <c r="D35" s="54">
        <f>SUM(D3:D33)</f>
        <v>11615160</v>
      </c>
    </row>
    <row r="36" spans="1:4" x14ac:dyDescent="0.3">
      <c r="B36" s="46" t="s">
        <v>39</v>
      </c>
      <c r="C36" s="47"/>
      <c r="D36" s="28"/>
    </row>
    <row r="37" spans="1:4" ht="17.25" thickBot="1" x14ac:dyDescent="0.35">
      <c r="B37" s="48" t="s">
        <v>41</v>
      </c>
      <c r="C37" s="49"/>
      <c r="D37" s="55">
        <f>D36-D35</f>
        <v>-11615160</v>
      </c>
    </row>
  </sheetData>
  <mergeCells count="9">
    <mergeCell ref="B35:C35"/>
    <mergeCell ref="B36:C36"/>
    <mergeCell ref="B37:C37"/>
    <mergeCell ref="B3:B10"/>
    <mergeCell ref="B15:B23"/>
    <mergeCell ref="B24:B26"/>
    <mergeCell ref="B27:B28"/>
    <mergeCell ref="B31:B33"/>
    <mergeCell ref="B34:C3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C521-2813-491D-8B56-6D0F5A75C161}">
  <dimension ref="A1:D37"/>
  <sheetViews>
    <sheetView zoomScale="115" zoomScaleNormal="115" workbookViewId="0">
      <selection activeCell="D32" sqref="D32"/>
    </sheetView>
  </sheetViews>
  <sheetFormatPr defaultRowHeight="16.5" x14ac:dyDescent="0.3"/>
  <cols>
    <col min="1" max="1" width="7.125" style="1" customWidth="1"/>
    <col min="2" max="2" width="22.5" bestFit="1" customWidth="1"/>
    <col min="3" max="3" width="13.75" bestFit="1" customWidth="1"/>
    <col min="4" max="4" width="12.875" customWidth="1"/>
    <col min="5" max="5" width="22.5" bestFit="1" customWidth="1"/>
    <col min="6" max="6" width="13.75" bestFit="1" customWidth="1"/>
    <col min="7" max="7" width="11" bestFit="1" customWidth="1"/>
  </cols>
  <sheetData>
    <row r="1" spans="1:4" x14ac:dyDescent="0.3">
      <c r="A1"/>
      <c r="B1" s="21" t="s">
        <v>44</v>
      </c>
    </row>
    <row r="2" spans="1:4" ht="17.25" thickBot="1" x14ac:dyDescent="0.35">
      <c r="A2"/>
    </row>
    <row r="3" spans="1:4" x14ac:dyDescent="0.3">
      <c r="A3"/>
      <c r="B3" s="5" t="s">
        <v>32</v>
      </c>
      <c r="C3" s="9" t="s">
        <v>0</v>
      </c>
      <c r="D3" s="3"/>
    </row>
    <row r="4" spans="1:4" x14ac:dyDescent="0.3">
      <c r="A4"/>
      <c r="B4" s="6"/>
      <c r="C4" s="10" t="s">
        <v>1</v>
      </c>
      <c r="D4" s="4"/>
    </row>
    <row r="5" spans="1:4" x14ac:dyDescent="0.3">
      <c r="A5"/>
      <c r="B5" s="6"/>
      <c r="C5" s="10" t="s">
        <v>2</v>
      </c>
      <c r="D5" s="4"/>
    </row>
    <row r="6" spans="1:4" x14ac:dyDescent="0.3">
      <c r="A6"/>
      <c r="B6" s="6"/>
      <c r="C6" s="10" t="s">
        <v>3</v>
      </c>
      <c r="D6" s="4"/>
    </row>
    <row r="7" spans="1:4" x14ac:dyDescent="0.3">
      <c r="A7"/>
      <c r="B7" s="6"/>
      <c r="C7" s="10" t="s">
        <v>4</v>
      </c>
      <c r="D7" s="4"/>
    </row>
    <row r="8" spans="1:4" x14ac:dyDescent="0.3">
      <c r="A8"/>
      <c r="B8" s="6"/>
      <c r="C8" s="10" t="s">
        <v>5</v>
      </c>
      <c r="D8" s="4"/>
    </row>
    <row r="9" spans="1:4" x14ac:dyDescent="0.3">
      <c r="A9"/>
      <c r="B9" s="6"/>
      <c r="C9" s="10" t="s">
        <v>6</v>
      </c>
      <c r="D9" s="4"/>
    </row>
    <row r="10" spans="1:4" x14ac:dyDescent="0.3">
      <c r="A10"/>
      <c r="B10" s="11"/>
      <c r="C10" s="12" t="s">
        <v>12</v>
      </c>
      <c r="D10" s="13"/>
    </row>
    <row r="11" spans="1:4" x14ac:dyDescent="0.3">
      <c r="A11"/>
      <c r="B11" s="14" t="s">
        <v>37</v>
      </c>
      <c r="C11" s="12" t="s">
        <v>7</v>
      </c>
      <c r="D11" s="13"/>
    </row>
    <row r="12" spans="1:4" x14ac:dyDescent="0.3">
      <c r="A12"/>
      <c r="B12" s="14" t="s">
        <v>38</v>
      </c>
      <c r="C12" s="12" t="s">
        <v>8</v>
      </c>
      <c r="D12" s="13"/>
    </row>
    <row r="13" spans="1:4" x14ac:dyDescent="0.3">
      <c r="A13"/>
      <c r="B13" s="15" t="s">
        <v>36</v>
      </c>
      <c r="C13" s="12" t="s">
        <v>10</v>
      </c>
      <c r="D13" s="13"/>
    </row>
    <row r="14" spans="1:4" x14ac:dyDescent="0.3">
      <c r="A14"/>
      <c r="B14" s="7"/>
      <c r="C14" s="10" t="s">
        <v>33</v>
      </c>
      <c r="D14" s="4"/>
    </row>
    <row r="15" spans="1:4" x14ac:dyDescent="0.3">
      <c r="A15"/>
      <c r="B15" s="16" t="s">
        <v>34</v>
      </c>
      <c r="C15" s="17" t="s">
        <v>11</v>
      </c>
      <c r="D15" s="50">
        <v>2310000</v>
      </c>
    </row>
    <row r="16" spans="1:4" x14ac:dyDescent="0.3">
      <c r="A16"/>
      <c r="B16" s="6"/>
      <c r="C16" s="10" t="s">
        <v>13</v>
      </c>
      <c r="D16" s="51">
        <v>63800</v>
      </c>
    </row>
    <row r="17" spans="1:4" x14ac:dyDescent="0.3">
      <c r="A17"/>
      <c r="B17" s="6"/>
      <c r="C17" s="10" t="s">
        <v>14</v>
      </c>
      <c r="D17" s="51">
        <v>36460</v>
      </c>
    </row>
    <row r="18" spans="1:4" x14ac:dyDescent="0.3">
      <c r="A18"/>
      <c r="B18" s="6"/>
      <c r="C18" s="10" t="s">
        <v>15</v>
      </c>
      <c r="D18" s="51">
        <v>19900</v>
      </c>
    </row>
    <row r="19" spans="1:4" x14ac:dyDescent="0.3">
      <c r="A19"/>
      <c r="B19" s="6"/>
      <c r="C19" s="10" t="s">
        <v>16</v>
      </c>
      <c r="D19" s="51">
        <v>70000</v>
      </c>
    </row>
    <row r="20" spans="1:4" x14ac:dyDescent="0.3">
      <c r="A20"/>
      <c r="B20" s="6"/>
      <c r="C20" s="10" t="s">
        <v>17</v>
      </c>
      <c r="D20" s="51">
        <v>330000</v>
      </c>
    </row>
    <row r="21" spans="1:4" x14ac:dyDescent="0.3">
      <c r="A21"/>
      <c r="B21" s="6"/>
      <c r="C21" s="10" t="s">
        <v>18</v>
      </c>
      <c r="D21" s="51">
        <v>77000</v>
      </c>
    </row>
    <row r="22" spans="1:4" x14ac:dyDescent="0.3">
      <c r="A22"/>
      <c r="B22" s="6"/>
      <c r="C22" s="10" t="s">
        <v>19</v>
      </c>
      <c r="D22" s="51">
        <v>30000</v>
      </c>
    </row>
    <row r="23" spans="1:4" x14ac:dyDescent="0.3">
      <c r="A23"/>
      <c r="B23" s="11"/>
      <c r="C23" s="12" t="s">
        <v>20</v>
      </c>
      <c r="D23" s="52">
        <v>12000</v>
      </c>
    </row>
    <row r="24" spans="1:4" x14ac:dyDescent="0.3">
      <c r="A24"/>
      <c r="B24" s="34" t="s">
        <v>48</v>
      </c>
      <c r="C24" s="37" t="s">
        <v>45</v>
      </c>
      <c r="D24" s="36"/>
    </row>
    <row r="25" spans="1:4" x14ac:dyDescent="0.3">
      <c r="A25"/>
      <c r="B25" s="26"/>
      <c r="C25" s="38" t="s">
        <v>46</v>
      </c>
      <c r="D25" s="28"/>
    </row>
    <row r="26" spans="1:4" x14ac:dyDescent="0.3">
      <c r="A26"/>
      <c r="B26" s="29"/>
      <c r="C26" s="39" t="s">
        <v>47</v>
      </c>
      <c r="D26" s="31"/>
    </row>
    <row r="27" spans="1:4" x14ac:dyDescent="0.3">
      <c r="A27"/>
      <c r="B27" s="26" t="s">
        <v>35</v>
      </c>
      <c r="C27" s="27" t="s">
        <v>21</v>
      </c>
      <c r="D27" s="51">
        <v>100000</v>
      </c>
    </row>
    <row r="28" spans="1:4" x14ac:dyDescent="0.3">
      <c r="A28"/>
      <c r="B28" s="29"/>
      <c r="C28" s="30" t="s">
        <v>22</v>
      </c>
      <c r="D28" s="52">
        <v>400000</v>
      </c>
    </row>
    <row r="29" spans="1:4" x14ac:dyDescent="0.3">
      <c r="A29"/>
      <c r="B29" s="32" t="s">
        <v>31</v>
      </c>
      <c r="C29" s="30" t="s">
        <v>23</v>
      </c>
      <c r="D29" s="13"/>
    </row>
    <row r="30" spans="1:4" x14ac:dyDescent="0.3">
      <c r="A30"/>
      <c r="B30" s="33"/>
      <c r="C30" s="27" t="s">
        <v>24</v>
      </c>
      <c r="D30" s="4">
        <v>66000</v>
      </c>
    </row>
    <row r="31" spans="1:4" x14ac:dyDescent="0.3">
      <c r="A31"/>
      <c r="B31" s="34" t="s">
        <v>30</v>
      </c>
      <c r="C31" s="35" t="s">
        <v>25</v>
      </c>
      <c r="D31" s="18"/>
    </row>
    <row r="32" spans="1:4" x14ac:dyDescent="0.3">
      <c r="A32"/>
      <c r="B32" s="26"/>
      <c r="C32" s="27" t="s">
        <v>27</v>
      </c>
      <c r="D32" s="56"/>
    </row>
    <row r="33" spans="1:4" ht="17.25" thickBot="1" x14ac:dyDescent="0.35">
      <c r="A33"/>
      <c r="B33" s="41"/>
      <c r="C33" s="42" t="s">
        <v>49</v>
      </c>
      <c r="D33" s="8"/>
    </row>
    <row r="34" spans="1:4" x14ac:dyDescent="0.3">
      <c r="A34"/>
      <c r="B34" s="44" t="s">
        <v>42</v>
      </c>
      <c r="C34" s="47"/>
      <c r="D34" s="54">
        <f>SUM(D31:D33)</f>
        <v>0</v>
      </c>
    </row>
    <row r="35" spans="1:4" x14ac:dyDescent="0.3">
      <c r="B35" s="46" t="s">
        <v>40</v>
      </c>
      <c r="C35" s="47"/>
      <c r="D35" s="54">
        <f>SUM(D3:D33)</f>
        <v>3515160</v>
      </c>
    </row>
    <row r="36" spans="1:4" x14ac:dyDescent="0.3">
      <c r="B36" s="46" t="s">
        <v>39</v>
      </c>
      <c r="C36" s="47"/>
      <c r="D36" s="28"/>
    </row>
    <row r="37" spans="1:4" ht="17.25" thickBot="1" x14ac:dyDescent="0.35">
      <c r="B37" s="48" t="s">
        <v>41</v>
      </c>
      <c r="C37" s="49"/>
      <c r="D37" s="55">
        <f>D36-D35</f>
        <v>-3515160</v>
      </c>
    </row>
  </sheetData>
  <mergeCells count="9">
    <mergeCell ref="B35:C35"/>
    <mergeCell ref="B36:C36"/>
    <mergeCell ref="B37:C37"/>
    <mergeCell ref="B31:B33"/>
    <mergeCell ref="B24:B26"/>
    <mergeCell ref="B27:B28"/>
    <mergeCell ref="B34:C34"/>
    <mergeCell ref="B3:B10"/>
    <mergeCell ref="B15:B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복사본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j6331</dc:creator>
  <cp:lastModifiedBy>j6331</cp:lastModifiedBy>
  <cp:lastPrinted>2025-12-25T12:36:52Z</cp:lastPrinted>
  <dcterms:created xsi:type="dcterms:W3CDTF">2025-12-25T11:26:09Z</dcterms:created>
  <dcterms:modified xsi:type="dcterms:W3CDTF">2025-12-25T12:38:35Z</dcterms:modified>
</cp:coreProperties>
</file>