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이진진\Desktop\포토샵\참새방앗간\"/>
    </mc:Choice>
  </mc:AlternateContent>
  <xr:revisionPtr revIDLastSave="0" documentId="13_ncr:1_{88E64F47-8070-4086-82B6-1A91E817B146}" xr6:coauthVersionLast="47" xr6:coauthVersionMax="47" xr10:uidLastSave="{00000000-0000-0000-0000-000000000000}"/>
  <bookViews>
    <workbookView xWindow="-20610" yWindow="-120" windowWidth="20730" windowHeight="11160" activeTab="2" xr2:uid="{00000000-000D-0000-FFFF-FFFF00000000}"/>
  </bookViews>
  <sheets>
    <sheet name="25.10.11" sheetId="1" r:id="rId1"/>
    <sheet name="25.11.08" sheetId="2" r:id="rId2"/>
    <sheet name="26.03.2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nRdlF627kV45XN1PqRpbs5m7KrxAMFGaSQZkxxggpg="/>
    </ext>
  </extLst>
</workbook>
</file>

<file path=xl/calcChain.xml><?xml version="1.0" encoding="utf-8"?>
<calcChain xmlns="http://schemas.openxmlformats.org/spreadsheetml/2006/main">
  <c r="H16" i="3" l="1"/>
  <c r="H4" i="3"/>
  <c r="A38" i="3"/>
  <c r="D44" i="2"/>
  <c r="H40" i="2"/>
  <c r="H35" i="2"/>
  <c r="H4" i="2"/>
  <c r="H10" i="2"/>
  <c r="A44" i="2"/>
  <c r="J60" i="1"/>
  <c r="H39" i="1"/>
  <c r="H15" i="1"/>
  <c r="H5" i="1"/>
  <c r="A60" i="1"/>
  <c r="D38" i="3" l="1"/>
  <c r="I38" i="3" s="1"/>
  <c r="J38" i="3" s="1"/>
  <c r="I44" i="2"/>
  <c r="J44" i="2" s="1"/>
  <c r="D60" i="1"/>
  <c r="I60" i="1" s="1"/>
</calcChain>
</file>

<file path=xl/sharedStrings.xml><?xml version="1.0" encoding="utf-8"?>
<sst xmlns="http://schemas.openxmlformats.org/spreadsheetml/2006/main" count="330" uniqueCount="220">
  <si>
    <t>수입</t>
  </si>
  <si>
    <t>지출</t>
  </si>
  <si>
    <t>비용</t>
  </si>
  <si>
    <t>매출처</t>
  </si>
  <si>
    <t>내용</t>
  </si>
  <si>
    <t>매입처</t>
  </si>
  <si>
    <t>배현지</t>
    <phoneticPr fontId="1" type="noConversion"/>
  </si>
  <si>
    <t>이진행</t>
    <phoneticPr fontId="1" type="noConversion"/>
  </si>
  <si>
    <t>김형석</t>
    <phoneticPr fontId="1" type="noConversion"/>
  </si>
  <si>
    <t>김명은</t>
    <phoneticPr fontId="1" type="noConversion"/>
  </si>
  <si>
    <t>김민우</t>
    <phoneticPr fontId="1" type="noConversion"/>
  </si>
  <si>
    <t>김효진</t>
    <phoneticPr fontId="1" type="noConversion"/>
  </si>
  <si>
    <t>남조현</t>
    <phoneticPr fontId="1" type="noConversion"/>
  </si>
  <si>
    <t>양서현</t>
    <phoneticPr fontId="1" type="noConversion"/>
  </si>
  <si>
    <t>김가을</t>
    <phoneticPr fontId="1" type="noConversion"/>
  </si>
  <si>
    <t>황다영</t>
    <phoneticPr fontId="1" type="noConversion"/>
  </si>
  <si>
    <t>최현정</t>
    <phoneticPr fontId="1" type="noConversion"/>
  </si>
  <si>
    <t>박정원</t>
    <phoneticPr fontId="1" type="noConversion"/>
  </si>
  <si>
    <t>강재연</t>
    <phoneticPr fontId="1" type="noConversion"/>
  </si>
  <si>
    <t>김혜미</t>
    <phoneticPr fontId="1" type="noConversion"/>
  </si>
  <si>
    <t>고한솔</t>
    <phoneticPr fontId="1" type="noConversion"/>
  </si>
  <si>
    <t>이서혜</t>
    <phoneticPr fontId="1" type="noConversion"/>
  </si>
  <si>
    <t>김준엽</t>
    <phoneticPr fontId="1" type="noConversion"/>
  </si>
  <si>
    <t>황인성</t>
    <phoneticPr fontId="1" type="noConversion"/>
  </si>
  <si>
    <t>최장민</t>
    <phoneticPr fontId="1" type="noConversion"/>
  </si>
  <si>
    <t>장병윤</t>
    <phoneticPr fontId="1" type="noConversion"/>
  </si>
  <si>
    <t>오현우</t>
    <phoneticPr fontId="1" type="noConversion"/>
  </si>
  <si>
    <t>조한식</t>
    <phoneticPr fontId="1" type="noConversion"/>
  </si>
  <si>
    <t>진우정</t>
    <phoneticPr fontId="1" type="noConversion"/>
  </si>
  <si>
    <t>이준노</t>
    <phoneticPr fontId="1" type="noConversion"/>
  </si>
  <si>
    <t>최장원</t>
    <phoneticPr fontId="1" type="noConversion"/>
  </si>
  <si>
    <t>이철한</t>
    <phoneticPr fontId="1" type="noConversion"/>
  </si>
  <si>
    <t>박성현</t>
    <phoneticPr fontId="1" type="noConversion"/>
  </si>
  <si>
    <t>이가람</t>
    <phoneticPr fontId="1" type="noConversion"/>
  </si>
  <si>
    <t>이진</t>
    <phoneticPr fontId="1" type="noConversion"/>
  </si>
  <si>
    <t>김혜진</t>
    <phoneticPr fontId="1" type="noConversion"/>
  </si>
  <si>
    <t>환불 수수료</t>
    <phoneticPr fontId="1" type="noConversion"/>
  </si>
  <si>
    <t>김선영</t>
    <phoneticPr fontId="1" type="noConversion"/>
  </si>
  <si>
    <t>연장비용
(25명)</t>
    <phoneticPr fontId="1" type="noConversion"/>
  </si>
  <si>
    <t>참가비
여자(14명)</t>
    <phoneticPr fontId="1" type="noConversion"/>
  </si>
  <si>
    <t>참가비
남자(16명)</t>
    <phoneticPr fontId="1" type="noConversion"/>
  </si>
  <si>
    <t>모던 플레이스</t>
    <phoneticPr fontId="1" type="noConversion"/>
  </si>
  <si>
    <t>대관비(기본 8인)</t>
    <phoneticPr fontId="1" type="noConversion"/>
  </si>
  <si>
    <t>인원추가비용(22인)</t>
    <phoneticPr fontId="1" type="noConversion"/>
  </si>
  <si>
    <t>배달의민족</t>
    <phoneticPr fontId="1" type="noConversion"/>
  </si>
  <si>
    <t>쿠팡</t>
    <phoneticPr fontId="1" type="noConversion"/>
  </si>
  <si>
    <t>G car</t>
    <phoneticPr fontId="1" type="noConversion"/>
  </si>
  <si>
    <t>렌트비</t>
    <phoneticPr fontId="1" type="noConversion"/>
  </si>
  <si>
    <t>주류, 음료</t>
    <phoneticPr fontId="1" type="noConversion"/>
  </si>
  <si>
    <t>결제</t>
    <phoneticPr fontId="1" type="noConversion"/>
  </si>
  <si>
    <t>이진진</t>
    <phoneticPr fontId="1" type="noConversion"/>
  </si>
  <si>
    <t>플레이트</t>
    <phoneticPr fontId="1" type="noConversion"/>
  </si>
  <si>
    <t>공동</t>
    <phoneticPr fontId="1" type="noConversion"/>
  </si>
  <si>
    <t>합계</t>
    <phoneticPr fontId="1" type="noConversion"/>
  </si>
  <si>
    <t>카스큐팩 1.6L*6</t>
    <phoneticPr fontId="1" type="noConversion"/>
  </si>
  <si>
    <t>처음처럼 375*20</t>
    <phoneticPr fontId="1" type="noConversion"/>
  </si>
  <si>
    <t>접이식수납함 2PK</t>
    <phoneticPr fontId="1" type="noConversion"/>
  </si>
  <si>
    <t>프렌치 보드카</t>
    <phoneticPr fontId="1" type="noConversion"/>
  </si>
  <si>
    <t>음료수컵 240EA</t>
    <phoneticPr fontId="1" type="noConversion"/>
  </si>
  <si>
    <t>베이컨크럼블스</t>
    <phoneticPr fontId="1" type="noConversion"/>
  </si>
  <si>
    <t>토티야 칩</t>
    <phoneticPr fontId="1" type="noConversion"/>
  </si>
  <si>
    <t>피칸 타르트</t>
    <phoneticPr fontId="1" type="noConversion"/>
  </si>
  <si>
    <t>종이접시 중형 120</t>
    <phoneticPr fontId="1" type="noConversion"/>
  </si>
  <si>
    <t>미국쇠고기다짐육</t>
    <phoneticPr fontId="1" type="noConversion"/>
  </si>
  <si>
    <t>LAY'S 클래식</t>
    <phoneticPr fontId="1" type="noConversion"/>
  </si>
  <si>
    <t>미니마들렌 24CT</t>
    <phoneticPr fontId="1" type="noConversion"/>
  </si>
  <si>
    <t>시카고믹스팝콘</t>
    <phoneticPr fontId="1" type="noConversion"/>
  </si>
  <si>
    <t>깔루아 리큐르</t>
    <phoneticPr fontId="1" type="noConversion"/>
  </si>
  <si>
    <t>SELECTUS(와인)</t>
    <phoneticPr fontId="1" type="noConversion"/>
  </si>
  <si>
    <t>호세쿠엘보(양주)</t>
    <phoneticPr fontId="1" type="noConversion"/>
  </si>
  <si>
    <t>동원 부어스트 소시지</t>
    <phoneticPr fontId="1" type="noConversion"/>
  </si>
  <si>
    <t>파로 치플레 소스</t>
    <phoneticPr fontId="1" type="noConversion"/>
  </si>
  <si>
    <t>폰타나 캄파니아 마카로니</t>
    <phoneticPr fontId="1" type="noConversion"/>
  </si>
  <si>
    <t>크랜베리 주스</t>
    <phoneticPr fontId="1" type="noConversion"/>
  </si>
  <si>
    <t>디벨라 홀 토마토 통조림</t>
    <phoneticPr fontId="1" type="noConversion"/>
  </si>
  <si>
    <t>씨유 신대방역</t>
    <phoneticPr fontId="1" type="noConversion"/>
  </si>
  <si>
    <t>박한웅</t>
    <phoneticPr fontId="1" type="noConversion"/>
  </si>
  <si>
    <t>기타</t>
    <phoneticPr fontId="1" type="noConversion"/>
  </si>
  <si>
    <t>풀무원 돌얼음</t>
    <phoneticPr fontId="1" type="noConversion"/>
  </si>
  <si>
    <t>제주삼다수 2L*2</t>
    <phoneticPr fontId="1" type="noConversion"/>
  </si>
  <si>
    <t>지리산물하나 생수 2L*6</t>
    <phoneticPr fontId="1" type="noConversion"/>
  </si>
  <si>
    <t>B마트</t>
    <phoneticPr fontId="1" type="noConversion"/>
  </si>
  <si>
    <t>썬터치 탱크W 가스렌지</t>
    <phoneticPr fontId="1" type="noConversion"/>
  </si>
  <si>
    <t>썬연료 부탄가스*4</t>
    <phoneticPr fontId="1" type="noConversion"/>
  </si>
  <si>
    <t>이마트 구로점</t>
    <phoneticPr fontId="1" type="noConversion"/>
  </si>
  <si>
    <t>진라면 매운맛*5</t>
    <phoneticPr fontId="1" type="noConversion"/>
  </si>
  <si>
    <t>소화잘되는우유 etc</t>
    <phoneticPr fontId="1" type="noConversion"/>
  </si>
  <si>
    <t>칠성사이다제로 etc</t>
    <phoneticPr fontId="1" type="noConversion"/>
  </si>
  <si>
    <t>아이시스2L*4 etc</t>
    <phoneticPr fontId="1" type="noConversion"/>
  </si>
  <si>
    <t>이안나</t>
    <phoneticPr fontId="1" type="noConversion"/>
  </si>
  <si>
    <t>아이스웰얼음 etc</t>
    <phoneticPr fontId="1" type="noConversion"/>
  </si>
  <si>
    <t>개인 수익</t>
    <phoneticPr fontId="1" type="noConversion"/>
  </si>
  <si>
    <t>총 수익</t>
    <phoneticPr fontId="1" type="noConversion"/>
  </si>
  <si>
    <t>옐로우체다 슈레드 치즈</t>
    <phoneticPr fontId="1" type="noConversion"/>
  </si>
  <si>
    <t>라벨스티커 견출지</t>
    <phoneticPr fontId="1" type="noConversion"/>
  </si>
  <si>
    <t>숫자 스티커</t>
    <phoneticPr fontId="1" type="noConversion"/>
  </si>
  <si>
    <t>HDMI 케이블</t>
    <phoneticPr fontId="1" type="noConversion"/>
  </si>
  <si>
    <t>레크레이션 준비물</t>
    <phoneticPr fontId="1" type="noConversion"/>
  </si>
  <si>
    <t>(주)아성다이소</t>
    <phoneticPr fontId="1" type="noConversion"/>
  </si>
  <si>
    <t>(주)웰빙상도</t>
    <phoneticPr fontId="1" type="noConversion"/>
  </si>
  <si>
    <t>택시 요금</t>
    <phoneticPr fontId="1" type="noConversion"/>
  </si>
  <si>
    <t>Uber Taxi</t>
    <phoneticPr fontId="1" type="noConversion"/>
  </si>
  <si>
    <t>(주)한주주방아울렛</t>
    <phoneticPr fontId="1" type="noConversion"/>
  </si>
  <si>
    <t>(주)코스트코 코리아</t>
    <phoneticPr fontId="1" type="noConversion"/>
  </si>
  <si>
    <t>세븐일레븐 신림사랑점</t>
    <phoneticPr fontId="1" type="noConversion"/>
  </si>
  <si>
    <t>참여자</t>
    <phoneticPr fontId="1" type="noConversion"/>
  </si>
  <si>
    <t>레크레이션 상품</t>
    <phoneticPr fontId="1" type="noConversion"/>
  </si>
  <si>
    <t>무지탁구공</t>
    <phoneticPr fontId="1" type="noConversion"/>
  </si>
  <si>
    <t>김은진</t>
    <phoneticPr fontId="1" type="noConversion"/>
  </si>
  <si>
    <t>오소현</t>
    <phoneticPr fontId="1" type="noConversion"/>
  </si>
  <si>
    <t>정서현</t>
    <phoneticPr fontId="1" type="noConversion"/>
  </si>
  <si>
    <t>백수빈</t>
    <phoneticPr fontId="1" type="noConversion"/>
  </si>
  <si>
    <t>구지윤</t>
    <phoneticPr fontId="1" type="noConversion"/>
  </si>
  <si>
    <t>백다은</t>
    <phoneticPr fontId="1" type="noConversion"/>
  </si>
  <si>
    <t>노현채</t>
    <phoneticPr fontId="1" type="noConversion"/>
  </si>
  <si>
    <t>김준희</t>
    <phoneticPr fontId="1" type="noConversion"/>
  </si>
  <si>
    <t>박운재</t>
    <phoneticPr fontId="1" type="noConversion"/>
  </si>
  <si>
    <t>김현건</t>
    <phoneticPr fontId="1" type="noConversion"/>
  </si>
  <si>
    <t>이상우</t>
    <phoneticPr fontId="1" type="noConversion"/>
  </si>
  <si>
    <t>이원준</t>
    <phoneticPr fontId="1" type="noConversion"/>
  </si>
  <si>
    <t>이정우</t>
    <phoneticPr fontId="1" type="noConversion"/>
  </si>
  <si>
    <t>남궁찬우</t>
    <phoneticPr fontId="1" type="noConversion"/>
  </si>
  <si>
    <t>이주혁</t>
    <phoneticPr fontId="1" type="noConversion"/>
  </si>
  <si>
    <t>엄기두</t>
    <phoneticPr fontId="1" type="noConversion"/>
  </si>
  <si>
    <t>이지예</t>
    <phoneticPr fontId="1" type="noConversion"/>
  </si>
  <si>
    <t>참가비
여자(8명)</t>
    <phoneticPr fontId="1" type="noConversion"/>
  </si>
  <si>
    <t>참가비
남자(10명)</t>
    <phoneticPr fontId="1" type="noConversion"/>
  </si>
  <si>
    <t>연장비용
(10명)</t>
    <phoneticPr fontId="1" type="noConversion"/>
  </si>
  <si>
    <t>스페이스 연남</t>
    <phoneticPr fontId="1" type="noConversion"/>
  </si>
  <si>
    <t>인원추가비용(17인)</t>
    <phoneticPr fontId="1" type="noConversion"/>
  </si>
  <si>
    <t>프린트카페 홍대</t>
    <phoneticPr fontId="1" type="noConversion"/>
  </si>
  <si>
    <t>인쇄비용</t>
    <phoneticPr fontId="1" type="noConversion"/>
  </si>
  <si>
    <t>LOTTE 빼빼로모음</t>
    <phoneticPr fontId="1" type="noConversion"/>
  </si>
  <si>
    <t>KS COOKED BACON</t>
    <phoneticPr fontId="1" type="noConversion"/>
  </si>
  <si>
    <t>샤인머스캣</t>
    <phoneticPr fontId="1" type="noConversion"/>
  </si>
  <si>
    <t>유기농샐러드540G</t>
    <phoneticPr fontId="1" type="noConversion"/>
  </si>
  <si>
    <t>유기농샐러드 할인</t>
    <phoneticPr fontId="1" type="noConversion"/>
  </si>
  <si>
    <t>칵테일토마토</t>
    <phoneticPr fontId="1" type="noConversion"/>
  </si>
  <si>
    <t>예거마이스터 1L</t>
    <phoneticPr fontId="1" type="noConversion"/>
  </si>
  <si>
    <t>예거마이스터 할인</t>
    <phoneticPr fontId="1" type="noConversion"/>
  </si>
  <si>
    <t>수플레치즈케익</t>
    <phoneticPr fontId="1" type="noConversion"/>
  </si>
  <si>
    <t>처음처럼 1.8L*2</t>
  </si>
  <si>
    <t>처음처럼 1.8L*2</t>
    <phoneticPr fontId="1" type="noConversion"/>
  </si>
  <si>
    <t>양송이 1팩</t>
    <phoneticPr fontId="1" type="noConversion"/>
  </si>
  <si>
    <t>KS 케를핑크 칩</t>
    <phoneticPr fontId="1" type="noConversion"/>
  </si>
  <si>
    <t>표고버섯</t>
    <phoneticPr fontId="1" type="noConversion"/>
  </si>
  <si>
    <t>WERTHER'S POPCORN</t>
    <phoneticPr fontId="1" type="noConversion"/>
  </si>
  <si>
    <t>POPCORN 할인</t>
    <phoneticPr fontId="1" type="noConversion"/>
  </si>
  <si>
    <t>KS새우21-25 908G</t>
    <phoneticPr fontId="1" type="noConversion"/>
  </si>
  <si>
    <t>KS GRANA PADANO</t>
    <phoneticPr fontId="1" type="noConversion"/>
  </si>
  <si>
    <t>BARILLA링귀니</t>
    <phoneticPr fontId="1" type="noConversion"/>
  </si>
  <si>
    <t>링귀니 할인</t>
    <phoneticPr fontId="1" type="noConversion"/>
  </si>
  <si>
    <t>KS FRENCH VODKA</t>
    <phoneticPr fontId="1" type="noConversion"/>
  </si>
  <si>
    <t>BACON 할인</t>
    <phoneticPr fontId="1" type="noConversion"/>
  </si>
  <si>
    <t>지킴이계란(왕란)</t>
    <phoneticPr fontId="1" type="noConversion"/>
  </si>
  <si>
    <t>원주원예-양파</t>
    <phoneticPr fontId="1" type="noConversion"/>
  </si>
  <si>
    <t>원주원예-깐마늘(대)</t>
    <phoneticPr fontId="1" type="noConversion"/>
  </si>
  <si>
    <t>강원푸드마켓</t>
    <phoneticPr fontId="1" type="noConversion"/>
  </si>
  <si>
    <t>델몬트 오렌지 etc</t>
    <phoneticPr fontId="1" type="noConversion"/>
  </si>
  <si>
    <t>대관비(기본 5인)</t>
    <phoneticPr fontId="1" type="noConversion"/>
  </si>
  <si>
    <t>쿠팡이츠</t>
    <phoneticPr fontId="1" type="noConversion"/>
  </si>
  <si>
    <t>누리마을감자탕 홍대직영점</t>
    <phoneticPr fontId="1" type="noConversion"/>
  </si>
  <si>
    <t>-</t>
    <phoneticPr fontId="1" type="noConversion"/>
  </si>
  <si>
    <t>럭키할인마트</t>
    <phoneticPr fontId="1" type="noConversion"/>
  </si>
  <si>
    <t>씨유연남Y빌딩점</t>
    <phoneticPr fontId="1" type="noConversion"/>
  </si>
  <si>
    <t>홍세정</t>
    <phoneticPr fontId="1" type="noConversion"/>
  </si>
  <si>
    <t>김은희</t>
    <phoneticPr fontId="1" type="noConversion"/>
  </si>
  <si>
    <t>조현정</t>
    <phoneticPr fontId="1" type="noConversion"/>
  </si>
  <si>
    <t>조홍주</t>
    <phoneticPr fontId="1" type="noConversion"/>
  </si>
  <si>
    <t>김민주</t>
    <phoneticPr fontId="1" type="noConversion"/>
  </si>
  <si>
    <t>양희연</t>
    <phoneticPr fontId="1" type="noConversion"/>
  </si>
  <si>
    <t>정소윤</t>
    <phoneticPr fontId="1" type="noConversion"/>
  </si>
  <si>
    <t>박소현</t>
    <phoneticPr fontId="1" type="noConversion"/>
  </si>
  <si>
    <t>김서영</t>
    <phoneticPr fontId="1" type="noConversion"/>
  </si>
  <si>
    <t>참가비
여자(10명)</t>
    <phoneticPr fontId="1" type="noConversion"/>
  </si>
  <si>
    <t>이민재</t>
    <phoneticPr fontId="1" type="noConversion"/>
  </si>
  <si>
    <t>편승훈</t>
    <phoneticPr fontId="1" type="noConversion"/>
  </si>
  <si>
    <t>유지훈</t>
    <phoneticPr fontId="1" type="noConversion"/>
  </si>
  <si>
    <t>임종혁</t>
    <phoneticPr fontId="1" type="noConversion"/>
  </si>
  <si>
    <t>김성운</t>
    <phoneticPr fontId="1" type="noConversion"/>
  </si>
  <si>
    <t>최재민</t>
    <phoneticPr fontId="1" type="noConversion"/>
  </si>
  <si>
    <t>한종운</t>
    <phoneticPr fontId="1" type="noConversion"/>
  </si>
  <si>
    <t>천진호</t>
    <phoneticPr fontId="1" type="noConversion"/>
  </si>
  <si>
    <t>윤성민</t>
    <phoneticPr fontId="1" type="noConversion"/>
  </si>
  <si>
    <t>대관비(기본 20인)</t>
    <phoneticPr fontId="1" type="noConversion"/>
  </si>
  <si>
    <t>신촌 공존</t>
    <phoneticPr fontId="1" type="noConversion"/>
  </si>
  <si>
    <t>국군복지단</t>
    <phoneticPr fontId="1" type="noConversion"/>
  </si>
  <si>
    <t>봄베이 사파이어</t>
    <phoneticPr fontId="1" type="noConversion"/>
  </si>
  <si>
    <t>프린트카페 신촌</t>
    <phoneticPr fontId="1" type="noConversion"/>
  </si>
  <si>
    <t>과일에반하다</t>
    <phoneticPr fontId="1" type="noConversion"/>
  </si>
  <si>
    <t>육회 과일(배)</t>
    <phoneticPr fontId="1" type="noConversion"/>
  </si>
  <si>
    <t>추억의 뽑기판</t>
    <phoneticPr fontId="1" type="noConversion"/>
  </si>
  <si>
    <t>라벨스티커</t>
    <phoneticPr fontId="1" type="noConversion"/>
  </si>
  <si>
    <t>컨디션환</t>
    <phoneticPr fontId="1" type="noConversion"/>
  </si>
  <si>
    <t>소고기다짐육</t>
    <phoneticPr fontId="1" type="noConversion"/>
  </si>
  <si>
    <t>배스킨라빈스 신촌점</t>
    <phoneticPr fontId="1" type="noConversion"/>
  </si>
  <si>
    <t>피나치공 성산점</t>
    <phoneticPr fontId="1" type="noConversion"/>
  </si>
  <si>
    <t>춘리마라탕 신촌점</t>
    <phoneticPr fontId="1" type="noConversion"/>
  </si>
  <si>
    <t>카스큐팩 1.6L*6 2개</t>
    <phoneticPr fontId="1" type="noConversion"/>
  </si>
  <si>
    <t>KS음료수컵240EA</t>
    <phoneticPr fontId="1" type="noConversion"/>
  </si>
  <si>
    <t>처음처럼375*20</t>
    <phoneticPr fontId="1" type="noConversion"/>
  </si>
  <si>
    <t>옐로우콘또띠아</t>
    <phoneticPr fontId="1" type="noConversion"/>
  </si>
  <si>
    <t>CUT &amp; SLICE SALAD</t>
    <phoneticPr fontId="1" type="noConversion"/>
  </si>
  <si>
    <t>CUT &amp; SLICE SALAD 할인</t>
    <phoneticPr fontId="1" type="noConversion"/>
  </si>
  <si>
    <t>오뚜기열라면</t>
    <phoneticPr fontId="1" type="noConversion"/>
  </si>
  <si>
    <t>오뚜기열라면 할인</t>
    <phoneticPr fontId="1" type="noConversion"/>
  </si>
  <si>
    <t>KS BACON LIGHT</t>
    <phoneticPr fontId="1" type="noConversion"/>
  </si>
  <si>
    <t>버터 새우칩</t>
    <phoneticPr fontId="1" type="noConversion"/>
  </si>
  <si>
    <t>딸기트라이플 2개</t>
    <phoneticPr fontId="1" type="noConversion"/>
  </si>
  <si>
    <t>한우육회</t>
    <phoneticPr fontId="1" type="noConversion"/>
  </si>
  <si>
    <t>육회소스 6개</t>
    <phoneticPr fontId="1" type="noConversion"/>
  </si>
  <si>
    <t>하나로축산</t>
    <phoneticPr fontId="1" type="noConversion"/>
  </si>
  <si>
    <t>향신료</t>
    <phoneticPr fontId="1" type="noConversion"/>
  </si>
  <si>
    <t>지에스더프레시동작</t>
    <phoneticPr fontId="1" type="noConversion"/>
  </si>
  <si>
    <t>양파</t>
    <phoneticPr fontId="1" type="noConversion"/>
  </si>
  <si>
    <t>일회용품</t>
    <phoneticPr fontId="1" type="noConversion"/>
  </si>
  <si>
    <t>우리농산물</t>
    <phoneticPr fontId="1" type="noConversion"/>
  </si>
  <si>
    <t>계란</t>
    <phoneticPr fontId="1" type="noConversion"/>
  </si>
  <si>
    <t>연장비용
(14명)</t>
    <phoneticPr fontId="1" type="noConversion"/>
  </si>
  <si>
    <t>딸기트라이플 2개 할인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</si>
</sst>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</fills>
  <borders count="51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A5A5A5"/>
      </bottom>
      <diagonal/>
    </border>
    <border>
      <left/>
      <right style="thin">
        <color rgb="FF666666"/>
      </right>
      <top style="thin">
        <color rgb="FF666666"/>
      </top>
      <bottom style="thin">
        <color rgb="FFA5A5A5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 style="thin">
        <color rgb="FFA5A5A5"/>
      </bottom>
      <diagonal/>
    </border>
    <border>
      <left/>
      <right style="thin">
        <color rgb="FF666666"/>
      </right>
      <top/>
      <bottom style="thin">
        <color rgb="FFA5A5A5"/>
      </bottom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A5A5A5"/>
      </top>
      <bottom style="thin">
        <color rgb="FFA5A5A5"/>
      </bottom>
      <diagonal/>
    </border>
    <border>
      <left/>
      <right style="thin">
        <color rgb="FF666666"/>
      </right>
      <top style="thin">
        <color rgb="FFA5A5A5"/>
      </top>
      <bottom style="thin">
        <color rgb="FFA5A5A5"/>
      </bottom>
      <diagonal/>
    </border>
    <border>
      <left/>
      <right style="thin">
        <color rgb="FF666666"/>
      </right>
      <top/>
      <bottom style="thin">
        <color rgb="FFA5A5A5"/>
      </bottom>
      <diagonal/>
    </border>
    <border>
      <left style="thin">
        <color rgb="FF666666"/>
      </left>
      <right style="thin">
        <color rgb="FF666666"/>
      </right>
      <top style="thin">
        <color rgb="FFA5A5A5"/>
      </top>
      <bottom/>
      <diagonal/>
    </border>
    <border>
      <left style="thin">
        <color rgb="FF666666"/>
      </left>
      <right style="thin">
        <color rgb="FF666666"/>
      </right>
      <top style="thin">
        <color rgb="FFA5A5A5"/>
      </top>
      <bottom style="thin">
        <color theme="0" tint="-0.34998626667073579"/>
      </bottom>
      <diagonal/>
    </border>
    <border>
      <left style="thin">
        <color rgb="FF666666"/>
      </left>
      <right style="thin">
        <color rgb="FF666666"/>
      </right>
      <top style="thin">
        <color theme="0" tint="-0.34998626667073579"/>
      </top>
      <bottom/>
      <diagonal/>
    </border>
    <border>
      <left style="thin">
        <color rgb="FF666666"/>
      </left>
      <right style="thin">
        <color rgb="FF666666"/>
      </right>
      <top/>
      <bottom style="thin">
        <color theme="0" tint="-0.34998626667073579"/>
      </bottom>
      <diagonal/>
    </border>
    <border>
      <left style="thin">
        <color rgb="FF666666"/>
      </left>
      <right style="thin">
        <color rgb="FF666666"/>
      </right>
      <top style="thin">
        <color rgb="FFA5A5A5"/>
      </top>
      <bottom style="thin">
        <color theme="3" tint="0.499984740745262"/>
      </bottom>
      <diagonal/>
    </border>
    <border>
      <left/>
      <right style="thin">
        <color rgb="FF666666"/>
      </right>
      <top/>
      <bottom style="thin">
        <color theme="3" tint="0.499984740745262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499984740745262"/>
      </bottom>
      <diagonal/>
    </border>
    <border>
      <left style="thin">
        <color rgb="FF666666"/>
      </left>
      <right style="thin">
        <color rgb="FF666666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666666"/>
      </left>
      <right style="thin">
        <color rgb="FF666666"/>
      </right>
      <top style="thin">
        <color theme="0" tint="-0.499984740745262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theme="1" tint="0.34998626667073579"/>
      </bottom>
      <diagonal/>
    </border>
    <border>
      <left/>
      <right style="thin">
        <color rgb="FF666666"/>
      </right>
      <top style="thin">
        <color rgb="FF666666"/>
      </top>
      <bottom style="thin">
        <color theme="1" tint="0.34998626667073579"/>
      </bottom>
      <diagonal/>
    </border>
    <border>
      <left style="thin">
        <color rgb="FF666666"/>
      </left>
      <right style="thin">
        <color rgb="FF666666"/>
      </right>
      <top style="thin">
        <color theme="1" tint="0.34998626667073579"/>
      </top>
      <bottom style="thin">
        <color rgb="FFA5A5A5"/>
      </bottom>
      <diagonal/>
    </border>
    <border>
      <left style="thin">
        <color rgb="FF666666"/>
      </left>
      <right style="thin">
        <color rgb="FF666666"/>
      </right>
      <top style="thin">
        <color theme="1" tint="0.34998626667073579"/>
      </top>
      <bottom/>
      <diagonal/>
    </border>
    <border>
      <left/>
      <right style="thin">
        <color rgb="FF666666"/>
      </right>
      <top style="thin">
        <color theme="1" tint="0.34998626667073579"/>
      </top>
      <bottom style="thin">
        <color rgb="FFA5A5A5"/>
      </bottom>
      <diagonal/>
    </border>
    <border>
      <left style="thin">
        <color rgb="FF666666"/>
      </left>
      <right style="thin">
        <color rgb="FF666666"/>
      </right>
      <top style="thin">
        <color rgb="FFA5A5A5"/>
      </top>
      <bottom style="thin">
        <color theme="1" tint="0.34998626667073579"/>
      </bottom>
      <diagonal/>
    </border>
    <border>
      <left/>
      <right style="thin">
        <color rgb="FF666666"/>
      </right>
      <top/>
      <bottom style="thin">
        <color theme="1" tint="0.34998626667073579"/>
      </bottom>
      <diagonal/>
    </border>
    <border>
      <left style="thin">
        <color rgb="FF666666"/>
      </left>
      <right style="thin">
        <color rgb="FF666666"/>
      </right>
      <top/>
      <bottom style="thin">
        <color theme="1" tint="0.34998626667073579"/>
      </bottom>
      <diagonal/>
    </border>
    <border>
      <left style="thin">
        <color rgb="FF666666"/>
      </left>
      <right style="thin">
        <color rgb="FF666666"/>
      </right>
      <top style="thin">
        <color theme="0" tint="-0.34998626667073579"/>
      </top>
      <bottom style="thin">
        <color rgb="FF666666"/>
      </bottom>
      <diagonal/>
    </border>
    <border>
      <left/>
      <right style="thin">
        <color rgb="FF666666"/>
      </right>
      <top style="thin">
        <color rgb="FFA5A5A5"/>
      </top>
      <bottom/>
      <diagonal/>
    </border>
    <border>
      <left style="thin">
        <color rgb="FF666666"/>
      </left>
      <right style="thin">
        <color rgb="FF666666"/>
      </right>
      <top style="thin">
        <color theme="1" tint="0.34998626667073579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theme="0" tint="-0.499984740745262"/>
      </top>
      <bottom style="thin">
        <color rgb="FFA5A5A5"/>
      </bottom>
      <diagonal/>
    </border>
    <border>
      <left style="thin">
        <color rgb="FF666666"/>
      </left>
      <right style="thin">
        <color rgb="FF666666"/>
      </right>
      <top style="thin">
        <color theme="0" tint="-0.34998626667073579"/>
      </top>
      <bottom style="thin">
        <color rgb="FFA5A5A5"/>
      </bottom>
      <diagonal/>
    </border>
    <border>
      <left style="thin">
        <color rgb="FF666666"/>
      </left>
      <right style="thin">
        <color rgb="FF666666"/>
      </right>
      <top style="thin">
        <color rgb="FFA5A5A5"/>
      </top>
      <bottom style="thin">
        <color theme="0" tint="-0.499984740745262"/>
      </bottom>
      <diagonal/>
    </border>
    <border>
      <left style="thin">
        <color rgb="FF666666"/>
      </left>
      <right style="thin">
        <color rgb="FF666666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 style="thin">
        <color theme="1" tint="0.34998626667073579"/>
      </top>
      <bottom/>
      <diagonal/>
    </border>
    <border>
      <left style="thin">
        <color rgb="FF666666"/>
      </left>
      <right style="thin">
        <color rgb="FF666666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theme="0" tint="-0.499984740745262"/>
      </bottom>
      <diagonal/>
    </border>
    <border>
      <left/>
      <right style="thin">
        <color rgb="FF666666"/>
      </right>
      <top/>
      <bottom style="thin">
        <color theme="0" tint="-0.499984740745262"/>
      </bottom>
      <diagonal/>
    </border>
    <border>
      <left style="thin">
        <color rgb="FF666666"/>
      </left>
      <right style="thin">
        <color rgb="FF666666"/>
      </right>
      <top style="thin">
        <color theme="1" tint="0.34998626667073579"/>
      </top>
      <bottom style="thin">
        <color theme="0" tint="-0.34998626667073579"/>
      </bottom>
      <diagonal/>
    </border>
    <border>
      <left/>
      <right style="thin">
        <color rgb="FF666666"/>
      </right>
      <top style="thin">
        <color theme="0" tint="-0.499984740745262"/>
      </top>
      <bottom style="thin">
        <color rgb="FFA5A5A5"/>
      </bottom>
      <diagonal/>
    </border>
  </borders>
  <cellStyleXfs count="1">
    <xf numFmtId="0" fontId="0" fillId="0" borderId="0"/>
  </cellStyleXfs>
  <cellXfs count="129">
    <xf numFmtId="0" fontId="0" fillId="0" borderId="0" xfId="0" applyAlignment="1">
      <alignment vertical="center"/>
    </xf>
    <xf numFmtId="176" fontId="2" fillId="10" borderId="12" xfId="0" applyNumberFormat="1" applyFont="1" applyFill="1" applyBorder="1" applyAlignment="1">
      <alignment horizontal="center" vertical="center"/>
    </xf>
    <xf numFmtId="176" fontId="2" fillId="10" borderId="15" xfId="0" applyNumberFormat="1" applyFont="1" applyFill="1" applyBorder="1" applyAlignment="1">
      <alignment horizontal="center" vertical="center"/>
    </xf>
    <xf numFmtId="176" fontId="2" fillId="10" borderId="18" xfId="0" applyNumberFormat="1" applyFont="1" applyFill="1" applyBorder="1" applyAlignment="1">
      <alignment horizontal="center" vertical="center"/>
    </xf>
    <xf numFmtId="176" fontId="2" fillId="10" borderId="14" xfId="0" applyNumberFormat="1" applyFont="1" applyFill="1" applyBorder="1" applyAlignment="1">
      <alignment horizontal="center" vertical="center"/>
    </xf>
    <xf numFmtId="176" fontId="2" fillId="10" borderId="19" xfId="0" applyNumberFormat="1" applyFont="1" applyFill="1" applyBorder="1" applyAlignment="1">
      <alignment horizontal="center" vertical="center"/>
    </xf>
    <xf numFmtId="176" fontId="2" fillId="10" borderId="20" xfId="0" applyNumberFormat="1" applyFont="1" applyFill="1" applyBorder="1" applyAlignment="1">
      <alignment horizontal="center" vertical="center"/>
    </xf>
    <xf numFmtId="176" fontId="2" fillId="11" borderId="19" xfId="0" applyNumberFormat="1" applyFont="1" applyFill="1" applyBorder="1" applyAlignment="1">
      <alignment horizontal="center" vertical="center"/>
    </xf>
    <xf numFmtId="176" fontId="2" fillId="11" borderId="15" xfId="0" applyNumberFormat="1" applyFont="1" applyFill="1" applyBorder="1" applyAlignment="1">
      <alignment horizontal="center" vertical="center"/>
    </xf>
    <xf numFmtId="176" fontId="2" fillId="10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6" borderId="10" xfId="0" applyNumberFormat="1" applyFont="1" applyFill="1" applyBorder="1" applyAlignment="1">
      <alignment horizontal="center" vertical="center"/>
    </xf>
    <xf numFmtId="176" fontId="2" fillId="7" borderId="10" xfId="0" applyNumberFormat="1" applyFont="1" applyFill="1" applyBorder="1" applyAlignment="1">
      <alignment horizontal="center" vertical="center"/>
    </xf>
    <xf numFmtId="176" fontId="2" fillId="8" borderId="10" xfId="0" applyNumberFormat="1" applyFont="1" applyFill="1" applyBorder="1" applyAlignment="1">
      <alignment horizontal="center" vertical="center"/>
    </xf>
    <xf numFmtId="176" fontId="2" fillId="9" borderId="10" xfId="0" applyNumberFormat="1" applyFont="1" applyFill="1" applyBorder="1" applyAlignment="1">
      <alignment horizontal="center" vertical="center"/>
    </xf>
    <xf numFmtId="176" fontId="2" fillId="10" borderId="11" xfId="0" applyNumberFormat="1" applyFont="1" applyFill="1" applyBorder="1" applyAlignment="1">
      <alignment horizontal="center" vertical="center"/>
    </xf>
    <xf numFmtId="176" fontId="2" fillId="12" borderId="15" xfId="0" applyNumberFormat="1" applyFont="1" applyFill="1" applyBorder="1" applyAlignment="1">
      <alignment horizontal="center" vertical="center"/>
    </xf>
    <xf numFmtId="176" fontId="2" fillId="10" borderId="21" xfId="0" applyNumberFormat="1" applyFont="1" applyFill="1" applyBorder="1" applyAlignment="1">
      <alignment horizontal="center" vertical="center"/>
    </xf>
    <xf numFmtId="176" fontId="2" fillId="11" borderId="1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11" borderId="14" xfId="0" applyNumberFormat="1" applyFont="1" applyFill="1" applyBorder="1" applyAlignment="1">
      <alignment horizontal="center" vertical="center"/>
    </xf>
    <xf numFmtId="176" fontId="2" fillId="12" borderId="16" xfId="0" applyNumberFormat="1" applyFont="1" applyFill="1" applyBorder="1" applyAlignment="1">
      <alignment horizontal="center" vertical="center"/>
    </xf>
    <xf numFmtId="176" fontId="2" fillId="10" borderId="24" xfId="0" applyNumberFormat="1" applyFont="1" applyFill="1" applyBorder="1" applyAlignment="1">
      <alignment horizontal="center" vertical="center"/>
    </xf>
    <xf numFmtId="176" fontId="2" fillId="10" borderId="25" xfId="0" applyNumberFormat="1" applyFont="1" applyFill="1" applyBorder="1" applyAlignment="1">
      <alignment horizontal="center" vertical="center"/>
    </xf>
    <xf numFmtId="176" fontId="2" fillId="11" borderId="17" xfId="0" applyNumberFormat="1" applyFont="1" applyFill="1" applyBorder="1" applyAlignment="1">
      <alignment horizontal="center" vertical="center"/>
    </xf>
    <xf numFmtId="176" fontId="2" fillId="11" borderId="21" xfId="0" applyNumberFormat="1" applyFont="1" applyFill="1" applyBorder="1" applyAlignment="1">
      <alignment horizontal="center" vertical="center"/>
    </xf>
    <xf numFmtId="176" fontId="2" fillId="11" borderId="27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176" fontId="2" fillId="13" borderId="16" xfId="0" applyNumberFormat="1" applyFont="1" applyFill="1" applyBorder="1" applyAlignment="1">
      <alignment horizontal="center" vertical="center"/>
    </xf>
    <xf numFmtId="176" fontId="2" fillId="11" borderId="29" xfId="0" applyNumberFormat="1" applyFont="1" applyFill="1" applyBorder="1" applyAlignment="1">
      <alignment horizontal="center" vertical="center"/>
    </xf>
    <xf numFmtId="176" fontId="2" fillId="11" borderId="30" xfId="0" applyNumberFormat="1" applyFont="1" applyFill="1" applyBorder="1" applyAlignment="1">
      <alignment horizontal="center" vertical="center"/>
    </xf>
    <xf numFmtId="176" fontId="2" fillId="12" borderId="30" xfId="0" applyNumberFormat="1" applyFont="1" applyFill="1" applyBorder="1" applyAlignment="1">
      <alignment horizontal="center" vertical="center"/>
    </xf>
    <xf numFmtId="176" fontId="2" fillId="13" borderId="30" xfId="0" applyNumberFormat="1" applyFont="1" applyFill="1" applyBorder="1" applyAlignment="1">
      <alignment horizontal="center" vertical="center"/>
    </xf>
    <xf numFmtId="176" fontId="2" fillId="11" borderId="31" xfId="0" applyNumberFormat="1" applyFont="1" applyFill="1" applyBorder="1" applyAlignment="1">
      <alignment horizontal="center" vertical="center"/>
    </xf>
    <xf numFmtId="176" fontId="2" fillId="11" borderId="33" xfId="0" applyNumberFormat="1" applyFont="1" applyFill="1" applyBorder="1" applyAlignment="1">
      <alignment horizontal="center" vertical="center"/>
    </xf>
    <xf numFmtId="176" fontId="2" fillId="11" borderId="34" xfId="0" applyNumberFormat="1" applyFont="1" applyFill="1" applyBorder="1" applyAlignment="1">
      <alignment horizontal="center" vertical="center"/>
    </xf>
    <xf numFmtId="176" fontId="2" fillId="11" borderId="35" xfId="0" applyNumberFormat="1" applyFont="1" applyFill="1" applyBorder="1" applyAlignment="1">
      <alignment horizontal="center" vertical="center"/>
    </xf>
    <xf numFmtId="176" fontId="2" fillId="13" borderId="22" xfId="0" applyNumberFormat="1" applyFont="1" applyFill="1" applyBorder="1" applyAlignment="1">
      <alignment horizontal="center" vertical="center"/>
    </xf>
    <xf numFmtId="176" fontId="2" fillId="12" borderId="27" xfId="0" applyNumberFormat="1" applyFont="1" applyFill="1" applyBorder="1" applyAlignment="1">
      <alignment horizontal="center" vertical="center"/>
    </xf>
    <xf numFmtId="176" fontId="2" fillId="13" borderId="27" xfId="0" applyNumberFormat="1" applyFont="1" applyFill="1" applyBorder="1" applyAlignment="1">
      <alignment horizontal="center" vertical="center"/>
    </xf>
    <xf numFmtId="176" fontId="2" fillId="13" borderId="5" xfId="0" applyNumberFormat="1" applyFont="1" applyFill="1" applyBorder="1" applyAlignment="1">
      <alignment horizontal="center" vertical="center"/>
    </xf>
    <xf numFmtId="176" fontId="2" fillId="13" borderId="9" xfId="0" applyNumberFormat="1" applyFont="1" applyFill="1" applyBorder="1" applyAlignment="1">
      <alignment horizontal="center" vertical="center"/>
    </xf>
    <xf numFmtId="176" fontId="2" fillId="12" borderId="37" xfId="0" applyNumberFormat="1" applyFont="1" applyFill="1" applyBorder="1" applyAlignment="1">
      <alignment horizontal="center" vertical="center"/>
    </xf>
    <xf numFmtId="176" fontId="2" fillId="12" borderId="23" xfId="0" applyNumberFormat="1" applyFont="1" applyFill="1" applyBorder="1" applyAlignment="1">
      <alignment horizontal="center" vertical="center"/>
    </xf>
    <xf numFmtId="176" fontId="2" fillId="12" borderId="38" xfId="0" applyNumberFormat="1" applyFont="1" applyFill="1" applyBorder="1" applyAlignment="1">
      <alignment horizontal="center" vertical="center"/>
    </xf>
    <xf numFmtId="176" fontId="2" fillId="10" borderId="31" xfId="0" applyNumberFormat="1" applyFont="1" applyFill="1" applyBorder="1" applyAlignment="1">
      <alignment horizontal="center" vertical="center"/>
    </xf>
    <xf numFmtId="176" fontId="2" fillId="10" borderId="39" xfId="0" applyNumberFormat="1" applyFont="1" applyFill="1" applyBorder="1" applyAlignment="1">
      <alignment horizontal="center" vertical="center"/>
    </xf>
    <xf numFmtId="176" fontId="2" fillId="11" borderId="20" xfId="0" applyNumberFormat="1" applyFont="1" applyFill="1" applyBorder="1" applyAlignment="1">
      <alignment horizontal="center" vertical="center"/>
    </xf>
    <xf numFmtId="176" fontId="2" fillId="11" borderId="5" xfId="0" applyNumberFormat="1" applyFont="1" applyFill="1" applyBorder="1" applyAlignment="1">
      <alignment horizontal="center" vertical="center"/>
    </xf>
    <xf numFmtId="176" fontId="2" fillId="11" borderId="32" xfId="0" applyNumberFormat="1" applyFont="1" applyFill="1" applyBorder="1" applyAlignment="1">
      <alignment horizontal="center" vertical="center"/>
    </xf>
    <xf numFmtId="176" fontId="2" fillId="10" borderId="5" xfId="0" applyNumberFormat="1" applyFont="1" applyFill="1" applyBorder="1" applyAlignment="1">
      <alignment horizontal="center" vertical="center" wrapText="1"/>
    </xf>
    <xf numFmtId="176" fontId="2" fillId="11" borderId="23" xfId="0" applyNumberFormat="1" applyFont="1" applyFill="1" applyBorder="1" applyAlignment="1">
      <alignment horizontal="center" vertical="center"/>
    </xf>
    <xf numFmtId="176" fontId="2" fillId="10" borderId="5" xfId="0" applyNumberFormat="1" applyFont="1" applyFill="1" applyBorder="1" applyAlignment="1">
      <alignment vertical="center" wrapText="1"/>
    </xf>
    <xf numFmtId="176" fontId="2" fillId="10" borderId="16" xfId="0" applyNumberFormat="1" applyFont="1" applyFill="1" applyBorder="1" applyAlignment="1">
      <alignment horizontal="center" vertical="center"/>
    </xf>
    <xf numFmtId="176" fontId="2" fillId="10" borderId="40" xfId="0" applyNumberFormat="1" applyFont="1" applyFill="1" applyBorder="1" applyAlignment="1">
      <alignment horizontal="center" vertical="center"/>
    </xf>
    <xf numFmtId="176" fontId="2" fillId="11" borderId="41" xfId="0" applyNumberFormat="1" applyFont="1" applyFill="1" applyBorder="1" applyAlignment="1">
      <alignment horizontal="center" vertical="center"/>
    </xf>
    <xf numFmtId="176" fontId="2" fillId="11" borderId="22" xfId="0" applyNumberFormat="1" applyFont="1" applyFill="1" applyBorder="1" applyAlignment="1">
      <alignment horizontal="center" vertical="center"/>
    </xf>
    <xf numFmtId="176" fontId="2" fillId="10" borderId="23" xfId="0" applyNumberFormat="1" applyFont="1" applyFill="1" applyBorder="1" applyAlignment="1">
      <alignment vertical="center" wrapText="1"/>
    </xf>
    <xf numFmtId="176" fontId="2" fillId="10" borderId="42" xfId="0" applyNumberFormat="1" applyFont="1" applyFill="1" applyBorder="1" applyAlignment="1">
      <alignment horizontal="center" vertical="center"/>
    </xf>
    <xf numFmtId="176" fontId="2" fillId="11" borderId="42" xfId="0" applyNumberFormat="1" applyFont="1" applyFill="1" applyBorder="1" applyAlignment="1">
      <alignment horizontal="center" vertical="center"/>
    </xf>
    <xf numFmtId="176" fontId="2" fillId="13" borderId="5" xfId="0" applyNumberFormat="1" applyFont="1" applyFill="1" applyBorder="1" applyAlignment="1">
      <alignment vertical="center"/>
    </xf>
    <xf numFmtId="176" fontId="2" fillId="13" borderId="36" xfId="0" applyNumberFormat="1" applyFont="1" applyFill="1" applyBorder="1" applyAlignment="1">
      <alignment vertical="center"/>
    </xf>
    <xf numFmtId="176" fontId="2" fillId="10" borderId="27" xfId="0" applyNumberFormat="1" applyFont="1" applyFill="1" applyBorder="1" applyAlignment="1">
      <alignment vertical="center" wrapText="1"/>
    </xf>
    <xf numFmtId="176" fontId="2" fillId="10" borderId="43" xfId="0" applyNumberFormat="1" applyFont="1" applyFill="1" applyBorder="1" applyAlignment="1">
      <alignment horizontal="center" vertical="center"/>
    </xf>
    <xf numFmtId="176" fontId="2" fillId="10" borderId="22" xfId="0" applyNumberFormat="1" applyFont="1" applyFill="1" applyBorder="1" applyAlignment="1">
      <alignment vertical="center" wrapText="1"/>
    </xf>
    <xf numFmtId="176" fontId="2" fillId="11" borderId="16" xfId="0" applyNumberFormat="1" applyFont="1" applyFill="1" applyBorder="1" applyAlignment="1">
      <alignment horizontal="center" vertical="center"/>
    </xf>
    <xf numFmtId="176" fontId="2" fillId="11" borderId="45" xfId="0" applyNumberFormat="1" applyFont="1" applyFill="1" applyBorder="1" applyAlignment="1">
      <alignment horizontal="center" vertical="center"/>
    </xf>
    <xf numFmtId="176" fontId="2" fillId="11" borderId="46" xfId="0" applyNumberFormat="1" applyFont="1" applyFill="1" applyBorder="1" applyAlignment="1">
      <alignment horizontal="center" vertical="center"/>
    </xf>
    <xf numFmtId="176" fontId="2" fillId="11" borderId="43" xfId="0" applyNumberFormat="1" applyFont="1" applyFill="1" applyBorder="1" applyAlignment="1">
      <alignment horizontal="center" vertical="center"/>
    </xf>
    <xf numFmtId="176" fontId="2" fillId="12" borderId="47" xfId="0" applyNumberFormat="1" applyFont="1" applyFill="1" applyBorder="1" applyAlignment="1">
      <alignment horizontal="center" vertical="center"/>
    </xf>
    <xf numFmtId="176" fontId="2" fillId="13" borderId="47" xfId="0" applyNumberFormat="1" applyFont="1" applyFill="1" applyBorder="1" applyAlignment="1">
      <alignment horizontal="center" vertical="center"/>
    </xf>
    <xf numFmtId="176" fontId="2" fillId="11" borderId="40" xfId="0" applyNumberFormat="1" applyFont="1" applyFill="1" applyBorder="1" applyAlignment="1">
      <alignment horizontal="center" vertical="center"/>
    </xf>
    <xf numFmtId="176" fontId="2" fillId="11" borderId="28" xfId="0" applyNumberFormat="1" applyFont="1" applyFill="1" applyBorder="1" applyAlignment="1">
      <alignment horizontal="center" vertical="center"/>
    </xf>
    <xf numFmtId="176" fontId="2" fillId="11" borderId="26" xfId="0" applyNumberFormat="1" applyFont="1" applyFill="1" applyBorder="1" applyAlignment="1">
      <alignment horizontal="center" vertical="center"/>
    </xf>
    <xf numFmtId="176" fontId="2" fillId="10" borderId="41" xfId="0" applyNumberFormat="1" applyFont="1" applyFill="1" applyBorder="1" applyAlignment="1">
      <alignment horizontal="center" vertical="center"/>
    </xf>
    <xf numFmtId="176" fontId="2" fillId="10" borderId="23" xfId="0" applyNumberFormat="1" applyFont="1" applyFill="1" applyBorder="1" applyAlignment="1">
      <alignment horizontal="center" vertical="center"/>
    </xf>
    <xf numFmtId="176" fontId="2" fillId="10" borderId="26" xfId="0" applyNumberFormat="1" applyFont="1" applyFill="1" applyBorder="1" applyAlignment="1">
      <alignment horizontal="center" vertical="center"/>
    </xf>
    <xf numFmtId="176" fontId="2" fillId="10" borderId="48" xfId="0" applyNumberFormat="1" applyFont="1" applyFill="1" applyBorder="1" applyAlignment="1">
      <alignment horizontal="center" vertical="center"/>
    </xf>
    <xf numFmtId="176" fontId="2" fillId="11" borderId="49" xfId="0" applyNumberFormat="1" applyFont="1" applyFill="1" applyBorder="1" applyAlignment="1">
      <alignment horizontal="center" vertical="center"/>
    </xf>
    <xf numFmtId="176" fontId="2" fillId="11" borderId="48" xfId="0" applyNumberFormat="1" applyFont="1" applyFill="1" applyBorder="1" applyAlignment="1">
      <alignment horizontal="center" vertical="center"/>
    </xf>
    <xf numFmtId="176" fontId="2" fillId="11" borderId="50" xfId="0" applyNumberFormat="1" applyFont="1" applyFill="1" applyBorder="1" applyAlignment="1">
      <alignment horizontal="center" vertical="center"/>
    </xf>
    <xf numFmtId="176" fontId="2" fillId="12" borderId="44" xfId="0" applyNumberFormat="1" applyFont="1" applyFill="1" applyBorder="1" applyAlignment="1">
      <alignment vertical="center"/>
    </xf>
    <xf numFmtId="176" fontId="2" fillId="12" borderId="4" xfId="0" applyNumberFormat="1" applyFont="1" applyFill="1" applyBorder="1" applyAlignment="1">
      <alignment horizontal="center" vertical="center"/>
    </xf>
    <xf numFmtId="176" fontId="2" fillId="12" borderId="5" xfId="0" applyNumberFormat="1" applyFont="1" applyFill="1" applyBorder="1" applyAlignment="1">
      <alignment vertical="center"/>
    </xf>
    <xf numFmtId="176" fontId="2" fillId="11" borderId="23" xfId="0" applyNumberFormat="1" applyFont="1" applyFill="1" applyBorder="1" applyAlignment="1">
      <alignment vertical="center"/>
    </xf>
    <xf numFmtId="176" fontId="2" fillId="11" borderId="28" xfId="0" applyNumberFormat="1" applyFont="1" applyFill="1" applyBorder="1" applyAlignment="1">
      <alignment horizontal="center" vertical="center"/>
    </xf>
    <xf numFmtId="176" fontId="2" fillId="11" borderId="5" xfId="0" applyNumberFormat="1" applyFont="1" applyFill="1" applyBorder="1" applyAlignment="1">
      <alignment horizontal="center" vertical="center"/>
    </xf>
    <xf numFmtId="176" fontId="2" fillId="11" borderId="26" xfId="0" applyNumberFormat="1" applyFont="1" applyFill="1" applyBorder="1" applyAlignment="1">
      <alignment horizontal="center" vertical="center"/>
    </xf>
    <xf numFmtId="176" fontId="2" fillId="11" borderId="32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176" fontId="2" fillId="10" borderId="4" xfId="0" applyNumberFormat="1" applyFont="1" applyFill="1" applyBorder="1" applyAlignment="1">
      <alignment horizontal="center" vertical="center" wrapText="1"/>
    </xf>
    <xf numFmtId="176" fontId="2" fillId="10" borderId="5" xfId="0" applyNumberFormat="1" applyFont="1" applyFill="1" applyBorder="1" applyAlignment="1">
      <alignment horizontal="center" vertical="center" wrapText="1"/>
    </xf>
    <xf numFmtId="176" fontId="2" fillId="10" borderId="28" xfId="0" applyNumberFormat="1" applyFont="1" applyFill="1" applyBorder="1" applyAlignment="1">
      <alignment horizontal="center" vertical="center" wrapText="1"/>
    </xf>
    <xf numFmtId="176" fontId="2" fillId="10" borderId="26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13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2" fillId="3" borderId="8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4" borderId="9" xfId="0" applyNumberFormat="1" applyFont="1" applyFill="1" applyBorder="1" applyAlignment="1">
      <alignment horizontal="center" vertical="center"/>
    </xf>
    <xf numFmtId="176" fontId="2" fillId="10" borderId="9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2" fillId="10" borderId="36" xfId="0" applyNumberFormat="1" applyFont="1" applyFill="1" applyBorder="1" applyAlignment="1">
      <alignment horizontal="center" vertical="center" wrapText="1"/>
    </xf>
    <xf numFmtId="176" fontId="2" fillId="11" borderId="14" xfId="0" applyNumberFormat="1" applyFont="1" applyFill="1" applyBorder="1" applyAlignment="1">
      <alignment horizontal="center" vertical="center"/>
    </xf>
    <xf numFmtId="176" fontId="2" fillId="11" borderId="36" xfId="0" applyNumberFormat="1" applyFont="1" applyFill="1" applyBorder="1" applyAlignment="1">
      <alignment horizontal="center" vertical="center"/>
    </xf>
    <xf numFmtId="176" fontId="2" fillId="11" borderId="20" xfId="0" applyNumberFormat="1" applyFont="1" applyFill="1" applyBorder="1" applyAlignment="1">
      <alignment horizontal="center" vertical="center"/>
    </xf>
    <xf numFmtId="176" fontId="2" fillId="11" borderId="23" xfId="0" applyNumberFormat="1" applyFont="1" applyFill="1" applyBorder="1" applyAlignment="1">
      <alignment horizontal="center" vertical="center"/>
    </xf>
    <xf numFmtId="176" fontId="2" fillId="13" borderId="32" xfId="0" applyNumberFormat="1" applyFont="1" applyFill="1" applyBorder="1" applyAlignment="1">
      <alignment horizontal="center" vertical="center"/>
    </xf>
    <xf numFmtId="176" fontId="2" fillId="13" borderId="5" xfId="0" applyNumberFormat="1" applyFont="1" applyFill="1" applyBorder="1" applyAlignment="1">
      <alignment horizontal="center" vertical="center"/>
    </xf>
    <xf numFmtId="176" fontId="2" fillId="13" borderId="36" xfId="0" applyNumberFormat="1" applyFont="1" applyFill="1" applyBorder="1" applyAlignment="1">
      <alignment horizontal="center" vertical="center"/>
    </xf>
    <xf numFmtId="176" fontId="2" fillId="12" borderId="32" xfId="0" applyNumberFormat="1" applyFont="1" applyFill="1" applyBorder="1" applyAlignment="1">
      <alignment horizontal="center" vertical="center"/>
    </xf>
    <xf numFmtId="176" fontId="2" fillId="12" borderId="5" xfId="0" applyNumberFormat="1" applyFont="1" applyFill="1" applyBorder="1" applyAlignment="1">
      <alignment horizontal="center" vertical="center"/>
    </xf>
    <xf numFmtId="176" fontId="2" fillId="12" borderId="36" xfId="0" applyNumberFormat="1" applyFont="1" applyFill="1" applyBorder="1" applyAlignment="1">
      <alignment horizontal="center" vertical="center"/>
    </xf>
    <xf numFmtId="176" fontId="2" fillId="12" borderId="44" xfId="0" applyNumberFormat="1" applyFont="1" applyFill="1" applyBorder="1" applyAlignment="1">
      <alignment horizontal="center" vertical="center"/>
    </xf>
    <xf numFmtId="176" fontId="2" fillId="12" borderId="6" xfId="0" applyNumberFormat="1" applyFont="1" applyFill="1" applyBorder="1" applyAlignment="1">
      <alignment horizontal="center" vertical="center"/>
    </xf>
    <xf numFmtId="176" fontId="2" fillId="11" borderId="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2"/>
  <sheetViews>
    <sheetView topLeftCell="A25" zoomScaleNormal="100" workbookViewId="0">
      <selection activeCell="K8" sqref="K8"/>
    </sheetView>
  </sheetViews>
  <sheetFormatPr defaultColWidth="14.42578125" defaultRowHeight="15" customHeight="1"/>
  <cols>
    <col min="1" max="2" width="15.7109375" style="10" customWidth="1"/>
    <col min="3" max="3" width="15.7109375" style="19" customWidth="1"/>
    <col min="4" max="4" width="15.7109375" style="10" customWidth="1"/>
    <col min="5" max="6" width="25.5703125" style="10" customWidth="1"/>
    <col min="7" max="10" width="15.7109375" style="10" customWidth="1"/>
    <col min="11" max="12" width="8.7109375" style="10" customWidth="1"/>
    <col min="13" max="13" width="11" style="10" bestFit="1" customWidth="1"/>
    <col min="14" max="24" width="8.7109375" style="10" customWidth="1"/>
    <col min="25" max="16384" width="14.42578125" style="10"/>
  </cols>
  <sheetData>
    <row r="1" spans="1:10" ht="16.5" customHeight="1">
      <c r="A1" s="95" t="s">
        <v>0</v>
      </c>
      <c r="B1" s="110"/>
      <c r="C1" s="111"/>
      <c r="D1" s="101" t="s">
        <v>1</v>
      </c>
      <c r="E1" s="102"/>
      <c r="F1" s="102"/>
      <c r="G1" s="102"/>
      <c r="H1" s="103"/>
      <c r="I1" s="107" t="s">
        <v>92</v>
      </c>
      <c r="J1" s="89" t="s">
        <v>91</v>
      </c>
    </row>
    <row r="2" spans="1:10" ht="16.5" customHeight="1">
      <c r="A2" s="112"/>
      <c r="B2" s="113"/>
      <c r="C2" s="114"/>
      <c r="D2" s="104"/>
      <c r="E2" s="105"/>
      <c r="F2" s="105"/>
      <c r="G2" s="105"/>
      <c r="H2" s="106"/>
      <c r="I2" s="108"/>
      <c r="J2" s="90"/>
    </row>
    <row r="3" spans="1:10" ht="16.5" customHeight="1">
      <c r="A3" s="11" t="s">
        <v>2</v>
      </c>
      <c r="B3" s="11" t="s">
        <v>3</v>
      </c>
      <c r="C3" s="11" t="s">
        <v>4</v>
      </c>
      <c r="D3" s="12" t="s">
        <v>2</v>
      </c>
      <c r="E3" s="12" t="s">
        <v>5</v>
      </c>
      <c r="F3" s="12" t="s">
        <v>4</v>
      </c>
      <c r="G3" s="12" t="s">
        <v>49</v>
      </c>
      <c r="H3" s="12" t="s">
        <v>53</v>
      </c>
      <c r="I3" s="13"/>
      <c r="J3" s="14" t="s">
        <v>105</v>
      </c>
    </row>
    <row r="4" spans="1:10" ht="16.5" customHeight="1">
      <c r="A4" s="15">
        <v>35000</v>
      </c>
      <c r="B4" s="1" t="s">
        <v>6</v>
      </c>
      <c r="C4" s="91" t="s">
        <v>39</v>
      </c>
      <c r="D4" s="29">
        <v>188500</v>
      </c>
      <c r="E4" s="29" t="s">
        <v>102</v>
      </c>
      <c r="F4" s="29" t="s">
        <v>51</v>
      </c>
      <c r="G4" s="29" t="s">
        <v>52</v>
      </c>
      <c r="H4" s="30">
        <v>188500</v>
      </c>
      <c r="I4" s="31"/>
      <c r="J4" s="32">
        <v>2</v>
      </c>
    </row>
    <row r="5" spans="1:10" ht="16.5" customHeight="1">
      <c r="A5" s="4">
        <v>35000</v>
      </c>
      <c r="B5" s="2" t="s">
        <v>9</v>
      </c>
      <c r="C5" s="92"/>
      <c r="D5" s="33">
        <v>279000</v>
      </c>
      <c r="E5" s="88" t="s">
        <v>41</v>
      </c>
      <c r="F5" s="34" t="s">
        <v>42</v>
      </c>
      <c r="G5" s="88" t="s">
        <v>50</v>
      </c>
      <c r="H5" s="88">
        <f>SUM(D5:D14)</f>
        <v>713050</v>
      </c>
      <c r="I5" s="123"/>
      <c r="J5" s="120"/>
    </row>
    <row r="6" spans="1:10" ht="16.5" customHeight="1">
      <c r="A6" s="4">
        <v>35000</v>
      </c>
      <c r="B6" s="2" t="s">
        <v>12</v>
      </c>
      <c r="C6" s="92"/>
      <c r="D6" s="20">
        <v>220000</v>
      </c>
      <c r="E6" s="116"/>
      <c r="F6" s="7" t="s">
        <v>43</v>
      </c>
      <c r="G6" s="86"/>
      <c r="H6" s="86"/>
      <c r="I6" s="124"/>
      <c r="J6" s="121"/>
    </row>
    <row r="7" spans="1:10" ht="16.5" customHeight="1">
      <c r="A7" s="4">
        <v>35000</v>
      </c>
      <c r="B7" s="2" t="s">
        <v>13</v>
      </c>
      <c r="C7" s="92"/>
      <c r="D7" s="20">
        <v>35400</v>
      </c>
      <c r="E7" s="118" t="s">
        <v>45</v>
      </c>
      <c r="F7" s="25" t="s">
        <v>93</v>
      </c>
      <c r="G7" s="86"/>
      <c r="H7" s="86"/>
      <c r="I7" s="124"/>
      <c r="J7" s="121"/>
    </row>
    <row r="8" spans="1:10" ht="16.5" customHeight="1">
      <c r="A8" s="4">
        <v>35000</v>
      </c>
      <c r="B8" s="2" t="s">
        <v>14</v>
      </c>
      <c r="C8" s="92"/>
      <c r="D8" s="20">
        <v>2100</v>
      </c>
      <c r="E8" s="86"/>
      <c r="F8" s="7" t="s">
        <v>107</v>
      </c>
      <c r="G8" s="86"/>
      <c r="H8" s="86"/>
      <c r="I8" s="124"/>
      <c r="J8" s="121"/>
    </row>
    <row r="9" spans="1:10" ht="16.5" customHeight="1">
      <c r="A9" s="4">
        <v>35000</v>
      </c>
      <c r="B9" s="2" t="s">
        <v>15</v>
      </c>
      <c r="C9" s="92"/>
      <c r="D9" s="20">
        <v>3250</v>
      </c>
      <c r="E9" s="86"/>
      <c r="F9" s="7" t="s">
        <v>94</v>
      </c>
      <c r="G9" s="86"/>
      <c r="H9" s="86"/>
      <c r="I9" s="124"/>
      <c r="J9" s="121"/>
    </row>
    <row r="10" spans="1:10" ht="16.5">
      <c r="A10" s="4">
        <v>35000</v>
      </c>
      <c r="B10" s="2" t="s">
        <v>16</v>
      </c>
      <c r="C10" s="92"/>
      <c r="D10" s="20">
        <v>6900</v>
      </c>
      <c r="E10" s="86"/>
      <c r="F10" s="7" t="s">
        <v>96</v>
      </c>
      <c r="G10" s="86"/>
      <c r="H10" s="86"/>
      <c r="I10" s="124"/>
      <c r="J10" s="121"/>
    </row>
    <row r="11" spans="1:10" ht="16.5" customHeight="1">
      <c r="A11" s="4">
        <v>35000</v>
      </c>
      <c r="B11" s="2" t="s">
        <v>17</v>
      </c>
      <c r="C11" s="92"/>
      <c r="D11" s="20">
        <v>7800</v>
      </c>
      <c r="E11" s="119"/>
      <c r="F11" s="7" t="s">
        <v>95</v>
      </c>
      <c r="G11" s="86"/>
      <c r="H11" s="86"/>
      <c r="I11" s="124"/>
      <c r="J11" s="121"/>
    </row>
    <row r="12" spans="1:10" ht="16.5" customHeight="1">
      <c r="A12" s="4">
        <v>35000</v>
      </c>
      <c r="B12" s="2" t="s">
        <v>18</v>
      </c>
      <c r="C12" s="92"/>
      <c r="D12" s="20">
        <v>20000</v>
      </c>
      <c r="E12" s="7" t="s">
        <v>44</v>
      </c>
      <c r="F12" s="7" t="s">
        <v>106</v>
      </c>
      <c r="G12" s="86"/>
      <c r="H12" s="86"/>
      <c r="I12" s="124"/>
      <c r="J12" s="121"/>
    </row>
    <row r="13" spans="1:10" ht="16.5" customHeight="1">
      <c r="A13" s="4">
        <v>35000</v>
      </c>
      <c r="B13" s="2" t="s">
        <v>19</v>
      </c>
      <c r="C13" s="92"/>
      <c r="D13" s="20">
        <v>57300</v>
      </c>
      <c r="E13" s="7" t="s">
        <v>46</v>
      </c>
      <c r="F13" s="7" t="s">
        <v>47</v>
      </c>
      <c r="G13" s="86"/>
      <c r="H13" s="86"/>
      <c r="I13" s="124"/>
      <c r="J13" s="121"/>
    </row>
    <row r="14" spans="1:10" ht="16.5" customHeight="1">
      <c r="A14" s="4">
        <v>35000</v>
      </c>
      <c r="B14" s="2" t="s">
        <v>34</v>
      </c>
      <c r="C14" s="92"/>
      <c r="D14" s="35">
        <v>81300</v>
      </c>
      <c r="E14" s="35" t="s">
        <v>104</v>
      </c>
      <c r="F14" s="36" t="s">
        <v>48</v>
      </c>
      <c r="G14" s="117"/>
      <c r="H14" s="117"/>
      <c r="I14" s="125"/>
      <c r="J14" s="122"/>
    </row>
    <row r="15" spans="1:10" ht="16.5" customHeight="1">
      <c r="A15" s="4">
        <v>35000</v>
      </c>
      <c r="B15" s="2" t="s">
        <v>20</v>
      </c>
      <c r="C15" s="92"/>
      <c r="D15" s="33">
        <v>32990</v>
      </c>
      <c r="E15" s="88" t="s">
        <v>103</v>
      </c>
      <c r="F15" s="33" t="s">
        <v>54</v>
      </c>
      <c r="G15" s="88" t="s">
        <v>76</v>
      </c>
      <c r="H15" s="88">
        <f>SUM(D15:D38)</f>
        <v>481410</v>
      </c>
      <c r="I15" s="123"/>
      <c r="J15" s="120"/>
    </row>
    <row r="16" spans="1:10" ht="16.5" customHeight="1">
      <c r="A16" s="17">
        <v>35000</v>
      </c>
      <c r="B16" s="2" t="s">
        <v>21</v>
      </c>
      <c r="C16" s="92"/>
      <c r="D16" s="20">
        <v>21790</v>
      </c>
      <c r="E16" s="86"/>
      <c r="F16" s="7" t="s">
        <v>55</v>
      </c>
      <c r="G16" s="86"/>
      <c r="H16" s="86"/>
      <c r="I16" s="124"/>
      <c r="J16" s="121"/>
    </row>
    <row r="17" spans="1:13" ht="16.5" customHeight="1">
      <c r="A17" s="22">
        <v>35000</v>
      </c>
      <c r="B17" s="23" t="s">
        <v>37</v>
      </c>
      <c r="C17" s="94"/>
      <c r="D17" s="20">
        <v>15590</v>
      </c>
      <c r="E17" s="86"/>
      <c r="F17" s="7" t="s">
        <v>56</v>
      </c>
      <c r="G17" s="86"/>
      <c r="H17" s="86"/>
      <c r="I17" s="124"/>
      <c r="J17" s="121"/>
    </row>
    <row r="18" spans="1:13" ht="16.5" customHeight="1">
      <c r="A18" s="4">
        <v>40000</v>
      </c>
      <c r="B18" s="5" t="s">
        <v>7</v>
      </c>
      <c r="C18" s="93" t="s">
        <v>40</v>
      </c>
      <c r="D18" s="20">
        <v>28790</v>
      </c>
      <c r="E18" s="86"/>
      <c r="F18" s="7" t="s">
        <v>57</v>
      </c>
      <c r="G18" s="86"/>
      <c r="H18" s="86"/>
      <c r="I18" s="124"/>
      <c r="J18" s="121"/>
    </row>
    <row r="19" spans="1:13" ht="16.5" customHeight="1">
      <c r="A19" s="4">
        <v>40000</v>
      </c>
      <c r="B19" s="2" t="s">
        <v>8</v>
      </c>
      <c r="C19" s="92"/>
      <c r="D19" s="20">
        <v>18790</v>
      </c>
      <c r="E19" s="86"/>
      <c r="F19" s="7" t="s">
        <v>58</v>
      </c>
      <c r="G19" s="86"/>
      <c r="H19" s="86"/>
      <c r="I19" s="124"/>
      <c r="J19" s="121"/>
    </row>
    <row r="20" spans="1:13" ht="16.5" customHeight="1">
      <c r="A20" s="4">
        <v>40000</v>
      </c>
      <c r="B20" s="5" t="s">
        <v>10</v>
      </c>
      <c r="C20" s="92"/>
      <c r="D20" s="24">
        <v>16990</v>
      </c>
      <c r="E20" s="86"/>
      <c r="F20" s="18" t="s">
        <v>59</v>
      </c>
      <c r="G20" s="86"/>
      <c r="H20" s="86"/>
      <c r="I20" s="124"/>
      <c r="J20" s="121"/>
      <c r="M20" s="27"/>
    </row>
    <row r="21" spans="1:13" ht="16.5" customHeight="1">
      <c r="A21" s="4">
        <v>40000</v>
      </c>
      <c r="B21" s="3" t="s">
        <v>11</v>
      </c>
      <c r="C21" s="92"/>
      <c r="D21" s="20">
        <v>20980</v>
      </c>
      <c r="E21" s="86"/>
      <c r="F21" s="7" t="s">
        <v>60</v>
      </c>
      <c r="G21" s="86"/>
      <c r="H21" s="86"/>
      <c r="I21" s="124"/>
      <c r="J21" s="121"/>
    </row>
    <row r="22" spans="1:13" ht="16.5" customHeight="1">
      <c r="A22" s="4">
        <v>40000</v>
      </c>
      <c r="B22" s="2" t="s">
        <v>22</v>
      </c>
      <c r="C22" s="92"/>
      <c r="D22" s="20">
        <v>35970</v>
      </c>
      <c r="E22" s="86"/>
      <c r="F22" s="7" t="s">
        <v>61</v>
      </c>
      <c r="G22" s="86"/>
      <c r="H22" s="86"/>
      <c r="I22" s="124"/>
      <c r="J22" s="121"/>
    </row>
    <row r="23" spans="1:13" ht="16.5" customHeight="1">
      <c r="A23" s="4">
        <v>40000</v>
      </c>
      <c r="B23" s="2" t="s">
        <v>23</v>
      </c>
      <c r="C23" s="92"/>
      <c r="D23" s="20">
        <v>15990</v>
      </c>
      <c r="E23" s="86"/>
      <c r="F23" s="7" t="s">
        <v>62</v>
      </c>
      <c r="G23" s="86"/>
      <c r="H23" s="86"/>
      <c r="I23" s="124"/>
      <c r="J23" s="121"/>
    </row>
    <row r="24" spans="1:13" ht="16.5" customHeight="1">
      <c r="A24" s="4">
        <v>40000</v>
      </c>
      <c r="B24" s="2" t="s">
        <v>24</v>
      </c>
      <c r="C24" s="92"/>
      <c r="D24" s="24">
        <v>34420</v>
      </c>
      <c r="E24" s="86"/>
      <c r="F24" s="18" t="s">
        <v>63</v>
      </c>
      <c r="G24" s="86"/>
      <c r="H24" s="86"/>
      <c r="I24" s="124"/>
      <c r="J24" s="121"/>
    </row>
    <row r="25" spans="1:13" ht="16.5" customHeight="1">
      <c r="A25" s="4">
        <v>40000</v>
      </c>
      <c r="B25" s="3" t="s">
        <v>25</v>
      </c>
      <c r="C25" s="92"/>
      <c r="D25" s="24">
        <v>11990</v>
      </c>
      <c r="E25" s="86"/>
      <c r="F25" s="18" t="s">
        <v>64</v>
      </c>
      <c r="G25" s="86"/>
      <c r="H25" s="86"/>
      <c r="I25" s="124"/>
      <c r="J25" s="121"/>
    </row>
    <row r="26" spans="1:13" ht="16.5" customHeight="1">
      <c r="A26" s="4">
        <v>40000</v>
      </c>
      <c r="B26" s="2" t="s">
        <v>26</v>
      </c>
      <c r="C26" s="92"/>
      <c r="D26" s="20">
        <v>10990</v>
      </c>
      <c r="E26" s="86"/>
      <c r="F26" s="7" t="s">
        <v>65</v>
      </c>
      <c r="G26" s="86"/>
      <c r="H26" s="86"/>
      <c r="I26" s="124"/>
      <c r="J26" s="121"/>
    </row>
    <row r="27" spans="1:13" ht="16.5" customHeight="1">
      <c r="A27" s="4">
        <v>40000</v>
      </c>
      <c r="B27" s="2" t="s">
        <v>27</v>
      </c>
      <c r="C27" s="92"/>
      <c r="D27" s="20">
        <v>12890</v>
      </c>
      <c r="E27" s="86"/>
      <c r="F27" s="7" t="s">
        <v>66</v>
      </c>
      <c r="G27" s="86"/>
      <c r="H27" s="86"/>
      <c r="I27" s="124"/>
      <c r="J27" s="121"/>
    </row>
    <row r="28" spans="1:13" ht="16.5" customHeight="1">
      <c r="A28" s="4">
        <v>40000</v>
      </c>
      <c r="B28" s="2" t="s">
        <v>28</v>
      </c>
      <c r="C28" s="92"/>
      <c r="D28" s="24">
        <v>24590</v>
      </c>
      <c r="E28" s="86"/>
      <c r="F28" s="18" t="s">
        <v>67</v>
      </c>
      <c r="G28" s="86"/>
      <c r="H28" s="86"/>
      <c r="I28" s="124"/>
      <c r="J28" s="121"/>
    </row>
    <row r="29" spans="1:13" ht="16.5" customHeight="1">
      <c r="A29" s="4">
        <v>40000</v>
      </c>
      <c r="B29" s="2" t="s">
        <v>29</v>
      </c>
      <c r="C29" s="92"/>
      <c r="D29" s="25">
        <v>17490</v>
      </c>
      <c r="E29" s="86"/>
      <c r="F29" s="25" t="s">
        <v>68</v>
      </c>
      <c r="G29" s="86"/>
      <c r="H29" s="86"/>
      <c r="I29" s="124"/>
      <c r="J29" s="121"/>
    </row>
    <row r="30" spans="1:13" ht="16.5" customHeight="1">
      <c r="A30" s="4">
        <v>40000</v>
      </c>
      <c r="B30" s="2" t="s">
        <v>30</v>
      </c>
      <c r="C30" s="92"/>
      <c r="D30" s="26">
        <v>35990</v>
      </c>
      <c r="E30" s="86"/>
      <c r="F30" s="26" t="s">
        <v>69</v>
      </c>
      <c r="G30" s="86"/>
      <c r="H30" s="86"/>
      <c r="I30" s="124"/>
      <c r="J30" s="121"/>
    </row>
    <row r="31" spans="1:13" ht="16.5" customHeight="1">
      <c r="A31" s="4">
        <v>40000</v>
      </c>
      <c r="B31" s="2" t="s">
        <v>31</v>
      </c>
      <c r="C31" s="92"/>
      <c r="D31" s="20">
        <v>34980</v>
      </c>
      <c r="E31" s="116"/>
      <c r="F31" s="7" t="s">
        <v>70</v>
      </c>
      <c r="G31" s="86"/>
      <c r="H31" s="86"/>
      <c r="I31" s="124"/>
      <c r="J31" s="121"/>
    </row>
    <row r="32" spans="1:13" ht="16.5" customHeight="1">
      <c r="A32" s="4">
        <v>40000</v>
      </c>
      <c r="B32" s="2" t="s">
        <v>32</v>
      </c>
      <c r="C32" s="92"/>
      <c r="D32" s="20">
        <v>10300</v>
      </c>
      <c r="E32" s="118" t="s">
        <v>45</v>
      </c>
      <c r="F32" s="7" t="s">
        <v>71</v>
      </c>
      <c r="G32" s="86"/>
      <c r="H32" s="86"/>
      <c r="I32" s="124"/>
      <c r="J32" s="121"/>
    </row>
    <row r="33" spans="1:12" ht="16.5" customHeight="1">
      <c r="A33" s="6">
        <v>40000</v>
      </c>
      <c r="B33" s="6" t="s">
        <v>33</v>
      </c>
      <c r="C33" s="115"/>
      <c r="D33" s="20">
        <v>8340</v>
      </c>
      <c r="E33" s="86"/>
      <c r="F33" s="7" t="s">
        <v>72</v>
      </c>
      <c r="G33" s="86"/>
      <c r="H33" s="86"/>
      <c r="I33" s="124"/>
      <c r="J33" s="121"/>
    </row>
    <row r="34" spans="1:12" ht="16.5" customHeight="1">
      <c r="A34" s="45">
        <v>15000</v>
      </c>
      <c r="B34" s="45" t="s">
        <v>14</v>
      </c>
      <c r="C34" s="92" t="s">
        <v>38</v>
      </c>
      <c r="D34" s="20">
        <v>8190</v>
      </c>
      <c r="E34" s="86"/>
      <c r="F34" s="7" t="s">
        <v>73</v>
      </c>
      <c r="G34" s="86"/>
      <c r="H34" s="86"/>
      <c r="I34" s="124"/>
      <c r="J34" s="121"/>
    </row>
    <row r="35" spans="1:12" ht="16.5" customHeight="1">
      <c r="A35" s="4">
        <v>15000</v>
      </c>
      <c r="B35" s="4" t="s">
        <v>20</v>
      </c>
      <c r="C35" s="92"/>
      <c r="D35" s="20">
        <v>7150</v>
      </c>
      <c r="E35" s="116"/>
      <c r="F35" s="7" t="s">
        <v>74</v>
      </c>
      <c r="G35" s="86"/>
      <c r="H35" s="86"/>
      <c r="I35" s="124"/>
      <c r="J35" s="121"/>
    </row>
    <row r="36" spans="1:12" ht="16.5" customHeight="1">
      <c r="A36" s="4">
        <v>15000</v>
      </c>
      <c r="B36" s="4" t="s">
        <v>10</v>
      </c>
      <c r="C36" s="92"/>
      <c r="D36" s="20">
        <v>21800</v>
      </c>
      <c r="E36" s="7" t="s">
        <v>75</v>
      </c>
      <c r="F36" s="7" t="s">
        <v>48</v>
      </c>
      <c r="G36" s="86"/>
      <c r="H36" s="86"/>
      <c r="I36" s="124"/>
      <c r="J36" s="121"/>
    </row>
    <row r="37" spans="1:12" ht="16.5" customHeight="1">
      <c r="A37" s="4">
        <v>15000</v>
      </c>
      <c r="B37" s="4" t="s">
        <v>17</v>
      </c>
      <c r="C37" s="92"/>
      <c r="D37" s="20">
        <v>24200</v>
      </c>
      <c r="E37" s="7" t="s">
        <v>98</v>
      </c>
      <c r="F37" s="7" t="s">
        <v>97</v>
      </c>
      <c r="G37" s="86"/>
      <c r="H37" s="86"/>
      <c r="I37" s="124"/>
      <c r="J37" s="121"/>
    </row>
    <row r="38" spans="1:12" ht="16.5" customHeight="1">
      <c r="A38" s="4">
        <v>15000</v>
      </c>
      <c r="B38" s="4" t="s">
        <v>16</v>
      </c>
      <c r="C38" s="92"/>
      <c r="D38" s="35">
        <v>10210</v>
      </c>
      <c r="E38" s="35" t="s">
        <v>99</v>
      </c>
      <c r="F38" s="35" t="s">
        <v>77</v>
      </c>
      <c r="G38" s="117"/>
      <c r="H38" s="117"/>
      <c r="I38" s="125"/>
      <c r="J38" s="122"/>
    </row>
    <row r="39" spans="1:12" ht="16.5" customHeight="1">
      <c r="A39" s="4">
        <v>15000</v>
      </c>
      <c r="B39" s="4" t="s">
        <v>15</v>
      </c>
      <c r="C39" s="92"/>
      <c r="D39" s="33">
        <v>11160</v>
      </c>
      <c r="E39" s="88" t="s">
        <v>81</v>
      </c>
      <c r="F39" s="34" t="s">
        <v>78</v>
      </c>
      <c r="G39" s="88" t="s">
        <v>89</v>
      </c>
      <c r="H39" s="88">
        <f>SUM(D39:D49)</f>
        <v>118720</v>
      </c>
      <c r="I39" s="123"/>
      <c r="J39" s="120"/>
    </row>
    <row r="40" spans="1:12" ht="16.5" customHeight="1">
      <c r="A40" s="4">
        <v>15000</v>
      </c>
      <c r="B40" s="4" t="s">
        <v>13</v>
      </c>
      <c r="C40" s="92"/>
      <c r="D40" s="24">
        <v>3820</v>
      </c>
      <c r="E40" s="86"/>
      <c r="F40" s="18" t="s">
        <v>79</v>
      </c>
      <c r="G40" s="86"/>
      <c r="H40" s="86"/>
      <c r="I40" s="124"/>
      <c r="J40" s="121"/>
    </row>
    <row r="41" spans="1:12" ht="16.5" customHeight="1">
      <c r="A41" s="4">
        <v>15000</v>
      </c>
      <c r="B41" s="4" t="s">
        <v>33</v>
      </c>
      <c r="C41" s="92"/>
      <c r="D41" s="20">
        <v>6480</v>
      </c>
      <c r="E41" s="116"/>
      <c r="F41" s="7" t="s">
        <v>80</v>
      </c>
      <c r="G41" s="86"/>
      <c r="H41" s="86"/>
      <c r="I41" s="124"/>
      <c r="J41" s="121"/>
    </row>
    <row r="42" spans="1:12" ht="16.5" customHeight="1">
      <c r="A42" s="4">
        <v>15000</v>
      </c>
      <c r="B42" s="2" t="s">
        <v>22</v>
      </c>
      <c r="C42" s="92"/>
      <c r="D42" s="118">
        <v>28380</v>
      </c>
      <c r="E42" s="118" t="s">
        <v>84</v>
      </c>
      <c r="F42" s="7" t="s">
        <v>82</v>
      </c>
      <c r="G42" s="86"/>
      <c r="H42" s="86"/>
      <c r="I42" s="124"/>
      <c r="J42" s="121"/>
    </row>
    <row r="43" spans="1:12" ht="16.5" customHeight="1">
      <c r="A43" s="4">
        <v>15000</v>
      </c>
      <c r="B43" s="2" t="s">
        <v>8</v>
      </c>
      <c r="C43" s="92"/>
      <c r="D43" s="116"/>
      <c r="E43" s="116"/>
      <c r="F43" s="18" t="s">
        <v>83</v>
      </c>
      <c r="G43" s="86"/>
      <c r="H43" s="86"/>
      <c r="I43" s="124"/>
      <c r="J43" s="121"/>
    </row>
    <row r="44" spans="1:12" ht="16.5" customHeight="1">
      <c r="A44" s="4">
        <v>15000</v>
      </c>
      <c r="B44" s="2" t="s">
        <v>24</v>
      </c>
      <c r="C44" s="92"/>
      <c r="D44" s="20">
        <v>4750</v>
      </c>
      <c r="E44" s="118" t="s">
        <v>75</v>
      </c>
      <c r="F44" s="7" t="s">
        <v>85</v>
      </c>
      <c r="G44" s="86"/>
      <c r="H44" s="86"/>
      <c r="I44" s="124"/>
      <c r="J44" s="121"/>
    </row>
    <row r="45" spans="1:12" ht="16.5" customHeight="1">
      <c r="A45" s="4">
        <v>15000</v>
      </c>
      <c r="B45" s="2" t="s">
        <v>18</v>
      </c>
      <c r="C45" s="92"/>
      <c r="D45" s="20">
        <v>8700</v>
      </c>
      <c r="E45" s="86"/>
      <c r="F45" s="7" t="s">
        <v>87</v>
      </c>
      <c r="G45" s="86"/>
      <c r="H45" s="86"/>
      <c r="I45" s="124"/>
      <c r="J45" s="121"/>
    </row>
    <row r="46" spans="1:12" ht="16.5" customHeight="1">
      <c r="A46" s="4">
        <v>15000</v>
      </c>
      <c r="B46" s="2" t="s">
        <v>25</v>
      </c>
      <c r="C46" s="92"/>
      <c r="D46" s="20">
        <v>16660</v>
      </c>
      <c r="E46" s="86"/>
      <c r="F46" s="7" t="s">
        <v>86</v>
      </c>
      <c r="G46" s="86"/>
      <c r="H46" s="86"/>
      <c r="I46" s="124"/>
      <c r="J46" s="121"/>
    </row>
    <row r="47" spans="1:12" ht="16.5" customHeight="1">
      <c r="A47" s="4">
        <v>15000</v>
      </c>
      <c r="B47" s="2" t="s">
        <v>7</v>
      </c>
      <c r="C47" s="92"/>
      <c r="D47" s="20">
        <v>6270</v>
      </c>
      <c r="E47" s="86"/>
      <c r="F47" s="7" t="s">
        <v>88</v>
      </c>
      <c r="G47" s="86"/>
      <c r="H47" s="86"/>
      <c r="I47" s="124"/>
      <c r="J47" s="121"/>
    </row>
    <row r="48" spans="1:12" ht="16.5" customHeight="1">
      <c r="A48" s="4">
        <v>15000</v>
      </c>
      <c r="B48" s="3" t="s">
        <v>19</v>
      </c>
      <c r="C48" s="92"/>
      <c r="D48" s="20">
        <v>5800</v>
      </c>
      <c r="E48" s="116"/>
      <c r="F48" s="7" t="s">
        <v>90</v>
      </c>
      <c r="G48" s="86"/>
      <c r="H48" s="86"/>
      <c r="I48" s="124"/>
      <c r="J48" s="121"/>
      <c r="L48" s="27"/>
    </row>
    <row r="49" spans="1:12" ht="16.5" customHeight="1">
      <c r="A49" s="4">
        <v>15000</v>
      </c>
      <c r="B49" s="2" t="s">
        <v>32</v>
      </c>
      <c r="C49" s="92"/>
      <c r="D49" s="35">
        <v>26700</v>
      </c>
      <c r="E49" s="35" t="s">
        <v>101</v>
      </c>
      <c r="F49" s="35" t="s">
        <v>100</v>
      </c>
      <c r="G49" s="117"/>
      <c r="H49" s="117"/>
      <c r="I49" s="125"/>
      <c r="J49" s="122"/>
      <c r="L49" s="27"/>
    </row>
    <row r="50" spans="1:12" ht="16.5" customHeight="1">
      <c r="A50" s="4">
        <v>15000</v>
      </c>
      <c r="B50" s="2" t="s">
        <v>23</v>
      </c>
      <c r="C50" s="92"/>
      <c r="D50" s="8"/>
      <c r="E50" s="8"/>
      <c r="F50" s="7"/>
      <c r="G50" s="8"/>
      <c r="H50" s="7"/>
      <c r="I50" s="38"/>
      <c r="J50" s="39"/>
    </row>
    <row r="51" spans="1:12" ht="16.5" customHeight="1">
      <c r="A51" s="4">
        <v>15000</v>
      </c>
      <c r="B51" s="2" t="s">
        <v>11</v>
      </c>
      <c r="C51" s="92"/>
      <c r="D51" s="8"/>
      <c r="E51" s="8"/>
      <c r="F51" s="7"/>
      <c r="G51" s="8"/>
      <c r="H51" s="7"/>
      <c r="I51" s="16"/>
      <c r="J51" s="40"/>
    </row>
    <row r="52" spans="1:12" ht="16.5" customHeight="1">
      <c r="A52" s="4">
        <v>15000</v>
      </c>
      <c r="B52" s="3" t="s">
        <v>34</v>
      </c>
      <c r="C52" s="92"/>
      <c r="D52" s="18"/>
      <c r="E52" s="18"/>
      <c r="F52" s="18"/>
      <c r="G52" s="18"/>
      <c r="H52" s="18"/>
      <c r="I52" s="44"/>
      <c r="J52" s="37"/>
    </row>
    <row r="53" spans="1:12" ht="16.5" customHeight="1">
      <c r="A53" s="4">
        <v>15000</v>
      </c>
      <c r="B53" s="2" t="s">
        <v>31</v>
      </c>
      <c r="C53" s="92"/>
      <c r="D53" s="8"/>
      <c r="E53" s="8"/>
      <c r="F53" s="7"/>
      <c r="G53" s="8"/>
      <c r="H53" s="7"/>
      <c r="I53" s="38"/>
      <c r="J53" s="37"/>
    </row>
    <row r="54" spans="1:12" ht="16.5" customHeight="1">
      <c r="A54" s="4">
        <v>15000</v>
      </c>
      <c r="B54" s="2" t="s">
        <v>30</v>
      </c>
      <c r="C54" s="92"/>
      <c r="D54" s="8"/>
      <c r="E54" s="8"/>
      <c r="F54" s="7"/>
      <c r="G54" s="8"/>
      <c r="H54" s="7"/>
      <c r="I54" s="38"/>
      <c r="J54" s="39"/>
    </row>
    <row r="55" spans="1:12" ht="16.5" customHeight="1">
      <c r="A55" s="4">
        <v>15000</v>
      </c>
      <c r="B55" s="2" t="s">
        <v>9</v>
      </c>
      <c r="C55" s="92"/>
      <c r="D55" s="8"/>
      <c r="E55" s="8"/>
      <c r="F55" s="7"/>
      <c r="G55" s="8"/>
      <c r="H55" s="7"/>
      <c r="I55" s="21"/>
      <c r="J55" s="39"/>
    </row>
    <row r="56" spans="1:12" ht="16.5" customHeight="1">
      <c r="A56" s="4">
        <v>15000</v>
      </c>
      <c r="B56" s="2" t="s">
        <v>28</v>
      </c>
      <c r="C56" s="92"/>
      <c r="D56" s="8"/>
      <c r="E56" s="8"/>
      <c r="F56" s="7"/>
      <c r="G56" s="8"/>
      <c r="H56" s="7"/>
      <c r="I56" s="38"/>
      <c r="J56" s="28"/>
    </row>
    <row r="57" spans="1:12" ht="16.5" customHeight="1">
      <c r="A57" s="4">
        <v>15000</v>
      </c>
      <c r="B57" s="2" t="s">
        <v>27</v>
      </c>
      <c r="C57" s="92"/>
      <c r="D57" s="8"/>
      <c r="E57" s="8"/>
      <c r="F57" s="7"/>
      <c r="G57" s="8"/>
      <c r="H57" s="7"/>
      <c r="I57" s="43"/>
      <c r="J57" s="39"/>
    </row>
    <row r="58" spans="1:12" ht="16.5" customHeight="1">
      <c r="A58" s="9">
        <v>15000</v>
      </c>
      <c r="B58" s="6" t="s">
        <v>21</v>
      </c>
      <c r="C58" s="92"/>
      <c r="D58" s="7"/>
      <c r="E58" s="7"/>
      <c r="F58" s="7"/>
      <c r="G58" s="7"/>
      <c r="H58" s="7"/>
      <c r="I58" s="21"/>
      <c r="J58" s="39"/>
    </row>
    <row r="59" spans="1:12" ht="16.5" customHeight="1">
      <c r="A59" s="46">
        <v>14000</v>
      </c>
      <c r="B59" s="46" t="s">
        <v>35</v>
      </c>
      <c r="C59" s="46" t="s">
        <v>36</v>
      </c>
      <c r="D59" s="7"/>
      <c r="E59" s="7"/>
      <c r="F59" s="7"/>
      <c r="G59" s="7"/>
      <c r="H59" s="7"/>
      <c r="I59" s="42"/>
      <c r="J59" s="41"/>
    </row>
    <row r="60" spans="1:12" ht="16.5" customHeight="1">
      <c r="A60" s="95">
        <f>SUM(A4:A59)</f>
        <v>1519000</v>
      </c>
      <c r="B60" s="96"/>
      <c r="C60" s="97"/>
      <c r="D60" s="101">
        <f>SUM(H5:H59)</f>
        <v>1313180</v>
      </c>
      <c r="E60" s="102"/>
      <c r="F60" s="102"/>
      <c r="G60" s="102"/>
      <c r="H60" s="103"/>
      <c r="I60" s="107">
        <f>A60-D60</f>
        <v>205820</v>
      </c>
      <c r="J60" s="89">
        <f>I60/J4</f>
        <v>102910</v>
      </c>
    </row>
    <row r="61" spans="1:12" ht="16.5" customHeight="1">
      <c r="A61" s="98"/>
      <c r="B61" s="99"/>
      <c r="C61" s="100"/>
      <c r="D61" s="104"/>
      <c r="E61" s="105"/>
      <c r="F61" s="105"/>
      <c r="G61" s="105"/>
      <c r="H61" s="106"/>
      <c r="I61" s="108"/>
      <c r="J61" s="90"/>
    </row>
    <row r="62" spans="1:12" ht="16.5" customHeight="1"/>
    <row r="63" spans="1:12" ht="16.5" customHeight="1"/>
    <row r="64" spans="1:12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</sheetData>
  <mergeCells count="31">
    <mergeCell ref="J5:J14"/>
    <mergeCell ref="I5:I14"/>
    <mergeCell ref="H5:H14"/>
    <mergeCell ref="G5:G14"/>
    <mergeCell ref="D42:D43"/>
    <mergeCell ref="I15:I38"/>
    <mergeCell ref="J15:J38"/>
    <mergeCell ref="E32:E35"/>
    <mergeCell ref="E39:E41"/>
    <mergeCell ref="G39:G49"/>
    <mergeCell ref="H39:H49"/>
    <mergeCell ref="I39:I49"/>
    <mergeCell ref="J39:J49"/>
    <mergeCell ref="E42:E43"/>
    <mergeCell ref="E44:E48"/>
    <mergeCell ref="I1:I2"/>
    <mergeCell ref="I60:I61"/>
    <mergeCell ref="J1:J2"/>
    <mergeCell ref="J60:J61"/>
    <mergeCell ref="A60:C61"/>
    <mergeCell ref="C34:C58"/>
    <mergeCell ref="C4:C17"/>
    <mergeCell ref="C18:C33"/>
    <mergeCell ref="E5:E6"/>
    <mergeCell ref="D60:H61"/>
    <mergeCell ref="A1:C2"/>
    <mergeCell ref="E15:E31"/>
    <mergeCell ref="G15:G38"/>
    <mergeCell ref="H15:H38"/>
    <mergeCell ref="E7:E11"/>
    <mergeCell ref="D1:H2"/>
  </mergeCells>
  <phoneticPr fontId="1" type="noConversion"/>
  <pageMargins left="0.7" right="0.7" top="0.75" bottom="0.75" header="0" footer="0"/>
  <pageSetup orientation="landscape"/>
  <ignoredErrors>
    <ignoredError sqref="H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CD2A-D05D-436C-806F-301E7A9F80B4}">
  <dimension ref="A1:L992"/>
  <sheetViews>
    <sheetView topLeftCell="A19" zoomScale="70" zoomScaleNormal="70" workbookViewId="0">
      <selection activeCell="N10" sqref="N10"/>
    </sheetView>
  </sheetViews>
  <sheetFormatPr defaultColWidth="14.42578125" defaultRowHeight="16.5"/>
  <cols>
    <col min="1" max="2" width="15.7109375" style="10" customWidth="1"/>
    <col min="3" max="3" width="15.7109375" style="19" customWidth="1"/>
    <col min="4" max="4" width="15.7109375" style="10" customWidth="1"/>
    <col min="5" max="5" width="25.5703125" style="10" bestFit="1" customWidth="1"/>
    <col min="6" max="6" width="28.7109375" style="10" bestFit="1" customWidth="1"/>
    <col min="7" max="10" width="15.7109375" style="10" customWidth="1"/>
    <col min="11" max="11" width="8.7109375" style="10" customWidth="1"/>
    <col min="12" max="12" width="9.7109375" style="10" bestFit="1" customWidth="1"/>
    <col min="13" max="17" width="8.7109375" style="10" customWidth="1"/>
    <col min="18" max="16384" width="14.42578125" style="10"/>
  </cols>
  <sheetData>
    <row r="1" spans="1:12" ht="16.5" customHeight="1">
      <c r="A1" s="95" t="s">
        <v>0</v>
      </c>
      <c r="B1" s="110"/>
      <c r="C1" s="111"/>
      <c r="D1" s="101" t="s">
        <v>1</v>
      </c>
      <c r="E1" s="102"/>
      <c r="F1" s="102"/>
      <c r="G1" s="102"/>
      <c r="H1" s="103"/>
      <c r="I1" s="107" t="s">
        <v>92</v>
      </c>
      <c r="J1" s="89" t="s">
        <v>91</v>
      </c>
    </row>
    <row r="2" spans="1:12" ht="16.5" customHeight="1">
      <c r="A2" s="112"/>
      <c r="B2" s="113"/>
      <c r="C2" s="114"/>
      <c r="D2" s="104"/>
      <c r="E2" s="105"/>
      <c r="F2" s="105"/>
      <c r="G2" s="105"/>
      <c r="H2" s="106"/>
      <c r="I2" s="108"/>
      <c r="J2" s="90"/>
    </row>
    <row r="3" spans="1:12" ht="16.5" customHeight="1">
      <c r="A3" s="11" t="s">
        <v>2</v>
      </c>
      <c r="B3" s="11" t="s">
        <v>3</v>
      </c>
      <c r="C3" s="11" t="s">
        <v>4</v>
      </c>
      <c r="D3" s="12" t="s">
        <v>2</v>
      </c>
      <c r="E3" s="12" t="s">
        <v>5</v>
      </c>
      <c r="F3" s="12" t="s">
        <v>4</v>
      </c>
      <c r="G3" s="12" t="s">
        <v>49</v>
      </c>
      <c r="H3" s="12" t="s">
        <v>53</v>
      </c>
      <c r="I3" s="13"/>
      <c r="J3" s="14" t="s">
        <v>105</v>
      </c>
    </row>
    <row r="4" spans="1:12" ht="16.5" customHeight="1">
      <c r="A4" s="15">
        <v>40000</v>
      </c>
      <c r="B4" s="1" t="s">
        <v>108</v>
      </c>
      <c r="C4" s="91" t="s">
        <v>125</v>
      </c>
      <c r="D4" s="49">
        <v>220000</v>
      </c>
      <c r="E4" s="88" t="s">
        <v>128</v>
      </c>
      <c r="F4" s="66" t="s">
        <v>159</v>
      </c>
      <c r="G4" s="88" t="s">
        <v>50</v>
      </c>
      <c r="H4" s="88">
        <f>SUM(D4:D9)</f>
        <v>441682</v>
      </c>
      <c r="I4" s="69"/>
      <c r="J4" s="70">
        <v>3</v>
      </c>
    </row>
    <row r="5" spans="1:12" ht="16.5" customHeight="1">
      <c r="A5" s="4">
        <v>20000</v>
      </c>
      <c r="B5" s="2" t="s">
        <v>109</v>
      </c>
      <c r="C5" s="92"/>
      <c r="D5" s="26">
        <v>120000</v>
      </c>
      <c r="E5" s="86"/>
      <c r="F5" s="26" t="s">
        <v>129</v>
      </c>
      <c r="G5" s="86"/>
      <c r="H5" s="86"/>
      <c r="I5" s="126"/>
      <c r="J5" s="60"/>
    </row>
    <row r="6" spans="1:12" ht="16.5" customHeight="1">
      <c r="A6" s="4">
        <v>40000</v>
      </c>
      <c r="B6" s="2" t="s">
        <v>110</v>
      </c>
      <c r="C6" s="92"/>
      <c r="D6" s="55">
        <v>20000</v>
      </c>
      <c r="E6" s="55" t="s">
        <v>44</v>
      </c>
      <c r="F6" s="55" t="s">
        <v>106</v>
      </c>
      <c r="G6" s="86"/>
      <c r="H6" s="86"/>
      <c r="I6" s="126"/>
      <c r="J6" s="60"/>
    </row>
    <row r="7" spans="1:12" ht="16.5" customHeight="1">
      <c r="A7" s="4">
        <v>40000</v>
      </c>
      <c r="B7" s="2" t="s">
        <v>111</v>
      </c>
      <c r="C7" s="92"/>
      <c r="D7" s="20">
        <v>37682</v>
      </c>
      <c r="E7" s="7" t="s">
        <v>46</v>
      </c>
      <c r="F7" s="7" t="s">
        <v>47</v>
      </c>
      <c r="G7" s="86"/>
      <c r="H7" s="86"/>
      <c r="I7" s="126"/>
      <c r="J7" s="60"/>
    </row>
    <row r="8" spans="1:12" ht="16.5" customHeight="1">
      <c r="A8" s="4">
        <v>40000</v>
      </c>
      <c r="B8" s="2" t="s">
        <v>112</v>
      </c>
      <c r="C8" s="92"/>
      <c r="D8" s="47">
        <v>3000</v>
      </c>
      <c r="E8" s="25" t="s">
        <v>130</v>
      </c>
      <c r="F8" s="65" t="s">
        <v>131</v>
      </c>
      <c r="G8" s="86"/>
      <c r="H8" s="86"/>
      <c r="I8" s="126"/>
      <c r="J8" s="60"/>
    </row>
    <row r="9" spans="1:12" ht="16.5" customHeight="1">
      <c r="A9" s="4">
        <v>30000</v>
      </c>
      <c r="B9" s="2" t="s">
        <v>113</v>
      </c>
      <c r="C9" s="92"/>
      <c r="D9" s="56">
        <v>41000</v>
      </c>
      <c r="E9" s="48" t="s">
        <v>160</v>
      </c>
      <c r="F9" s="67" t="s">
        <v>161</v>
      </c>
      <c r="G9" s="86"/>
      <c r="H9" s="87"/>
      <c r="I9" s="126"/>
      <c r="J9" s="60"/>
    </row>
    <row r="10" spans="1:12">
      <c r="A10" s="4">
        <v>20000</v>
      </c>
      <c r="B10" s="5" t="s">
        <v>114</v>
      </c>
      <c r="C10" s="92"/>
      <c r="D10" s="68">
        <v>28790</v>
      </c>
      <c r="E10" s="85" t="s">
        <v>103</v>
      </c>
      <c r="F10" s="51" t="s">
        <v>152</v>
      </c>
      <c r="G10" s="85" t="s">
        <v>76</v>
      </c>
      <c r="H10" s="86">
        <f>SUM(D10:D34)</f>
        <v>292490</v>
      </c>
      <c r="I10" s="126"/>
      <c r="J10" s="60"/>
    </row>
    <row r="11" spans="1:12" ht="16.5" customHeight="1">
      <c r="A11" s="9">
        <v>0</v>
      </c>
      <c r="B11" s="53" t="s">
        <v>124</v>
      </c>
      <c r="C11" s="94"/>
      <c r="D11" s="56">
        <v>32990</v>
      </c>
      <c r="E11" s="86"/>
      <c r="F11" s="20" t="s">
        <v>54</v>
      </c>
      <c r="G11" s="86"/>
      <c r="H11" s="86"/>
      <c r="I11" s="126"/>
      <c r="J11" s="60"/>
    </row>
    <row r="12" spans="1:12" ht="16.5" customHeight="1">
      <c r="A12" s="54">
        <v>45000</v>
      </c>
      <c r="B12" s="54" t="s">
        <v>115</v>
      </c>
      <c r="C12" s="93" t="s">
        <v>126</v>
      </c>
      <c r="D12" s="55">
        <v>17990</v>
      </c>
      <c r="E12" s="86"/>
      <c r="F12" s="7" t="s">
        <v>132</v>
      </c>
      <c r="G12" s="86"/>
      <c r="H12" s="86"/>
      <c r="I12" s="126"/>
      <c r="J12" s="60"/>
    </row>
    <row r="13" spans="1:12" ht="16.5" customHeight="1">
      <c r="A13" s="4">
        <v>45000</v>
      </c>
      <c r="B13" s="2" t="s">
        <v>116</v>
      </c>
      <c r="C13" s="92"/>
      <c r="D13" s="20">
        <v>22990</v>
      </c>
      <c r="E13" s="86"/>
      <c r="F13" s="7" t="s">
        <v>133</v>
      </c>
      <c r="G13" s="86"/>
      <c r="H13" s="86"/>
      <c r="I13" s="126"/>
      <c r="J13" s="60"/>
    </row>
    <row r="14" spans="1:12" ht="16.5" customHeight="1">
      <c r="A14" s="4">
        <v>45000</v>
      </c>
      <c r="B14" s="5" t="s">
        <v>117</v>
      </c>
      <c r="C14" s="92"/>
      <c r="D14" s="20">
        <v>-10000</v>
      </c>
      <c r="E14" s="86"/>
      <c r="F14" s="7" t="s">
        <v>153</v>
      </c>
      <c r="G14" s="86"/>
      <c r="H14" s="86"/>
      <c r="I14" s="126"/>
      <c r="J14" s="60"/>
    </row>
    <row r="15" spans="1:12" ht="16.5" customHeight="1">
      <c r="A15" s="4">
        <v>45000</v>
      </c>
      <c r="B15" s="3" t="s">
        <v>118</v>
      </c>
      <c r="C15" s="92"/>
      <c r="D15" s="20">
        <v>10490</v>
      </c>
      <c r="E15" s="86"/>
      <c r="F15" s="7" t="s">
        <v>134</v>
      </c>
      <c r="G15" s="86"/>
      <c r="H15" s="86"/>
      <c r="I15" s="126"/>
      <c r="J15" s="60"/>
      <c r="L15" s="27"/>
    </row>
    <row r="16" spans="1:12" ht="16.5" customHeight="1">
      <c r="A16" s="4">
        <v>45000</v>
      </c>
      <c r="B16" s="2" t="s">
        <v>119</v>
      </c>
      <c r="C16" s="92"/>
      <c r="D16" s="24">
        <v>6990</v>
      </c>
      <c r="E16" s="86"/>
      <c r="F16" s="18" t="s">
        <v>135</v>
      </c>
      <c r="G16" s="86"/>
      <c r="H16" s="86"/>
      <c r="I16" s="126"/>
      <c r="J16" s="60"/>
    </row>
    <row r="17" spans="1:10" ht="16.5" customHeight="1">
      <c r="A17" s="4">
        <v>45000</v>
      </c>
      <c r="B17" s="2" t="s">
        <v>24</v>
      </c>
      <c r="C17" s="92"/>
      <c r="D17" s="20">
        <v>-1400</v>
      </c>
      <c r="E17" s="86"/>
      <c r="F17" s="7" t="s">
        <v>136</v>
      </c>
      <c r="G17" s="86"/>
      <c r="H17" s="86"/>
      <c r="I17" s="126"/>
      <c r="J17" s="60"/>
    </row>
    <row r="18" spans="1:10" ht="16.5" customHeight="1">
      <c r="A18" s="4">
        <v>45000</v>
      </c>
      <c r="B18" s="2" t="s">
        <v>120</v>
      </c>
      <c r="C18" s="92"/>
      <c r="D18" s="24">
        <v>6990</v>
      </c>
      <c r="E18" s="86"/>
      <c r="F18" s="18" t="s">
        <v>135</v>
      </c>
      <c r="G18" s="86"/>
      <c r="H18" s="86"/>
      <c r="I18" s="126"/>
      <c r="J18" s="60"/>
    </row>
    <row r="19" spans="1:10" ht="16.5" customHeight="1">
      <c r="A19" s="4">
        <v>45000</v>
      </c>
      <c r="B19" s="3" t="s">
        <v>121</v>
      </c>
      <c r="C19" s="92"/>
      <c r="D19" s="20">
        <v>-1400</v>
      </c>
      <c r="E19" s="86"/>
      <c r="F19" s="7" t="s">
        <v>136</v>
      </c>
      <c r="G19" s="86"/>
      <c r="H19" s="86"/>
      <c r="I19" s="126"/>
      <c r="J19" s="60"/>
    </row>
    <row r="20" spans="1:10" ht="16.5" customHeight="1">
      <c r="A20" s="4">
        <v>45000</v>
      </c>
      <c r="B20" s="2" t="s">
        <v>122</v>
      </c>
      <c r="C20" s="92"/>
      <c r="D20" s="20">
        <v>13890</v>
      </c>
      <c r="E20" s="86"/>
      <c r="F20" s="7" t="s">
        <v>137</v>
      </c>
      <c r="G20" s="86"/>
      <c r="H20" s="86"/>
      <c r="I20" s="126"/>
      <c r="J20" s="60"/>
    </row>
    <row r="21" spans="1:10" ht="16.5" customHeight="1">
      <c r="A21" s="4">
        <v>45000</v>
      </c>
      <c r="B21" s="2" t="s">
        <v>123</v>
      </c>
      <c r="C21" s="92"/>
      <c r="D21" s="20">
        <v>39990</v>
      </c>
      <c r="E21" s="86"/>
      <c r="F21" s="7" t="s">
        <v>138</v>
      </c>
      <c r="G21" s="86"/>
      <c r="H21" s="86"/>
      <c r="I21" s="126"/>
      <c r="J21" s="60"/>
    </row>
    <row r="22" spans="1:10" ht="16.5" customHeight="1">
      <c r="A22" s="45">
        <v>12000</v>
      </c>
      <c r="B22" s="45" t="s">
        <v>110</v>
      </c>
      <c r="C22" s="93" t="s">
        <v>127</v>
      </c>
      <c r="D22" s="24">
        <v>-10000</v>
      </c>
      <c r="E22" s="86"/>
      <c r="F22" s="18" t="s">
        <v>139</v>
      </c>
      <c r="G22" s="86"/>
      <c r="H22" s="86"/>
      <c r="I22" s="126"/>
      <c r="J22" s="60"/>
    </row>
    <row r="23" spans="1:10" ht="16.5" customHeight="1">
      <c r="A23" s="4">
        <v>12000</v>
      </c>
      <c r="B23" s="4" t="s">
        <v>119</v>
      </c>
      <c r="C23" s="92"/>
      <c r="D23" s="24">
        <v>17990</v>
      </c>
      <c r="E23" s="86"/>
      <c r="F23" s="18" t="s">
        <v>140</v>
      </c>
      <c r="G23" s="86"/>
      <c r="H23" s="86"/>
      <c r="I23" s="126"/>
      <c r="J23" s="60"/>
    </row>
    <row r="24" spans="1:10" ht="16.5" customHeight="1">
      <c r="A24" s="4">
        <v>12000</v>
      </c>
      <c r="B24" s="4" t="s">
        <v>121</v>
      </c>
      <c r="C24" s="92"/>
      <c r="D24" s="20">
        <v>7390</v>
      </c>
      <c r="E24" s="86"/>
      <c r="F24" s="7" t="s">
        <v>142</v>
      </c>
      <c r="G24" s="86"/>
      <c r="H24" s="86"/>
      <c r="I24" s="126"/>
      <c r="J24" s="60"/>
    </row>
    <row r="25" spans="1:10" ht="16.5" customHeight="1">
      <c r="A25" s="4">
        <v>12000</v>
      </c>
      <c r="B25" s="4" t="s">
        <v>117</v>
      </c>
      <c r="C25" s="92"/>
      <c r="D25" s="20">
        <v>7390</v>
      </c>
      <c r="E25" s="86"/>
      <c r="F25" s="7" t="s">
        <v>141</v>
      </c>
      <c r="G25" s="86"/>
      <c r="H25" s="86"/>
      <c r="I25" s="126"/>
      <c r="J25" s="60"/>
    </row>
    <row r="26" spans="1:10" ht="16.5" customHeight="1">
      <c r="A26" s="4">
        <v>12000</v>
      </c>
      <c r="B26" s="4" t="s">
        <v>118</v>
      </c>
      <c r="C26" s="92"/>
      <c r="D26" s="24">
        <v>8990</v>
      </c>
      <c r="E26" s="86"/>
      <c r="F26" s="18" t="s">
        <v>143</v>
      </c>
      <c r="G26" s="86"/>
      <c r="H26" s="86"/>
      <c r="I26" s="126"/>
      <c r="J26" s="60"/>
    </row>
    <row r="27" spans="1:10" ht="16.5" customHeight="1">
      <c r="A27" s="4">
        <v>12000</v>
      </c>
      <c r="B27" s="4" t="s">
        <v>116</v>
      </c>
      <c r="C27" s="92"/>
      <c r="D27" s="25">
        <v>9990</v>
      </c>
      <c r="E27" s="86"/>
      <c r="F27" s="25" t="s">
        <v>144</v>
      </c>
      <c r="G27" s="86"/>
      <c r="H27" s="86"/>
      <c r="I27" s="126"/>
      <c r="J27" s="60"/>
    </row>
    <row r="28" spans="1:10" ht="16.5" customHeight="1">
      <c r="A28" s="4">
        <v>12000</v>
      </c>
      <c r="B28" s="4" t="s">
        <v>112</v>
      </c>
      <c r="C28" s="92"/>
      <c r="D28" s="26">
        <v>9490</v>
      </c>
      <c r="E28" s="86"/>
      <c r="F28" s="26" t="s">
        <v>145</v>
      </c>
      <c r="G28" s="86"/>
      <c r="H28" s="86"/>
      <c r="I28" s="126"/>
      <c r="J28" s="60"/>
    </row>
    <row r="29" spans="1:10" ht="16.5" customHeight="1">
      <c r="A29" s="4">
        <v>12000</v>
      </c>
      <c r="B29" s="4" t="s">
        <v>114</v>
      </c>
      <c r="C29" s="92"/>
      <c r="D29" s="20">
        <v>13990</v>
      </c>
      <c r="E29" s="86"/>
      <c r="F29" s="7" t="s">
        <v>146</v>
      </c>
      <c r="G29" s="86"/>
      <c r="H29" s="86"/>
      <c r="I29" s="126"/>
      <c r="J29" s="60"/>
    </row>
    <row r="30" spans="1:10" ht="16.5" customHeight="1">
      <c r="A30" s="4">
        <v>12000</v>
      </c>
      <c r="B30" s="2" t="s">
        <v>108</v>
      </c>
      <c r="C30" s="92"/>
      <c r="D30" s="20">
        <v>-2100</v>
      </c>
      <c r="E30" s="86"/>
      <c r="F30" s="7" t="s">
        <v>147</v>
      </c>
      <c r="G30" s="86"/>
      <c r="H30" s="86"/>
      <c r="I30" s="126"/>
      <c r="J30" s="60"/>
    </row>
    <row r="31" spans="1:10" ht="16.5" customHeight="1">
      <c r="A31" s="58">
        <v>12000</v>
      </c>
      <c r="B31" s="58" t="s">
        <v>124</v>
      </c>
      <c r="C31" s="94"/>
      <c r="D31" s="20">
        <v>25990</v>
      </c>
      <c r="E31" s="86"/>
      <c r="F31" s="7" t="s">
        <v>148</v>
      </c>
      <c r="G31" s="86"/>
      <c r="H31" s="86"/>
      <c r="I31" s="126"/>
      <c r="J31" s="60"/>
    </row>
    <row r="32" spans="1:10" ht="16.5" customHeight="1">
      <c r="A32" s="63"/>
      <c r="B32" s="63"/>
      <c r="C32" s="50"/>
      <c r="D32" s="20">
        <v>24070</v>
      </c>
      <c r="E32" s="86"/>
      <c r="F32" s="7" t="s">
        <v>149</v>
      </c>
      <c r="G32" s="86"/>
      <c r="H32" s="86"/>
      <c r="I32" s="126"/>
      <c r="J32" s="60"/>
    </row>
    <row r="33" spans="1:12" ht="16.5" customHeight="1">
      <c r="A33" s="4"/>
      <c r="B33" s="5"/>
      <c r="C33" s="62"/>
      <c r="D33" s="20">
        <v>13990</v>
      </c>
      <c r="E33" s="86"/>
      <c r="F33" s="7" t="s">
        <v>150</v>
      </c>
      <c r="G33" s="86"/>
      <c r="H33" s="86"/>
      <c r="I33" s="126"/>
      <c r="J33" s="60"/>
    </row>
    <row r="34" spans="1:12" ht="16.5" customHeight="1">
      <c r="A34" s="4"/>
      <c r="B34" s="2"/>
      <c r="C34" s="57"/>
      <c r="D34" s="59">
        <v>-3000</v>
      </c>
      <c r="E34" s="87"/>
      <c r="F34" s="65" t="s">
        <v>151</v>
      </c>
      <c r="G34" s="86"/>
      <c r="H34" s="86"/>
      <c r="I34" s="126"/>
      <c r="J34" s="60"/>
    </row>
    <row r="35" spans="1:12" ht="16.5" customHeight="1">
      <c r="A35" s="4"/>
      <c r="B35" s="2"/>
      <c r="C35" s="57"/>
      <c r="D35" s="20">
        <v>8500</v>
      </c>
      <c r="E35" s="86" t="s">
        <v>157</v>
      </c>
      <c r="F35" s="71" t="s">
        <v>154</v>
      </c>
      <c r="G35" s="85" t="s">
        <v>24</v>
      </c>
      <c r="H35" s="85">
        <f>SUM(D35:D39)</f>
        <v>75000</v>
      </c>
      <c r="I35" s="126"/>
      <c r="J35" s="60"/>
    </row>
    <row r="36" spans="1:12" ht="16.5" customHeight="1">
      <c r="A36" s="4"/>
      <c r="B36" s="2"/>
      <c r="C36" s="57"/>
      <c r="D36" s="20">
        <v>5400</v>
      </c>
      <c r="E36" s="86"/>
      <c r="F36" s="7" t="s">
        <v>155</v>
      </c>
      <c r="G36" s="86"/>
      <c r="H36" s="86"/>
      <c r="I36" s="126"/>
      <c r="J36" s="60"/>
      <c r="L36" s="27"/>
    </row>
    <row r="37" spans="1:12" ht="16.5" customHeight="1">
      <c r="A37" s="4"/>
      <c r="B37" s="2"/>
      <c r="C37" s="57"/>
      <c r="D37" s="20">
        <v>6200</v>
      </c>
      <c r="E37" s="116"/>
      <c r="F37" s="7" t="s">
        <v>156</v>
      </c>
      <c r="G37" s="86"/>
      <c r="H37" s="86"/>
      <c r="I37" s="126"/>
      <c r="J37" s="60"/>
    </row>
    <row r="38" spans="1:12" ht="16.5" customHeight="1">
      <c r="A38" s="4"/>
      <c r="B38" s="2"/>
      <c r="C38" s="57"/>
      <c r="D38" s="20">
        <v>52132</v>
      </c>
      <c r="E38" s="7" t="s">
        <v>81</v>
      </c>
      <c r="F38" s="7" t="s">
        <v>158</v>
      </c>
      <c r="G38" s="86"/>
      <c r="H38" s="86"/>
      <c r="I38" s="126"/>
      <c r="J38" s="60"/>
    </row>
    <row r="39" spans="1:12" ht="16.5" customHeight="1">
      <c r="A39" s="4"/>
      <c r="B39" s="2"/>
      <c r="C39" s="57"/>
      <c r="D39" s="59">
        <v>2768</v>
      </c>
      <c r="E39" s="59" t="s">
        <v>162</v>
      </c>
      <c r="F39" s="65" t="s">
        <v>162</v>
      </c>
      <c r="G39" s="87"/>
      <c r="H39" s="87"/>
      <c r="I39" s="126"/>
      <c r="J39" s="60"/>
    </row>
    <row r="40" spans="1:12" ht="16.5" customHeight="1">
      <c r="A40" s="4"/>
      <c r="B40" s="2"/>
      <c r="C40" s="57"/>
      <c r="D40" s="20">
        <v>700</v>
      </c>
      <c r="E40" s="86" t="s">
        <v>163</v>
      </c>
      <c r="F40" s="71"/>
      <c r="G40" s="86" t="s">
        <v>52</v>
      </c>
      <c r="H40" s="86">
        <f>SUM(D40:D43)</f>
        <v>42600</v>
      </c>
      <c r="I40" s="126"/>
      <c r="J40" s="60"/>
    </row>
    <row r="41" spans="1:12" ht="16.5" customHeight="1">
      <c r="A41" s="4"/>
      <c r="B41" s="2"/>
      <c r="C41" s="57"/>
      <c r="D41" s="20">
        <v>4400</v>
      </c>
      <c r="E41" s="86"/>
      <c r="F41" s="7"/>
      <c r="G41" s="86"/>
      <c r="H41" s="86"/>
      <c r="I41" s="126"/>
      <c r="J41" s="60"/>
    </row>
    <row r="42" spans="1:12" ht="16.5" customHeight="1">
      <c r="A42" s="4"/>
      <c r="B42" s="2"/>
      <c r="C42" s="52"/>
      <c r="D42" s="20">
        <v>35500</v>
      </c>
      <c r="E42" s="116"/>
      <c r="F42" s="7"/>
      <c r="G42" s="86"/>
      <c r="H42" s="86"/>
      <c r="I42" s="126"/>
      <c r="J42" s="60"/>
    </row>
    <row r="43" spans="1:12" ht="16.5" customHeight="1">
      <c r="A43" s="4"/>
      <c r="B43" s="2"/>
      <c r="C43" s="64"/>
      <c r="D43" s="20">
        <v>2000</v>
      </c>
      <c r="E43" s="7" t="s">
        <v>164</v>
      </c>
      <c r="F43" s="7"/>
      <c r="G43" s="128"/>
      <c r="H43" s="128"/>
      <c r="I43" s="127"/>
      <c r="J43" s="61"/>
    </row>
    <row r="44" spans="1:12" ht="16.5" customHeight="1">
      <c r="A44" s="95">
        <f>SUM(A4:A31)</f>
        <v>800000</v>
      </c>
      <c r="B44" s="96"/>
      <c r="C44" s="97"/>
      <c r="D44" s="101">
        <f>SUM(H4:H43)</f>
        <v>851772</v>
      </c>
      <c r="E44" s="102"/>
      <c r="F44" s="102"/>
      <c r="G44" s="102"/>
      <c r="H44" s="103"/>
      <c r="I44" s="107">
        <f>A44-D44</f>
        <v>-51772</v>
      </c>
      <c r="J44" s="89">
        <f>I44/J4</f>
        <v>-17257.333333333332</v>
      </c>
    </row>
    <row r="45" spans="1:12" ht="16.5" customHeight="1">
      <c r="A45" s="98"/>
      <c r="B45" s="99"/>
      <c r="C45" s="100"/>
      <c r="D45" s="104"/>
      <c r="E45" s="105"/>
      <c r="F45" s="105"/>
      <c r="G45" s="105"/>
      <c r="H45" s="106"/>
      <c r="I45" s="108"/>
      <c r="J45" s="90"/>
    </row>
    <row r="46" spans="1:12" ht="16.5" customHeight="1"/>
    <row r="47" spans="1:12" ht="16.5" customHeight="1"/>
    <row r="48" spans="1:1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</sheetData>
  <mergeCells count="24">
    <mergeCell ref="J44:J45"/>
    <mergeCell ref="C4:C11"/>
    <mergeCell ref="C12:C21"/>
    <mergeCell ref="C22:C31"/>
    <mergeCell ref="D44:H45"/>
    <mergeCell ref="E35:E37"/>
    <mergeCell ref="A44:C45"/>
    <mergeCell ref="A1:C2"/>
    <mergeCell ref="I5:I43"/>
    <mergeCell ref="H10:H34"/>
    <mergeCell ref="G10:G34"/>
    <mergeCell ref="I1:I2"/>
    <mergeCell ref="E40:E42"/>
    <mergeCell ref="H40:H43"/>
    <mergeCell ref="G40:G43"/>
    <mergeCell ref="I44:I45"/>
    <mergeCell ref="J1:J2"/>
    <mergeCell ref="H4:H9"/>
    <mergeCell ref="G4:G9"/>
    <mergeCell ref="E10:E34"/>
    <mergeCell ref="H35:H39"/>
    <mergeCell ref="G35:G39"/>
    <mergeCell ref="D1:H2"/>
    <mergeCell ref="E4:E5"/>
  </mergeCells>
  <phoneticPr fontId="1" type="noConversion"/>
  <pageMargins left="0.7" right="0.7" top="0.75" bottom="0.75" header="0.3" footer="0.3"/>
  <ignoredErrors>
    <ignoredError sqref="H4 H10 H35 H4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3F14-223E-4D9C-9C36-43E8D4498620}">
  <dimension ref="A1:J992"/>
  <sheetViews>
    <sheetView tabSelected="1" zoomScale="85" zoomScaleNormal="85" workbookViewId="0">
      <selection activeCell="K42" sqref="K42"/>
    </sheetView>
  </sheetViews>
  <sheetFormatPr defaultColWidth="14.42578125" defaultRowHeight="16.5"/>
  <cols>
    <col min="1" max="2" width="15.7109375" style="10" customWidth="1"/>
    <col min="3" max="3" width="15.7109375" style="19" customWidth="1"/>
    <col min="4" max="4" width="15.7109375" style="10" customWidth="1"/>
    <col min="5" max="5" width="28.7109375" style="10" customWidth="1"/>
    <col min="6" max="6" width="25.5703125" style="10" customWidth="1"/>
    <col min="7" max="10" width="15.7109375" style="10" customWidth="1"/>
    <col min="11" max="11" width="8.7109375" style="10" customWidth="1"/>
    <col min="12" max="12" width="9.7109375" style="10" bestFit="1" customWidth="1"/>
    <col min="13" max="17" width="8.7109375" style="10" customWidth="1"/>
    <col min="18" max="16384" width="14.42578125" style="10"/>
  </cols>
  <sheetData>
    <row r="1" spans="1:10" ht="16.5" customHeight="1">
      <c r="A1" s="95" t="s">
        <v>0</v>
      </c>
      <c r="B1" s="110"/>
      <c r="C1" s="111"/>
      <c r="D1" s="101" t="s">
        <v>1</v>
      </c>
      <c r="E1" s="102"/>
      <c r="F1" s="102"/>
      <c r="G1" s="102"/>
      <c r="H1" s="103"/>
      <c r="I1" s="107" t="s">
        <v>92</v>
      </c>
      <c r="J1" s="89" t="s">
        <v>91</v>
      </c>
    </row>
    <row r="2" spans="1:10" ht="16.5" customHeight="1">
      <c r="A2" s="112"/>
      <c r="B2" s="113"/>
      <c r="C2" s="114"/>
      <c r="D2" s="104"/>
      <c r="E2" s="105"/>
      <c r="F2" s="105"/>
      <c r="G2" s="105"/>
      <c r="H2" s="106"/>
      <c r="I2" s="108"/>
      <c r="J2" s="90"/>
    </row>
    <row r="3" spans="1:10" ht="16.5" customHeight="1">
      <c r="A3" s="11" t="s">
        <v>2</v>
      </c>
      <c r="B3" s="11" t="s">
        <v>3</v>
      </c>
      <c r="C3" s="11" t="s">
        <v>4</v>
      </c>
      <c r="D3" s="12" t="s">
        <v>2</v>
      </c>
      <c r="E3" s="12" t="s">
        <v>4</v>
      </c>
      <c r="F3" s="12" t="s">
        <v>5</v>
      </c>
      <c r="G3" s="12" t="s">
        <v>49</v>
      </c>
      <c r="H3" s="12" t="s">
        <v>53</v>
      </c>
      <c r="I3" s="13"/>
      <c r="J3" s="14" t="s">
        <v>105</v>
      </c>
    </row>
    <row r="4" spans="1:10" ht="16.5" customHeight="1">
      <c r="A4" s="15">
        <v>40000</v>
      </c>
      <c r="B4" s="1" t="s">
        <v>165</v>
      </c>
      <c r="C4" s="91" t="s">
        <v>174</v>
      </c>
      <c r="D4" s="49">
        <v>400000</v>
      </c>
      <c r="E4" s="66" t="s">
        <v>184</v>
      </c>
      <c r="F4" s="78" t="s">
        <v>185</v>
      </c>
      <c r="G4" s="88" t="s">
        <v>50</v>
      </c>
      <c r="H4" s="88">
        <f>SUM(D4:D15)</f>
        <v>612650</v>
      </c>
      <c r="I4" s="82"/>
      <c r="J4" s="70">
        <v>2</v>
      </c>
    </row>
    <row r="5" spans="1:10" ht="16.5" customHeight="1">
      <c r="A5" s="4">
        <v>40000</v>
      </c>
      <c r="B5" s="2" t="s">
        <v>166</v>
      </c>
      <c r="C5" s="92"/>
      <c r="D5" s="26">
        <v>18000</v>
      </c>
      <c r="E5" s="26" t="s">
        <v>187</v>
      </c>
      <c r="F5" s="48" t="s">
        <v>186</v>
      </c>
      <c r="G5" s="86"/>
      <c r="H5" s="86"/>
      <c r="I5" s="83"/>
      <c r="J5" s="60"/>
    </row>
    <row r="6" spans="1:10" ht="16.5" customHeight="1">
      <c r="A6" s="4">
        <v>40000</v>
      </c>
      <c r="B6" s="2" t="s">
        <v>167</v>
      </c>
      <c r="C6" s="92"/>
      <c r="D6" s="55">
        <v>63360</v>
      </c>
      <c r="E6" s="55" t="s">
        <v>47</v>
      </c>
      <c r="F6" s="55" t="s">
        <v>46</v>
      </c>
      <c r="G6" s="86"/>
      <c r="H6" s="86"/>
      <c r="I6" s="81"/>
      <c r="J6" s="60"/>
    </row>
    <row r="7" spans="1:10" ht="16.5" customHeight="1">
      <c r="A7" s="4">
        <v>40000</v>
      </c>
      <c r="B7" s="2" t="s">
        <v>168</v>
      </c>
      <c r="C7" s="92"/>
      <c r="D7" s="47">
        <v>500</v>
      </c>
      <c r="E7" s="65" t="s">
        <v>131</v>
      </c>
      <c r="F7" s="25" t="s">
        <v>188</v>
      </c>
      <c r="G7" s="86"/>
      <c r="H7" s="86"/>
      <c r="I7" s="81"/>
      <c r="J7" s="60"/>
    </row>
    <row r="8" spans="1:10" ht="16.5" customHeight="1">
      <c r="A8" s="4">
        <v>40000</v>
      </c>
      <c r="B8" s="2" t="s">
        <v>169</v>
      </c>
      <c r="C8" s="92"/>
      <c r="D8" s="56">
        <v>9000</v>
      </c>
      <c r="E8" s="67" t="s">
        <v>190</v>
      </c>
      <c r="F8" s="48" t="s">
        <v>189</v>
      </c>
      <c r="G8" s="86"/>
      <c r="H8" s="86"/>
      <c r="I8" s="81"/>
      <c r="J8" s="60"/>
    </row>
    <row r="9" spans="1:10" ht="16.5" customHeight="1">
      <c r="A9" s="4">
        <v>40000</v>
      </c>
      <c r="B9" s="2" t="s">
        <v>170</v>
      </c>
      <c r="C9" s="92"/>
      <c r="D9" s="68">
        <v>7500</v>
      </c>
      <c r="E9" s="51" t="s">
        <v>191</v>
      </c>
      <c r="F9" s="85" t="s">
        <v>45</v>
      </c>
      <c r="G9" s="86"/>
      <c r="H9" s="86"/>
      <c r="I9" s="81"/>
      <c r="J9" s="60"/>
    </row>
    <row r="10" spans="1:10">
      <c r="A10" s="4">
        <v>40000</v>
      </c>
      <c r="B10" s="5" t="s">
        <v>171</v>
      </c>
      <c r="C10" s="92"/>
      <c r="D10" s="56">
        <v>5200</v>
      </c>
      <c r="E10" s="20" t="s">
        <v>192</v>
      </c>
      <c r="F10" s="86"/>
      <c r="G10" s="86"/>
      <c r="H10" s="86"/>
      <c r="I10" s="81"/>
      <c r="J10" s="60"/>
    </row>
    <row r="11" spans="1:10" ht="16.5" customHeight="1">
      <c r="A11" s="17">
        <v>40000</v>
      </c>
      <c r="B11" s="53" t="s">
        <v>172</v>
      </c>
      <c r="C11" s="92"/>
      <c r="D11" s="55">
        <v>16490</v>
      </c>
      <c r="E11" s="7" t="s">
        <v>193</v>
      </c>
      <c r="F11" s="86"/>
      <c r="G11" s="86"/>
      <c r="H11" s="86"/>
      <c r="I11" s="81"/>
      <c r="J11" s="60"/>
    </row>
    <row r="12" spans="1:10" ht="16.5" customHeight="1">
      <c r="A12" s="4">
        <v>40000</v>
      </c>
      <c r="B12" s="74" t="s">
        <v>124</v>
      </c>
      <c r="C12" s="92"/>
      <c r="D12" s="59">
        <v>12900</v>
      </c>
      <c r="E12" s="59" t="s">
        <v>194</v>
      </c>
      <c r="F12" s="87"/>
      <c r="G12" s="86"/>
      <c r="H12" s="86"/>
      <c r="I12" s="81"/>
      <c r="J12" s="60"/>
    </row>
    <row r="13" spans="1:10" ht="16.5" customHeight="1">
      <c r="A13" s="9">
        <v>40000</v>
      </c>
      <c r="B13" s="53" t="s">
        <v>173</v>
      </c>
      <c r="C13" s="92"/>
      <c r="D13" s="72">
        <v>19900</v>
      </c>
      <c r="E13" s="68" t="s">
        <v>195</v>
      </c>
      <c r="F13" s="85" t="s">
        <v>160</v>
      </c>
      <c r="G13" s="86"/>
      <c r="H13" s="86"/>
      <c r="I13" s="81"/>
      <c r="J13" s="60"/>
    </row>
    <row r="14" spans="1:10" ht="16.5" customHeight="1">
      <c r="A14" s="54">
        <v>45000</v>
      </c>
      <c r="B14" s="54" t="s">
        <v>175</v>
      </c>
      <c r="C14" s="93" t="s">
        <v>126</v>
      </c>
      <c r="D14" s="55">
        <v>30900</v>
      </c>
      <c r="E14" s="20" t="s">
        <v>197</v>
      </c>
      <c r="F14" s="86"/>
      <c r="G14" s="86"/>
      <c r="H14" s="86"/>
      <c r="I14" s="81"/>
      <c r="J14" s="60"/>
    </row>
    <row r="15" spans="1:10" ht="16.5" customHeight="1">
      <c r="A15" s="4">
        <v>45000</v>
      </c>
      <c r="B15" s="3" t="s">
        <v>176</v>
      </c>
      <c r="C15" s="92"/>
      <c r="D15" s="73">
        <v>28900</v>
      </c>
      <c r="E15" s="79" t="s">
        <v>196</v>
      </c>
      <c r="F15" s="87"/>
      <c r="G15" s="87"/>
      <c r="H15" s="87"/>
      <c r="I15" s="81"/>
      <c r="J15" s="60"/>
    </row>
    <row r="16" spans="1:10">
      <c r="A16" s="4">
        <v>45000</v>
      </c>
      <c r="B16" s="2" t="s">
        <v>177</v>
      </c>
      <c r="C16" s="92"/>
      <c r="D16" s="71">
        <v>65980</v>
      </c>
      <c r="E16" s="80" t="s">
        <v>198</v>
      </c>
      <c r="F16" s="85" t="s">
        <v>103</v>
      </c>
      <c r="G16" s="85" t="s">
        <v>76</v>
      </c>
      <c r="H16" s="85">
        <f>SUM(D16:D35)</f>
        <v>325210</v>
      </c>
      <c r="I16" s="81"/>
      <c r="J16" s="60"/>
    </row>
    <row r="17" spans="1:10">
      <c r="A17" s="4">
        <v>45000</v>
      </c>
      <c r="B17" s="2" t="s">
        <v>178</v>
      </c>
      <c r="C17" s="92"/>
      <c r="D17" s="20">
        <v>19990</v>
      </c>
      <c r="E17" s="7" t="s">
        <v>199</v>
      </c>
      <c r="F17" s="86"/>
      <c r="G17" s="86"/>
      <c r="H17" s="86"/>
      <c r="I17" s="81"/>
      <c r="J17" s="60"/>
    </row>
    <row r="18" spans="1:10">
      <c r="A18" s="4">
        <v>45000</v>
      </c>
      <c r="B18" s="2" t="s">
        <v>26</v>
      </c>
      <c r="C18" s="92"/>
      <c r="D18" s="24">
        <v>21790</v>
      </c>
      <c r="E18" s="18" t="s">
        <v>200</v>
      </c>
      <c r="F18" s="86"/>
      <c r="G18" s="86"/>
      <c r="H18" s="86"/>
      <c r="I18" s="81"/>
      <c r="J18" s="60"/>
    </row>
    <row r="19" spans="1:10">
      <c r="A19" s="4">
        <v>45000</v>
      </c>
      <c r="B19" s="3" t="s">
        <v>179</v>
      </c>
      <c r="C19" s="92"/>
      <c r="D19" s="20">
        <v>10390</v>
      </c>
      <c r="E19" s="7" t="s">
        <v>201</v>
      </c>
      <c r="F19" s="86"/>
      <c r="G19" s="86"/>
      <c r="H19" s="86"/>
      <c r="I19" s="81"/>
      <c r="J19" s="60"/>
    </row>
    <row r="20" spans="1:10">
      <c r="A20" s="4">
        <v>45000</v>
      </c>
      <c r="B20" s="2" t="s">
        <v>180</v>
      </c>
      <c r="C20" s="92"/>
      <c r="D20" s="20">
        <v>6490</v>
      </c>
      <c r="E20" s="7" t="s">
        <v>202</v>
      </c>
      <c r="F20" s="86"/>
      <c r="G20" s="86"/>
      <c r="H20" s="86"/>
      <c r="I20" s="81"/>
      <c r="J20" s="60"/>
    </row>
    <row r="21" spans="1:10">
      <c r="A21" s="9">
        <v>45000</v>
      </c>
      <c r="B21" s="53" t="s">
        <v>181</v>
      </c>
      <c r="C21" s="92"/>
      <c r="D21" s="20">
        <v>-1300</v>
      </c>
      <c r="E21" s="7" t="s">
        <v>203</v>
      </c>
      <c r="F21" s="86"/>
      <c r="G21" s="86"/>
      <c r="H21" s="86"/>
      <c r="I21" s="81"/>
      <c r="J21" s="60"/>
    </row>
    <row r="22" spans="1:10">
      <c r="A22" s="74">
        <v>30000</v>
      </c>
      <c r="B22" s="74" t="s">
        <v>182</v>
      </c>
      <c r="C22" s="92"/>
      <c r="D22" s="24">
        <v>11990</v>
      </c>
      <c r="E22" s="18" t="s">
        <v>204</v>
      </c>
      <c r="F22" s="86"/>
      <c r="G22" s="86"/>
      <c r="H22" s="86"/>
      <c r="I22" s="81"/>
      <c r="J22" s="60"/>
    </row>
    <row r="23" spans="1:10">
      <c r="A23" s="58">
        <v>30000</v>
      </c>
      <c r="B23" s="58" t="s">
        <v>183</v>
      </c>
      <c r="C23" s="94"/>
      <c r="D23" s="24">
        <v>-1200</v>
      </c>
      <c r="E23" s="18" t="s">
        <v>205</v>
      </c>
      <c r="F23" s="86"/>
      <c r="G23" s="86"/>
      <c r="H23" s="86"/>
      <c r="I23" s="81"/>
      <c r="J23" s="60"/>
    </row>
    <row r="24" spans="1:10" ht="16.5" customHeight="1">
      <c r="A24" s="4">
        <v>15000</v>
      </c>
      <c r="B24" s="54" t="s">
        <v>178</v>
      </c>
      <c r="C24" s="93" t="s">
        <v>218</v>
      </c>
      <c r="D24" s="20">
        <v>7390</v>
      </c>
      <c r="E24" s="7" t="s">
        <v>142</v>
      </c>
      <c r="F24" s="86"/>
      <c r="G24" s="86"/>
      <c r="H24" s="86"/>
      <c r="I24" s="81"/>
      <c r="J24" s="60"/>
    </row>
    <row r="25" spans="1:10">
      <c r="A25" s="4">
        <v>15000</v>
      </c>
      <c r="B25" s="4" t="s">
        <v>179</v>
      </c>
      <c r="C25" s="92"/>
      <c r="D25" s="20">
        <v>26990</v>
      </c>
      <c r="E25" s="7" t="s">
        <v>206</v>
      </c>
      <c r="F25" s="86"/>
      <c r="G25" s="86"/>
      <c r="H25" s="86"/>
      <c r="I25" s="81"/>
      <c r="J25" s="60"/>
    </row>
    <row r="26" spans="1:10">
      <c r="A26" s="4">
        <v>15000</v>
      </c>
      <c r="B26" s="4" t="s">
        <v>180</v>
      </c>
      <c r="C26" s="92"/>
      <c r="D26" s="24">
        <v>27650</v>
      </c>
      <c r="E26" s="18" t="s">
        <v>149</v>
      </c>
      <c r="F26" s="86"/>
      <c r="G26" s="86"/>
      <c r="H26" s="86"/>
      <c r="I26" s="81"/>
      <c r="J26" s="60"/>
    </row>
    <row r="27" spans="1:10">
      <c r="A27" s="4">
        <v>15000</v>
      </c>
      <c r="B27" s="4" t="s">
        <v>175</v>
      </c>
      <c r="C27" s="92"/>
      <c r="D27" s="25">
        <v>5490</v>
      </c>
      <c r="E27" s="26" t="s">
        <v>207</v>
      </c>
      <c r="F27" s="86"/>
      <c r="G27" s="86"/>
      <c r="H27" s="86"/>
      <c r="I27" s="81"/>
      <c r="J27" s="60"/>
    </row>
    <row r="28" spans="1:10">
      <c r="A28" s="4">
        <v>15000</v>
      </c>
      <c r="B28" s="4" t="s">
        <v>172</v>
      </c>
      <c r="C28" s="92"/>
      <c r="D28" s="26">
        <v>49980</v>
      </c>
      <c r="E28" s="26" t="s">
        <v>208</v>
      </c>
      <c r="F28" s="86"/>
      <c r="G28" s="86"/>
      <c r="H28" s="86"/>
      <c r="I28" s="81"/>
      <c r="J28" s="60"/>
    </row>
    <row r="29" spans="1:10">
      <c r="A29" s="4">
        <v>15000</v>
      </c>
      <c r="B29" s="4" t="s">
        <v>116</v>
      </c>
      <c r="C29" s="92"/>
      <c r="D29" s="73">
        <v>-10000</v>
      </c>
      <c r="E29" s="67" t="s">
        <v>219</v>
      </c>
      <c r="F29" s="87"/>
      <c r="G29" s="86"/>
      <c r="H29" s="86"/>
      <c r="I29" s="81"/>
      <c r="J29" s="60"/>
    </row>
    <row r="30" spans="1:10">
      <c r="A30" s="4">
        <v>15000</v>
      </c>
      <c r="B30" s="4" t="s">
        <v>167</v>
      </c>
      <c r="C30" s="92"/>
      <c r="D30" s="71">
        <v>45820</v>
      </c>
      <c r="E30" s="80" t="s">
        <v>209</v>
      </c>
      <c r="F30" s="85" t="s">
        <v>211</v>
      </c>
      <c r="G30" s="86"/>
      <c r="H30" s="86"/>
      <c r="I30" s="81"/>
      <c r="J30" s="60"/>
    </row>
    <row r="31" spans="1:10">
      <c r="A31" s="17">
        <v>15000</v>
      </c>
      <c r="B31" s="2" t="s">
        <v>26</v>
      </c>
      <c r="C31" s="92"/>
      <c r="D31" s="73">
        <v>6000</v>
      </c>
      <c r="E31" s="79" t="s">
        <v>210</v>
      </c>
      <c r="F31" s="87"/>
      <c r="G31" s="86"/>
      <c r="H31" s="86"/>
      <c r="I31" s="81"/>
      <c r="J31" s="60"/>
    </row>
    <row r="32" spans="1:10">
      <c r="A32" s="75">
        <v>15000</v>
      </c>
      <c r="B32" s="17" t="s">
        <v>165</v>
      </c>
      <c r="C32" s="92"/>
      <c r="D32" s="20">
        <v>10300</v>
      </c>
      <c r="E32" s="7" t="s">
        <v>212</v>
      </c>
      <c r="F32" s="48" t="s">
        <v>45</v>
      </c>
      <c r="G32" s="86"/>
      <c r="H32" s="86"/>
      <c r="I32" s="81"/>
      <c r="J32" s="60"/>
    </row>
    <row r="33" spans="1:10">
      <c r="A33" s="4">
        <v>15000</v>
      </c>
      <c r="B33" s="75" t="s">
        <v>166</v>
      </c>
      <c r="C33" s="92"/>
      <c r="D33" s="47">
        <v>5460</v>
      </c>
      <c r="E33" s="25" t="s">
        <v>214</v>
      </c>
      <c r="F33" s="56" t="s">
        <v>213</v>
      </c>
      <c r="G33" s="86"/>
      <c r="H33" s="86"/>
      <c r="I33" s="81"/>
      <c r="J33" s="60"/>
    </row>
    <row r="34" spans="1:10">
      <c r="A34" s="4">
        <v>15000</v>
      </c>
      <c r="B34" s="5" t="s">
        <v>177</v>
      </c>
      <c r="C34" s="92"/>
      <c r="D34" s="55">
        <v>9000</v>
      </c>
      <c r="E34" s="20" t="s">
        <v>215</v>
      </c>
      <c r="F34" s="26" t="s">
        <v>98</v>
      </c>
      <c r="G34" s="86"/>
      <c r="H34" s="86"/>
      <c r="I34" s="81"/>
      <c r="J34" s="60"/>
    </row>
    <row r="35" spans="1:10">
      <c r="A35" s="4">
        <v>15000</v>
      </c>
      <c r="B35" s="2" t="s">
        <v>169</v>
      </c>
      <c r="C35" s="92"/>
      <c r="D35" s="59">
        <v>7000</v>
      </c>
      <c r="E35" s="59" t="s">
        <v>217</v>
      </c>
      <c r="F35" s="67" t="s">
        <v>216</v>
      </c>
      <c r="G35" s="87"/>
      <c r="H35" s="87"/>
      <c r="I35" s="81"/>
      <c r="J35" s="60"/>
    </row>
    <row r="36" spans="1:10" ht="16.5" customHeight="1">
      <c r="A36" s="17">
        <v>15000</v>
      </c>
      <c r="B36" s="2" t="s">
        <v>176</v>
      </c>
      <c r="C36" s="92"/>
      <c r="D36" s="51"/>
      <c r="E36" s="51"/>
      <c r="F36" s="84"/>
      <c r="G36" s="84"/>
      <c r="H36" s="84"/>
      <c r="I36" s="81"/>
      <c r="J36" s="60"/>
    </row>
    <row r="37" spans="1:10" ht="16.5" customHeight="1">
      <c r="A37" s="76">
        <v>15000</v>
      </c>
      <c r="B37" s="77" t="s">
        <v>168</v>
      </c>
      <c r="C37" s="109"/>
      <c r="D37" s="51"/>
      <c r="E37" s="51"/>
      <c r="F37" s="84"/>
      <c r="G37" s="84"/>
      <c r="H37" s="84"/>
      <c r="I37" s="81"/>
      <c r="J37" s="60"/>
    </row>
    <row r="38" spans="1:10" ht="16.5" customHeight="1">
      <c r="A38" s="95">
        <f>SUM(A4:A37)</f>
        <v>1030000</v>
      </c>
      <c r="B38" s="96"/>
      <c r="C38" s="97"/>
      <c r="D38" s="101">
        <f>SUM(H4:H35)</f>
        <v>937860</v>
      </c>
      <c r="E38" s="102"/>
      <c r="F38" s="102"/>
      <c r="G38" s="102"/>
      <c r="H38" s="103"/>
      <c r="I38" s="107">
        <f>A38-D38</f>
        <v>92140</v>
      </c>
      <c r="J38" s="89">
        <f>I38/J4</f>
        <v>46070</v>
      </c>
    </row>
    <row r="39" spans="1:10" ht="16.5" customHeight="1">
      <c r="A39" s="98"/>
      <c r="B39" s="99"/>
      <c r="C39" s="100"/>
      <c r="D39" s="104"/>
      <c r="E39" s="105"/>
      <c r="F39" s="105"/>
      <c r="G39" s="105"/>
      <c r="H39" s="106"/>
      <c r="I39" s="108"/>
      <c r="J39" s="90"/>
    </row>
    <row r="40" spans="1:10" ht="16.5" customHeight="1"/>
    <row r="41" spans="1:10" ht="16.5" customHeight="1"/>
    <row r="42" spans="1:10" ht="16.5" customHeight="1"/>
    <row r="43" spans="1:10" ht="16.5" customHeight="1"/>
    <row r="44" spans="1:10" ht="16.5" customHeight="1"/>
    <row r="45" spans="1:10" ht="16.5" customHeight="1"/>
    <row r="46" spans="1:10" ht="16.5" customHeight="1"/>
    <row r="47" spans="1:10" ht="16.5" customHeight="1"/>
    <row r="48" spans="1:10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</sheetData>
  <mergeCells count="19">
    <mergeCell ref="A1:C2"/>
    <mergeCell ref="D1:H2"/>
    <mergeCell ref="I1:I2"/>
    <mergeCell ref="J1:J2"/>
    <mergeCell ref="F16:F29"/>
    <mergeCell ref="G16:G35"/>
    <mergeCell ref="H16:H35"/>
    <mergeCell ref="G4:G15"/>
    <mergeCell ref="H4:H15"/>
    <mergeCell ref="J38:J39"/>
    <mergeCell ref="C4:C13"/>
    <mergeCell ref="C14:C23"/>
    <mergeCell ref="A38:C39"/>
    <mergeCell ref="D38:H39"/>
    <mergeCell ref="I38:I39"/>
    <mergeCell ref="C24:C37"/>
    <mergeCell ref="F30:F31"/>
    <mergeCell ref="F9:F12"/>
    <mergeCell ref="F13:F15"/>
  </mergeCells>
  <phoneticPr fontId="1" type="noConversion"/>
  <pageMargins left="0.7" right="0.7" top="0.75" bottom="0.75" header="0.3" footer="0.3"/>
  <ignoredErrors>
    <ignoredError sqref="H4 H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25.10.11</vt:lpstr>
      <vt:lpstr>25.11.08</vt:lpstr>
      <vt:lpstr>26.03.21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j6331</cp:lastModifiedBy>
  <dcterms:created xsi:type="dcterms:W3CDTF">2023-01-11T12:57:29Z</dcterms:created>
  <dcterms:modified xsi:type="dcterms:W3CDTF">2026-03-25T05:59:37Z</dcterms:modified>
</cp:coreProperties>
</file>