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월" sheetId="1" r:id="rId4"/>
    <sheet state="visible" name="3월" sheetId="2" r:id="rId5"/>
  </sheets>
  <definedNames/>
  <calcPr/>
  <extLst>
    <ext uri="GoogleSheetsCustomDataVersion2">
      <go:sheetsCustomData xmlns:go="http://customooxmlschemas.google.com/" r:id="rId6" roundtripDataChecksum="H/SAp8ExqXowKan2P5XYJLiw/g8/Tn3wKJH9obzxu9E="/>
    </ext>
  </extLst>
</workbook>
</file>

<file path=xl/sharedStrings.xml><?xml version="1.0" encoding="utf-8"?>
<sst xmlns="http://schemas.openxmlformats.org/spreadsheetml/2006/main" count="136" uniqueCount="76">
  <si>
    <t>4월</t>
  </si>
  <si>
    <t>날짜</t>
  </si>
  <si>
    <t>04.02</t>
  </si>
  <si>
    <t>04.06</t>
  </si>
  <si>
    <t>04.22</t>
  </si>
  <si>
    <t>누적 점수</t>
  </si>
  <si>
    <t>구분</t>
  </si>
  <si>
    <t>비정기모임</t>
  </si>
  <si>
    <t>4차 정기모임</t>
  </si>
  <si>
    <t>활동</t>
  </si>
  <si>
    <t>신촌</t>
  </si>
  <si>
    <t>혜화 연극</t>
  </si>
  <si>
    <t>합정</t>
  </si>
  <si>
    <t>주최자</t>
  </si>
  <si>
    <t>이원준, 이규엽</t>
  </si>
  <si>
    <t>-</t>
  </si>
  <si>
    <t>이규엽</t>
  </si>
  <si>
    <t>운영진</t>
  </si>
  <si>
    <t>이원준</t>
  </si>
  <si>
    <t>이진진</t>
  </si>
  <si>
    <t>이예림</t>
  </si>
  <si>
    <t>신희찬</t>
  </si>
  <si>
    <t>문제원</t>
  </si>
  <si>
    <t>유지훈</t>
  </si>
  <si>
    <t>이주연</t>
  </si>
  <si>
    <t>활동회원</t>
  </si>
  <si>
    <t>홍석범</t>
  </si>
  <si>
    <t>황인우</t>
  </si>
  <si>
    <t>김해찬</t>
  </si>
  <si>
    <t>하은희</t>
  </si>
  <si>
    <t>윤민식</t>
  </si>
  <si>
    <t>이광민</t>
  </si>
  <si>
    <t>이성현</t>
  </si>
  <si>
    <t>이수민</t>
  </si>
  <si>
    <t>이지원</t>
  </si>
  <si>
    <t>박소현</t>
  </si>
  <si>
    <t>양진석</t>
  </si>
  <si>
    <t>홍채원</t>
  </si>
  <si>
    <t>권지연</t>
  </si>
  <si>
    <t>권희원</t>
  </si>
  <si>
    <t>배규현</t>
  </si>
  <si>
    <t>배환규</t>
  </si>
  <si>
    <t>안우석</t>
  </si>
  <si>
    <t>김동현</t>
  </si>
  <si>
    <t>김태호</t>
  </si>
  <si>
    <t>김혜연</t>
  </si>
  <si>
    <t>박민기</t>
  </si>
  <si>
    <t>박상현</t>
  </si>
  <si>
    <t>방규현</t>
  </si>
  <si>
    <t>송예나</t>
  </si>
  <si>
    <t>심준보</t>
  </si>
  <si>
    <t>양정우</t>
  </si>
  <si>
    <t>양지현</t>
  </si>
  <si>
    <t>유지현</t>
  </si>
  <si>
    <t>윤기화</t>
  </si>
  <si>
    <t>이수현</t>
  </si>
  <si>
    <t>이태성</t>
  </si>
  <si>
    <t>참여 인원</t>
  </si>
  <si>
    <t>3월</t>
  </si>
  <si>
    <t>03.01</t>
  </si>
  <si>
    <t>03.04</t>
  </si>
  <si>
    <t>03.09</t>
  </si>
  <si>
    <t>03.15</t>
  </si>
  <si>
    <t>03.23</t>
  </si>
  <si>
    <t>03.24</t>
  </si>
  <si>
    <t>03.30</t>
  </si>
  <si>
    <t>0차 정기모임</t>
  </si>
  <si>
    <t>오리엔테이션</t>
  </si>
  <si>
    <t>1차 정기모임</t>
  </si>
  <si>
    <t>2차 정기모임</t>
  </si>
  <si>
    <t>3차 정기모임</t>
  </si>
  <si>
    <t>강남</t>
  </si>
  <si>
    <t>신촌 술</t>
  </si>
  <si>
    <t>왕십리 보드게임</t>
  </si>
  <si>
    <t>신촌 정통집</t>
  </si>
  <si>
    <t>등산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</si>
</sst>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color theme="1"/>
      <name val="Malgun Gothic"/>
    </font>
    <font/>
  </fonts>
  <fills count="12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83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right style="thin">
        <color rgb="FF757070"/>
      </right>
      <top style="thin">
        <color rgb="FF757070"/>
      </top>
      <bottom style="thin">
        <color rgb="FFAEABAB"/>
      </bottom>
    </border>
    <border>
      <right style="thin">
        <color rgb="FF7F7F7F"/>
      </right>
      <top style="thin">
        <color rgb="FF757070"/>
      </top>
    </border>
    <border>
      <left style="thin">
        <color rgb="FF757070"/>
      </left>
      <right style="thin">
        <color rgb="FF757070"/>
      </right>
    </border>
    <border>
      <right style="thin">
        <color rgb="FF757070"/>
      </right>
      <bottom style="thin">
        <color rgb="FFAEABAB"/>
      </bottom>
    </border>
    <border>
      <right style="thin">
        <color rgb="FF7F7F7F"/>
      </right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right style="thin">
        <color rgb="FF757070"/>
      </right>
      <bottom style="thin">
        <color rgb="FF7F7F7F"/>
      </bottom>
    </border>
    <border>
      <right style="thin">
        <color rgb="FF757070"/>
      </right>
      <bottom style="thin">
        <color rgb="FF757070"/>
      </bottom>
    </border>
    <border>
      <right style="thin">
        <color rgb="FF7F7F7F"/>
      </right>
      <bottom style="thin">
        <color rgb="FF7F7F7F"/>
      </bottom>
    </border>
    <border>
      <right style="thin">
        <color rgb="FF757070"/>
      </right>
    </border>
    <border>
      <right style="thin">
        <color rgb="FF757070"/>
      </right>
      <bottom style="thin">
        <color rgb="FFB7B7B7"/>
      </bottom>
    </border>
    <border>
      <right style="thin">
        <color rgb="FF7F7F7F"/>
      </right>
      <bottom style="thin">
        <color rgb="FFA5A5A5"/>
      </bottom>
    </border>
    <border>
      <right style="thin">
        <color rgb="FF757070"/>
      </right>
      <bottom style="thin">
        <color rgb="FFA5A5A5"/>
      </bottom>
    </border>
    <border>
      <right style="thin">
        <color rgb="FF7B7B7B"/>
      </right>
      <bottom style="thin">
        <color rgb="FFAEABAB"/>
      </bottom>
    </border>
    <border>
      <right style="thin">
        <color rgb="FF7B7B7B"/>
      </right>
      <bottom style="thin">
        <color rgb="FF7F7F7F"/>
      </bottom>
    </border>
    <border>
      <right style="thin">
        <color rgb="FF7F7F7F"/>
      </right>
      <bottom style="thin">
        <color rgb="FFAEABAB"/>
      </bottom>
    </border>
    <border>
      <right style="thin">
        <color rgb="FF7F7F7F"/>
      </right>
      <bottom style="thin">
        <color rgb="FF666666"/>
      </bottom>
    </border>
    <border>
      <left style="thin">
        <color rgb="FF757070"/>
      </left>
      <bottom style="thin">
        <color rgb="FF757070"/>
      </bottom>
    </border>
    <border>
      <right style="thin">
        <color rgb="FF7B7B7B"/>
      </right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F7F7F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F7F7F"/>
      </right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 style="thin">
        <color rgb="FF757070"/>
      </left>
      <right style="thin">
        <color rgb="FF7F7F7F"/>
      </right>
      <bottom style="thin">
        <color rgb="FF7F7F7F"/>
      </bottom>
    </border>
    <border>
      <left/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F7F7F"/>
      </top>
      <bottom style="thin">
        <color rgb="FFB7B7B7"/>
      </bottom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57070"/>
      </left>
      <right/>
      <top style="thin">
        <color rgb="FF757070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 style="thin">
        <color rgb="FF757070"/>
      </right>
    </border>
    <border>
      <left style="thin">
        <color rgb="FF757070"/>
      </left>
      <right style="thin">
        <color rgb="FF757070"/>
      </right>
      <bottom style="thin">
        <color rgb="FFB7B7B7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57070"/>
      </left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</border>
    <border>
      <left style="thin">
        <color rgb="FF757070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  <bottom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757070"/>
      </left>
      <top style="thin">
        <color rgb="FFAEABAB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/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AEABAB"/>
      </right>
      <bottom style="thin">
        <color rgb="FF7F7F7F"/>
      </bottom>
    </border>
    <border>
      <left style="thin">
        <color rgb="FF757070"/>
      </lef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57070"/>
      </right>
      <top style="thin">
        <color rgb="FF7F7F7F"/>
      </top>
      <bottom style="thin">
        <color rgb="FFB7B7B7"/>
      </bottom>
    </border>
    <border>
      <left style="thin">
        <color rgb="FF757070"/>
      </left>
      <right style="thin">
        <color rgb="FF7B7B7B"/>
      </right>
      <top style="thin">
        <color rgb="FF7F7F7F"/>
      </top>
      <bottom style="thin">
        <color rgb="FFAEABAB"/>
      </bottom>
    </border>
    <border>
      <left style="thin">
        <color rgb="FF7B7B7B"/>
      </left>
      <right/>
      <top style="thin">
        <color rgb="FF7F7F7F"/>
      </top>
      <bottom style="thin">
        <color rgb="FFAEABAB"/>
      </bottom>
    </border>
    <border>
      <left/>
      <right style="thin">
        <color rgb="FF7F7F7F"/>
      </right>
    </border>
    <border>
      <left style="thin">
        <color rgb="FF7F7F7F"/>
      </left>
      <right style="thin">
        <color rgb="FF757070"/>
      </right>
      <bottom style="thin">
        <color rgb="FFB7B7B7"/>
      </bottom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</border>
    <border>
      <left style="thin">
        <color rgb="FF7B7B7B"/>
      </lef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B7B7B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/>
      <bottom/>
    </border>
    <border>
      <left/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</border>
    <border>
      <left style="thin">
        <color rgb="FF757070"/>
      </left>
      <right style="thin">
        <color rgb="FF7B7B7B"/>
      </right>
      <top style="thin">
        <color rgb="FFAEABAB"/>
      </top>
    </border>
    <border>
      <left style="thin">
        <color rgb="FF7B7B7B"/>
      </left>
      <top style="thin">
        <color rgb="FFAEABAB"/>
      </top>
    </border>
    <border>
      <left style="thin">
        <color rgb="FF7B7B7B"/>
      </left>
      <right style="thin">
        <color rgb="FF7F7F7F"/>
      </right>
      <top style="thin">
        <color rgb="FFA5A5A5"/>
      </top>
    </border>
    <border>
      <left style="thin">
        <color rgb="FF7B7B7B"/>
      </left>
      <right style="thin">
        <color rgb="FF7F7F7F"/>
      </right>
      <top style="thin">
        <color rgb="FFA5A5A5"/>
      </top>
      <bottom/>
    </border>
    <border>
      <left style="thin">
        <color rgb="FF7F7F7F"/>
      </left>
      <right style="thin">
        <color rgb="FF757070"/>
      </right>
      <bottom style="thin">
        <color rgb="FF7F7F7F"/>
      </bottom>
    </border>
    <border>
      <left style="thin">
        <color rgb="FF7F7F7F"/>
      </left>
      <right style="thin">
        <color rgb="FF757070"/>
      </right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</border>
    <border>
      <left style="thin">
        <color rgb="FF7F7F7F"/>
      </left>
      <right/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5A5A5"/>
      </bottom>
    </border>
    <border>
      <left style="thin">
        <color rgb="FF7F7F7F"/>
      </left>
      <right style="thin">
        <color rgb="FF757070"/>
      </right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F7F7F"/>
      </left>
      <top style="thin">
        <color rgb="FFAEABAB"/>
      </top>
      <bottom style="thin">
        <color rgb="FFAEABAB"/>
      </bottom>
    </border>
    <border>
      <left style="thin">
        <color rgb="FF7F7F7F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57070"/>
      </right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EABAB"/>
      </top>
      <bottom/>
    </border>
    <border>
      <left style="thin">
        <color rgb="FF7F7F7F"/>
      </left>
      <right/>
      <top style="thin">
        <color rgb="FFAEABAB"/>
      </top>
      <bottom/>
    </border>
    <border>
      <left/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666666"/>
      </bottom>
    </border>
    <border>
      <left style="thin">
        <color rgb="FF7F7F7F"/>
      </left>
      <top style="thin">
        <color rgb="FFAEABAB"/>
      </top>
      <bottom style="thin">
        <color rgb="FF666666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666666"/>
      </bottom>
    </border>
    <border>
      <left style="thin">
        <color rgb="FF757070"/>
      </left>
      <top/>
      <bottom style="thin">
        <color rgb="FF757070"/>
      </bottom>
    </border>
    <border>
      <right style="thin">
        <color rgb="FF7B7B7B"/>
      </right>
      <top/>
      <bottom style="thin">
        <color rgb="FF757070"/>
      </bottom>
    </border>
    <border>
      <left style="thin">
        <color rgb="FF7B7B7B"/>
      </left>
      <right style="thin">
        <color rgb="FF7B7B7B"/>
      </right>
      <bottom style="thin">
        <color rgb="FF75707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vertical="center"/>
    </xf>
    <xf quotePrefix="1" borderId="2" fillId="3" fontId="1" numFmtId="0" xfId="0" applyAlignment="1" applyBorder="1" applyFont="1">
      <alignment horizontal="center" readingOrder="0" vertical="center"/>
    </xf>
    <xf quotePrefix="1" borderId="2" fillId="3" fontId="2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vertical="center"/>
    </xf>
    <xf borderId="5" fillId="4" fontId="1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8" fillId="4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readingOrder="0" vertical="center"/>
    </xf>
    <xf borderId="9" fillId="4" fontId="2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vertical="center"/>
    </xf>
    <xf borderId="11" fillId="5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ont="1">
      <alignment horizontal="center" vertical="center"/>
    </xf>
    <xf borderId="13" fillId="6" fontId="1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8" fillId="0" fontId="4" numFmtId="0" xfId="0" applyAlignment="1" applyBorder="1" applyFont="1">
      <alignment vertical="center"/>
    </xf>
    <xf borderId="8" fillId="6" fontId="1" numFmtId="0" xfId="0" applyAlignment="1" applyBorder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12" fillId="8" fontId="1" numFmtId="0" xfId="0" applyAlignment="1" applyBorder="1" applyFill="1" applyFont="1">
      <alignment horizontal="center" vertical="center"/>
    </xf>
    <xf borderId="15" fillId="9" fontId="1" numFmtId="0" xfId="0" applyAlignment="1" applyBorder="1" applyFill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5" fillId="10" fontId="1" numFmtId="0" xfId="0" applyAlignment="1" applyBorder="1" applyFill="1" applyFont="1">
      <alignment horizontal="center" vertical="center"/>
    </xf>
    <xf borderId="17" fillId="11" fontId="1" numFmtId="0" xfId="0" applyAlignment="1" applyBorder="1" applyFill="1" applyFont="1">
      <alignment horizontal="center" vertical="center"/>
    </xf>
    <xf borderId="13" fillId="1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2" fillId="1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4" fillId="10" fontId="1" numFmtId="0" xfId="0" applyAlignment="1" applyBorder="1" applyFont="1">
      <alignment horizontal="center" vertical="center"/>
    </xf>
    <xf borderId="17" fillId="11" fontId="1" numFmtId="0" xfId="0" applyAlignment="1" applyBorder="1" applyFont="1">
      <alignment horizontal="center" readingOrder="0" vertical="center"/>
    </xf>
    <xf borderId="8" fillId="1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4" fontId="1" numFmtId="0" xfId="0" applyAlignment="1" applyBorder="1" applyFont="1">
      <alignment horizontal="center" vertical="center"/>
    </xf>
    <xf borderId="20" fillId="0" fontId="4" numFmtId="0" xfId="0" applyAlignment="1" applyBorder="1" applyFont="1">
      <alignment vertical="center"/>
    </xf>
    <xf borderId="20" fillId="4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1" fillId="3" fontId="1" numFmtId="0" xfId="0" applyAlignment="1" applyBorder="1" applyFont="1">
      <alignment horizontal="center" vertical="center"/>
    </xf>
    <xf quotePrefix="1" borderId="21" fillId="3" fontId="2" numFmtId="0" xfId="0" applyAlignment="1" applyBorder="1" applyFont="1">
      <alignment horizontal="center" vertical="center"/>
    </xf>
    <xf quotePrefix="1" borderId="21" fillId="3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23" fillId="4" fontId="2" numFmtId="0" xfId="0" applyAlignment="1" applyBorder="1" applyFont="1">
      <alignment horizontal="center" readingOrder="0" vertical="center"/>
    </xf>
    <xf borderId="23" fillId="4" fontId="2" numFmtId="0" xfId="0" applyAlignment="1" applyBorder="1" applyFont="1">
      <alignment horizontal="center" vertical="center"/>
    </xf>
    <xf borderId="24" fillId="0" fontId="4" numFmtId="0" xfId="0" applyAlignment="1" applyBorder="1" applyFont="1">
      <alignment vertical="center"/>
    </xf>
    <xf borderId="23" fillId="3" fontId="1" numFmtId="0" xfId="0" applyAlignment="1" applyBorder="1" applyFont="1">
      <alignment horizontal="center" vertical="center"/>
    </xf>
    <xf borderId="23" fillId="3" fontId="2" numFmtId="0" xfId="0" applyAlignment="1" applyBorder="1" applyFont="1">
      <alignment horizontal="center" vertical="center"/>
    </xf>
    <xf borderId="25" fillId="4" fontId="1" numFmtId="0" xfId="0" applyAlignment="1" applyBorder="1" applyFont="1">
      <alignment horizontal="center" vertical="center"/>
    </xf>
    <xf borderId="25" fillId="4" fontId="2" numFmtId="0" xfId="0" applyAlignment="1" applyBorder="1" applyFont="1">
      <alignment horizontal="center" vertical="center"/>
    </xf>
    <xf borderId="26" fillId="0" fontId="4" numFmtId="0" xfId="0" applyAlignment="1" applyBorder="1" applyFont="1">
      <alignment vertical="center"/>
    </xf>
    <xf borderId="27" fillId="5" fontId="1" numFmtId="0" xfId="0" applyAlignment="1" applyBorder="1" applyFont="1">
      <alignment horizontal="center" vertical="center"/>
    </xf>
    <xf borderId="28" fillId="6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30" fillId="7" fontId="1" numFmtId="0" xfId="0" applyAlignment="1" applyBorder="1" applyFont="1">
      <alignment horizontal="center" vertical="center"/>
    </xf>
    <xf borderId="31" fillId="6" fontId="1" numFmtId="0" xfId="0" applyAlignment="1" applyBorder="1" applyFont="1">
      <alignment horizontal="center" vertical="center"/>
    </xf>
    <xf borderId="32" fillId="0" fontId="4" numFmtId="0" xfId="0" applyAlignment="1" applyBorder="1" applyFont="1">
      <alignment vertical="center"/>
    </xf>
    <xf borderId="33" fillId="6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4" fillId="7" fontId="1" numFmtId="0" xfId="0" applyAlignment="1" applyBorder="1" applyFont="1">
      <alignment horizontal="center" vertical="center"/>
    </xf>
    <xf borderId="37" fillId="7" fontId="1" numFmtId="0" xfId="0" applyAlignment="1" applyBorder="1" applyFont="1">
      <alignment horizontal="center" vertical="center"/>
    </xf>
    <xf borderId="38" fillId="6" fontId="1" numFmtId="0" xfId="0" applyAlignment="1" applyBorder="1" applyFont="1">
      <alignment horizontal="center" vertical="center"/>
    </xf>
    <xf borderId="35" fillId="7" fontId="1" numFmtId="0" xfId="0" applyAlignment="1" applyBorder="1" applyFont="1">
      <alignment horizontal="center" vertical="center"/>
    </xf>
    <xf borderId="36" fillId="6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4" numFmtId="0" xfId="0" applyAlignment="1" applyBorder="1" applyFont="1">
      <alignment vertical="center"/>
    </xf>
    <xf borderId="43" fillId="6" fontId="1" numFmtId="0" xfId="0" applyAlignment="1" applyBorder="1" applyFont="1">
      <alignment horizontal="center" vertical="center"/>
    </xf>
    <xf borderId="44" fillId="7" fontId="1" numFmtId="0" xfId="0" applyAlignment="1" applyBorder="1" applyFont="1">
      <alignment horizontal="center" vertical="center"/>
    </xf>
    <xf borderId="45" fillId="7" fontId="1" numFmtId="0" xfId="0" applyAlignment="1" applyBorder="1" applyFont="1">
      <alignment horizontal="center" vertical="center"/>
    </xf>
    <xf borderId="46" fillId="6" fontId="1" numFmtId="0" xfId="0" applyAlignment="1" applyBorder="1" applyFont="1">
      <alignment horizontal="center" vertical="center"/>
    </xf>
    <xf borderId="47" fillId="5" fontId="1" numFmtId="0" xfId="0" applyAlignment="1" applyBorder="1" applyFont="1">
      <alignment horizontal="center" vertical="center"/>
    </xf>
    <xf borderId="48" fillId="8" fontId="1" numFmtId="0" xfId="0" applyAlignment="1" applyBorder="1" applyFont="1">
      <alignment horizontal="center" vertical="center"/>
    </xf>
    <xf borderId="49" fillId="9" fontId="1" numFmtId="0" xfId="0" applyAlignment="1" applyBorder="1" applyFont="1">
      <alignment horizontal="center" vertical="center"/>
    </xf>
    <xf borderId="50" fillId="9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51" fillId="0" fontId="4" numFmtId="0" xfId="0" applyAlignment="1" applyBorder="1" applyFont="1">
      <alignment vertical="center"/>
    </xf>
    <xf borderId="52" fillId="8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vertical="center"/>
    </xf>
    <xf borderId="53" fillId="9" fontId="1" numFmtId="0" xfId="0" applyAlignment="1" applyBorder="1" applyFont="1">
      <alignment horizontal="center" vertical="center"/>
    </xf>
    <xf borderId="56" fillId="9" fontId="1" numFmtId="0" xfId="0" applyAlignment="1" applyBorder="1" applyFont="1">
      <alignment horizontal="center" vertical="center"/>
    </xf>
    <xf borderId="55" fillId="8" fontId="1" numFmtId="0" xfId="0" applyAlignment="1" applyBorder="1" applyFont="1">
      <alignment horizontal="center" vertical="center"/>
    </xf>
    <xf borderId="33" fillId="8" fontId="1" numFmtId="0" xfId="0" applyAlignment="1" applyBorder="1" applyFont="1">
      <alignment horizontal="center" vertical="center"/>
    </xf>
    <xf borderId="57" fillId="8" fontId="1" numFmtId="0" xfId="0" applyAlignment="1" applyBorder="1" applyFont="1">
      <alignment horizontal="center" vertical="center"/>
    </xf>
    <xf borderId="58" fillId="9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center" vertical="center"/>
    </xf>
    <xf borderId="60" fillId="0" fontId="1" numFmtId="0" xfId="0" applyAlignment="1" applyBorder="1" applyFont="1">
      <alignment horizontal="center" vertical="center"/>
    </xf>
    <xf borderId="61" fillId="0" fontId="1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center" vertical="center"/>
    </xf>
    <xf borderId="63" fillId="8" fontId="1" numFmtId="0" xfId="0" applyAlignment="1" applyBorder="1" applyFont="1">
      <alignment horizontal="center" vertical="center"/>
    </xf>
    <xf borderId="64" fillId="8" fontId="1" numFmtId="0" xfId="0" applyAlignment="1" applyBorder="1" applyFont="1">
      <alignment horizontal="center" vertical="center"/>
    </xf>
    <xf borderId="65" fillId="10" fontId="1" numFmtId="0" xfId="0" applyAlignment="1" applyBorder="1" applyFont="1">
      <alignment horizontal="center" vertical="center"/>
    </xf>
    <xf borderId="66" fillId="11" fontId="1" numFmtId="0" xfId="0" applyAlignment="1" applyBorder="1" applyFont="1">
      <alignment horizontal="center" vertical="center"/>
    </xf>
    <xf borderId="67" fillId="11" fontId="1" numFmtId="0" xfId="0" applyAlignment="1" applyBorder="1" applyFont="1">
      <alignment horizontal="center" vertical="center"/>
    </xf>
    <xf borderId="68" fillId="10" fontId="1" numFmtId="0" xfId="0" applyAlignment="1" applyBorder="1" applyFont="1">
      <alignment horizontal="center" vertical="center"/>
    </xf>
    <xf borderId="69" fillId="10" fontId="1" numFmtId="0" xfId="0" applyAlignment="1" applyBorder="1" applyFont="1">
      <alignment horizontal="center" vertical="center"/>
    </xf>
    <xf borderId="70" fillId="0" fontId="1" numFmtId="0" xfId="0" applyAlignment="1" applyBorder="1" applyFont="1">
      <alignment horizontal="center" vertical="center"/>
    </xf>
    <xf borderId="71" fillId="0" fontId="1" numFmtId="0" xfId="0" applyAlignment="1" applyBorder="1" applyFont="1">
      <alignment horizontal="center" vertical="center"/>
    </xf>
    <xf borderId="70" fillId="11" fontId="1" numFmtId="0" xfId="0" applyAlignment="1" applyBorder="1" applyFont="1">
      <alignment horizontal="center" vertical="center"/>
    </xf>
    <xf borderId="72" fillId="11" fontId="1" numFmtId="0" xfId="0" applyAlignment="1" applyBorder="1" applyFont="1">
      <alignment horizontal="center" vertical="center"/>
    </xf>
    <xf borderId="38" fillId="10" fontId="1" numFmtId="0" xfId="0" applyAlignment="1" applyBorder="1" applyFont="1">
      <alignment horizontal="center" vertical="center"/>
    </xf>
    <xf borderId="52" fillId="10" fontId="1" numFmtId="0" xfId="0" applyAlignment="1" applyBorder="1" applyFont="1">
      <alignment horizontal="center" vertical="center"/>
    </xf>
    <xf borderId="73" fillId="10" fontId="1" numFmtId="0" xfId="0" applyAlignment="1" applyBorder="1" applyFont="1">
      <alignment horizontal="center" vertical="center"/>
    </xf>
    <xf borderId="57" fillId="10" fontId="1" numFmtId="0" xfId="0" applyAlignment="1" applyBorder="1" applyFont="1">
      <alignment horizontal="center" vertical="center"/>
    </xf>
    <xf borderId="74" fillId="11" fontId="1" numFmtId="0" xfId="0" applyAlignment="1" applyBorder="1" applyFont="1">
      <alignment horizontal="center" vertical="center"/>
    </xf>
    <xf borderId="75" fillId="11" fontId="1" numFmtId="0" xfId="0" applyAlignment="1" applyBorder="1" applyFont="1">
      <alignment horizontal="center" vertical="center"/>
    </xf>
    <xf borderId="41" fillId="10" fontId="1" numFmtId="0" xfId="0" applyAlignment="1" applyBorder="1" applyFont="1">
      <alignment horizontal="center" vertical="center"/>
    </xf>
    <xf borderId="76" fillId="0" fontId="4" numFmtId="0" xfId="0" applyAlignment="1" applyBorder="1" applyFont="1">
      <alignment vertical="center"/>
    </xf>
    <xf borderId="64" fillId="10" fontId="1" numFmtId="0" xfId="0" applyAlignment="1" applyBorder="1" applyFont="1">
      <alignment horizontal="center" vertical="center"/>
    </xf>
    <xf borderId="77" fillId="0" fontId="1" numFmtId="0" xfId="0" applyAlignment="1" applyBorder="1" applyFont="1">
      <alignment horizontal="center" vertical="center"/>
    </xf>
    <xf borderId="78" fillId="0" fontId="1" numFmtId="0" xfId="0" applyAlignment="1" applyBorder="1" applyFont="1">
      <alignment horizontal="center" vertical="center"/>
    </xf>
    <xf borderId="79" fillId="0" fontId="1" numFmtId="0" xfId="0" applyAlignment="1" applyBorder="1" applyFont="1">
      <alignment horizontal="center" vertical="center"/>
    </xf>
    <xf borderId="80" fillId="4" fontId="1" numFmtId="0" xfId="0" applyAlignment="1" applyBorder="1" applyFont="1">
      <alignment horizontal="center" vertical="center"/>
    </xf>
    <xf borderId="81" fillId="0" fontId="4" numFmtId="0" xfId="0" applyAlignment="1" applyBorder="1" applyFont="1">
      <alignment vertical="center"/>
    </xf>
    <xf borderId="82" fillId="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5" width="17.29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7"/>
      <c r="V1" s="7"/>
    </row>
    <row r="2">
      <c r="A2" s="8"/>
      <c r="B2" s="9" t="s">
        <v>6</v>
      </c>
      <c r="C2" s="9" t="s">
        <v>7</v>
      </c>
      <c r="D2" s="10" t="s">
        <v>8</v>
      </c>
      <c r="E2" s="11" t="s">
        <v>7</v>
      </c>
      <c r="F2" s="12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7"/>
      <c r="V2" s="7"/>
    </row>
    <row r="3">
      <c r="A3" s="8"/>
      <c r="B3" s="13" t="s">
        <v>9</v>
      </c>
      <c r="C3" s="14" t="s">
        <v>10</v>
      </c>
      <c r="D3" s="15" t="s">
        <v>11</v>
      </c>
      <c r="E3" s="14" t="s">
        <v>12</v>
      </c>
      <c r="F3" s="1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  <c r="V3" s="7"/>
    </row>
    <row r="4">
      <c r="A4" s="16"/>
      <c r="B4" s="17" t="s">
        <v>13</v>
      </c>
      <c r="C4" s="18" t="s">
        <v>14</v>
      </c>
      <c r="D4" s="19" t="s">
        <v>15</v>
      </c>
      <c r="E4" s="18" t="s">
        <v>16</v>
      </c>
      <c r="F4" s="2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</row>
    <row r="5">
      <c r="A5" s="21" t="s">
        <v>17</v>
      </c>
      <c r="B5" s="22" t="s">
        <v>18</v>
      </c>
      <c r="C5" s="23">
        <v>2.0</v>
      </c>
      <c r="D5" s="23">
        <v>1.0</v>
      </c>
      <c r="E5" s="24"/>
      <c r="F5" s="25">
        <f>SUM(C5:E5)+'3월'!J5</f>
        <v>16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7"/>
      <c r="V5" s="7"/>
    </row>
    <row r="6">
      <c r="A6" s="26"/>
      <c r="B6" s="22" t="s">
        <v>19</v>
      </c>
      <c r="C6" s="27">
        <v>1.0</v>
      </c>
      <c r="D6" s="27">
        <v>3.0</v>
      </c>
      <c r="E6" s="27">
        <v>1.0</v>
      </c>
      <c r="F6" s="28">
        <f>SUM(C6:E6)+'3월'!J6</f>
        <v>20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</row>
    <row r="7">
      <c r="A7" s="26"/>
      <c r="B7" s="22" t="s">
        <v>20</v>
      </c>
      <c r="C7" s="24"/>
      <c r="D7" s="24"/>
      <c r="E7" s="24"/>
      <c r="F7" s="25">
        <f>SUM(C7:E7)+'3월'!J7</f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  <c r="U7" s="7"/>
      <c r="V7" s="7"/>
    </row>
    <row r="8">
      <c r="A8" s="26"/>
      <c r="B8" s="22" t="s">
        <v>21</v>
      </c>
      <c r="C8" s="29"/>
      <c r="D8" s="29"/>
      <c r="E8" s="29"/>
      <c r="F8" s="28">
        <f>SUM(C8:E8)+'3월'!J8</f>
        <v>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7"/>
      <c r="V8" s="7"/>
    </row>
    <row r="9">
      <c r="A9" s="26"/>
      <c r="B9" s="22" t="s">
        <v>22</v>
      </c>
      <c r="C9" s="24"/>
      <c r="D9" s="24"/>
      <c r="E9" s="24"/>
      <c r="F9" s="25">
        <f>SUM(C9:E9)+'3월'!J9</f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  <c r="U9" s="7"/>
      <c r="V9" s="7"/>
    </row>
    <row r="10">
      <c r="A10" s="26"/>
      <c r="B10" s="22" t="s">
        <v>23</v>
      </c>
      <c r="C10" s="30"/>
      <c r="D10" s="30"/>
      <c r="E10" s="30"/>
      <c r="F10" s="28">
        <f>SUM(C10:E10)+'3월'!J10</f>
        <v>15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  <c r="U10" s="7"/>
      <c r="V10" s="7"/>
    </row>
    <row r="11">
      <c r="A11" s="31"/>
      <c r="B11" s="32" t="s">
        <v>24</v>
      </c>
      <c r="C11" s="33"/>
      <c r="D11" s="33"/>
      <c r="E11" s="33"/>
      <c r="F11" s="25">
        <f>SUM(C11:E11)+'3월'!J11</f>
        <v>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7"/>
      <c r="V11" s="7"/>
    </row>
    <row r="12">
      <c r="A12" s="34" t="s">
        <v>25</v>
      </c>
      <c r="B12" s="35" t="s">
        <v>26</v>
      </c>
      <c r="C12" s="36"/>
      <c r="D12" s="37"/>
      <c r="E12" s="37"/>
      <c r="F12" s="38">
        <f>SUM(C12:E12)+'3월'!J12</f>
        <v>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  <c r="U12" s="7"/>
      <c r="V12" s="7"/>
    </row>
    <row r="13">
      <c r="A13" s="12"/>
      <c r="B13" s="35" t="s">
        <v>27</v>
      </c>
      <c r="C13" s="39"/>
      <c r="D13" s="27">
        <v>1.0</v>
      </c>
      <c r="E13" s="29"/>
      <c r="F13" s="28">
        <f>SUM(C13:E13)+'3월'!J13</f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/>
      <c r="U13" s="7"/>
      <c r="V13" s="7"/>
    </row>
    <row r="14">
      <c r="A14" s="12"/>
      <c r="B14" s="35" t="s">
        <v>28</v>
      </c>
      <c r="C14" s="36"/>
      <c r="D14" s="40">
        <v>1.0</v>
      </c>
      <c r="E14" s="37"/>
      <c r="F14" s="38">
        <f>SUM(C14:E14)+'3월'!J14</f>
        <v>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  <c r="U14" s="7"/>
      <c r="V14" s="7"/>
    </row>
    <row r="15">
      <c r="A15" s="12"/>
      <c r="B15" s="35" t="s">
        <v>16</v>
      </c>
      <c r="C15" s="41">
        <v>2.0</v>
      </c>
      <c r="D15" s="29"/>
      <c r="E15" s="27">
        <v>2.0</v>
      </c>
      <c r="F15" s="28">
        <f>SUM(C15:E15)+'3월'!J15</f>
        <v>12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7"/>
      <c r="U15" s="7"/>
      <c r="V15" s="7"/>
    </row>
    <row r="16">
      <c r="A16" s="12"/>
      <c r="B16" s="35" t="s">
        <v>29</v>
      </c>
      <c r="C16" s="36"/>
      <c r="D16" s="37"/>
      <c r="E16" s="37"/>
      <c r="F16" s="38">
        <f>SUM(C16:E16)+'3월'!J16</f>
        <v>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7"/>
      <c r="V16" s="7"/>
    </row>
    <row r="17">
      <c r="A17" s="12"/>
      <c r="B17" s="35" t="s">
        <v>30</v>
      </c>
      <c r="C17" s="39"/>
      <c r="D17" s="29"/>
      <c r="E17" s="29"/>
      <c r="F17" s="28">
        <f>SUM(C17:E17)+'3월'!J17</f>
        <v>6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7"/>
      <c r="U17" s="7"/>
      <c r="V17" s="7"/>
    </row>
    <row r="18">
      <c r="A18" s="12"/>
      <c r="B18" s="35" t="s">
        <v>31</v>
      </c>
      <c r="C18" s="36"/>
      <c r="D18" s="37"/>
      <c r="E18" s="37"/>
      <c r="F18" s="38">
        <f>SUM(C18:E18)+'3월'!J18</f>
        <v>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  <c r="U18" s="7"/>
      <c r="V18" s="7"/>
    </row>
    <row r="19">
      <c r="A19" s="12"/>
      <c r="B19" s="35" t="s">
        <v>32</v>
      </c>
      <c r="C19" s="39"/>
      <c r="D19" s="29"/>
      <c r="E19" s="29"/>
      <c r="F19" s="28">
        <f>SUM(C19:E19)+'3월'!J19</f>
        <v>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7"/>
      <c r="U19" s="7"/>
      <c r="V19" s="7"/>
    </row>
    <row r="20">
      <c r="A20" s="12"/>
      <c r="B20" s="35" t="s">
        <v>33</v>
      </c>
      <c r="C20" s="36"/>
      <c r="D20" s="37"/>
      <c r="E20" s="37"/>
      <c r="F20" s="38">
        <f>SUM(C20:E20)+'3월'!J20</f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7"/>
      <c r="U20" s="7"/>
      <c r="V20" s="7"/>
    </row>
    <row r="21">
      <c r="A21" s="12"/>
      <c r="B21" s="35" t="s">
        <v>34</v>
      </c>
      <c r="C21" s="39"/>
      <c r="D21" s="29"/>
      <c r="E21" s="29"/>
      <c r="F21" s="28">
        <f>SUM(C21:E21)+'3월'!J21</f>
        <v>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7"/>
      <c r="U21" s="7"/>
      <c r="V21" s="7"/>
    </row>
    <row r="22">
      <c r="A22" s="12"/>
      <c r="B22" s="35" t="s">
        <v>35</v>
      </c>
      <c r="C22" s="36"/>
      <c r="D22" s="37"/>
      <c r="E22" s="40">
        <v>1.0</v>
      </c>
      <c r="F22" s="38">
        <f>SUM(C22:E22)+'3월'!J22</f>
        <v>4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7"/>
      <c r="V22" s="7"/>
    </row>
    <row r="23">
      <c r="A23" s="12"/>
      <c r="B23" s="35" t="s">
        <v>36</v>
      </c>
      <c r="C23" s="39"/>
      <c r="D23" s="29"/>
      <c r="E23" s="29"/>
      <c r="F23" s="28">
        <f>SUM(C23:E23)+'3월'!J23</f>
        <v>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7"/>
      <c r="V23" s="7"/>
    </row>
    <row r="24">
      <c r="A24" s="12"/>
      <c r="B24" s="35" t="s">
        <v>37</v>
      </c>
      <c r="C24" s="36"/>
      <c r="D24" s="37"/>
      <c r="E24" s="37"/>
      <c r="F24" s="38">
        <f>SUM(C24:E24)+'3월'!J24</f>
        <v>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7"/>
      <c r="V24" s="7"/>
    </row>
    <row r="25">
      <c r="A25" s="12"/>
      <c r="B25" s="35" t="s">
        <v>38</v>
      </c>
      <c r="C25" s="39"/>
      <c r="D25" s="29"/>
      <c r="E25" s="29"/>
      <c r="F25" s="28">
        <f>SUM(C25:E25)+'3월'!J25</f>
        <v>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7"/>
      <c r="V25" s="7"/>
    </row>
    <row r="26">
      <c r="A26" s="12"/>
      <c r="B26" s="35" t="s">
        <v>39</v>
      </c>
      <c r="C26" s="36"/>
      <c r="D26" s="37"/>
      <c r="E26" s="37"/>
      <c r="F26" s="38">
        <f>SUM(C26:E26)+'3월'!J26</f>
        <v>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7"/>
      <c r="V26" s="7"/>
    </row>
    <row r="27">
      <c r="A27" s="12"/>
      <c r="B27" s="35" t="s">
        <v>40</v>
      </c>
      <c r="C27" s="39"/>
      <c r="D27" s="29"/>
      <c r="E27" s="29"/>
      <c r="F27" s="28">
        <f>SUM(C27:E27)+'3월'!J27</f>
        <v>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7"/>
      <c r="V27" s="7"/>
    </row>
    <row r="28">
      <c r="A28" s="12"/>
      <c r="B28" s="35" t="s">
        <v>41</v>
      </c>
      <c r="C28" s="36"/>
      <c r="D28" s="40">
        <v>3.0</v>
      </c>
      <c r="E28" s="37"/>
      <c r="F28" s="38">
        <f>SUM(C28:E28)+'3월'!J28</f>
        <v>14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7"/>
      <c r="V28" s="7"/>
    </row>
    <row r="29">
      <c r="A29" s="12"/>
      <c r="B29" s="42" t="s">
        <v>42</v>
      </c>
      <c r="C29" s="43"/>
      <c r="D29" s="44"/>
      <c r="E29" s="44"/>
      <c r="F29" s="28">
        <f>SUM(C29:E29)+'3월'!J29</f>
        <v>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7"/>
      <c r="V29" s="7"/>
    </row>
    <row r="30">
      <c r="A30" s="12"/>
      <c r="B30" s="45" t="s">
        <v>43</v>
      </c>
      <c r="C30" s="46"/>
      <c r="D30" s="46"/>
      <c r="E30" s="46"/>
      <c r="F30" s="47">
        <f>SUM(C30:E30)+'3월'!J30</f>
        <v>8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7"/>
      <c r="V30" s="7"/>
    </row>
    <row r="31">
      <c r="A31" s="12"/>
      <c r="B31" s="45" t="s">
        <v>44</v>
      </c>
      <c r="C31" s="48"/>
      <c r="D31" s="48"/>
      <c r="E31" s="48"/>
      <c r="F31" s="28">
        <f>SUM(C31:E31)+'3월'!J31</f>
        <v>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7"/>
      <c r="V31" s="7"/>
    </row>
    <row r="32">
      <c r="A32" s="12"/>
      <c r="B32" s="45" t="s">
        <v>45</v>
      </c>
      <c r="C32" s="46"/>
      <c r="D32" s="46"/>
      <c r="E32" s="46"/>
      <c r="F32" s="47">
        <f>SUM(C32:E32)+'3월'!J32</f>
        <v>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7"/>
      <c r="V32" s="7"/>
    </row>
    <row r="33">
      <c r="A33" s="12"/>
      <c r="B33" s="49" t="s">
        <v>46</v>
      </c>
      <c r="C33" s="50">
        <v>1.0</v>
      </c>
      <c r="D33" s="48"/>
      <c r="E33" s="48"/>
      <c r="F33" s="28">
        <f>SUM(C33:E33)+'3월'!J33</f>
        <v>12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7"/>
      <c r="V33" s="7"/>
    </row>
    <row r="34">
      <c r="A34" s="12"/>
      <c r="B34" s="51" t="s">
        <v>47</v>
      </c>
      <c r="C34" s="46"/>
      <c r="D34" s="46"/>
      <c r="E34" s="46"/>
      <c r="F34" s="47">
        <f>SUM(C34:E34)+'3월'!J34</f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7"/>
      <c r="V34" s="7"/>
    </row>
    <row r="35">
      <c r="A35" s="12"/>
      <c r="B35" s="51" t="s">
        <v>48</v>
      </c>
      <c r="C35" s="48"/>
      <c r="D35" s="48"/>
      <c r="E35" s="48"/>
      <c r="F35" s="28">
        <f>SUM(C35:E35)+'3월'!J35</f>
        <v>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7"/>
      <c r="V35" s="7"/>
    </row>
    <row r="36">
      <c r="A36" s="12"/>
      <c r="B36" s="51" t="s">
        <v>49</v>
      </c>
      <c r="C36" s="46"/>
      <c r="D36" s="46"/>
      <c r="E36" s="46"/>
      <c r="F36" s="47">
        <f>SUM(C36:E36)+'3월'!J36</f>
        <v>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7"/>
      <c r="V36" s="7"/>
    </row>
    <row r="37">
      <c r="A37" s="12"/>
      <c r="B37" s="51" t="s">
        <v>50</v>
      </c>
      <c r="C37" s="48"/>
      <c r="D37" s="48"/>
      <c r="E37" s="48"/>
      <c r="F37" s="28">
        <f>SUM(C37:E37)+'3월'!J37</f>
        <v>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7"/>
      <c r="V37" s="7"/>
    </row>
    <row r="38">
      <c r="A38" s="12"/>
      <c r="B38" s="51" t="s">
        <v>51</v>
      </c>
      <c r="C38" s="46"/>
      <c r="D38" s="46"/>
      <c r="E38" s="52">
        <v>1.0</v>
      </c>
      <c r="F38" s="47">
        <f>SUM(C38:E38)+'3월'!J38</f>
        <v>15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7"/>
      <c r="V38" s="7"/>
    </row>
    <row r="39">
      <c r="A39" s="12"/>
      <c r="B39" s="51" t="s">
        <v>52</v>
      </c>
      <c r="C39" s="48"/>
      <c r="D39" s="48"/>
      <c r="E39" s="48"/>
      <c r="F39" s="28">
        <f>SUM(C39:E39)+'3월'!J39</f>
        <v>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7"/>
      <c r="V39" s="7"/>
    </row>
    <row r="40">
      <c r="A40" s="12"/>
      <c r="B40" s="51" t="s">
        <v>53</v>
      </c>
      <c r="C40" s="46"/>
      <c r="D40" s="46"/>
      <c r="E40" s="46"/>
      <c r="F40" s="47">
        <f>SUM(C40:E40)+'3월'!J40</f>
        <v>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7"/>
      <c r="V40" s="7"/>
    </row>
    <row r="41">
      <c r="A41" s="12"/>
      <c r="B41" s="51" t="s">
        <v>54</v>
      </c>
      <c r="C41" s="48"/>
      <c r="D41" s="48"/>
      <c r="E41" s="48"/>
      <c r="F41" s="28">
        <f>SUM(C41:E41)+'3월'!J41</f>
        <v>11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7"/>
      <c r="V41" s="7"/>
    </row>
    <row r="42">
      <c r="A42" s="12"/>
      <c r="B42" s="51" t="s">
        <v>55</v>
      </c>
      <c r="C42" s="46"/>
      <c r="D42" s="46"/>
      <c r="E42" s="46"/>
      <c r="F42" s="47">
        <f>SUM(C42:E42)+'3월'!J42</f>
        <v>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7"/>
      <c r="V42" s="7"/>
    </row>
    <row r="43">
      <c r="A43" s="20"/>
      <c r="B43" s="53" t="s">
        <v>56</v>
      </c>
      <c r="C43" s="54"/>
      <c r="D43" s="54"/>
      <c r="E43" s="54"/>
      <c r="F43" s="28">
        <f>SUM(C43:E43)+'3월'!J43</f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7"/>
      <c r="V43" s="7"/>
    </row>
    <row r="44">
      <c r="A44" s="55" t="s">
        <v>57</v>
      </c>
      <c r="B44" s="56"/>
      <c r="C44" s="57">
        <f t="shared" ref="C44:E44" si="1">COUNT(C5:C43)</f>
        <v>4</v>
      </c>
      <c r="D44" s="57">
        <f t="shared" si="1"/>
        <v>5</v>
      </c>
      <c r="E44" s="57">
        <f t="shared" si="1"/>
        <v>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7"/>
      <c r="V44" s="7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7"/>
      <c r="V45" s="7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7"/>
      <c r="V46" s="7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7"/>
      <c r="V47" s="7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7"/>
      <c r="V48" s="7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7"/>
      <c r="V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7"/>
      <c r="V50" s="7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7"/>
      <c r="V51" s="7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7"/>
      <c r="V52" s="7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7"/>
      <c r="V53" s="7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7"/>
      <c r="V54" s="7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7"/>
      <c r="V55" s="7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7"/>
      <c r="V56" s="7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7"/>
      <c r="V57" s="7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  <c r="U58" s="7"/>
      <c r="V58" s="7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  <c r="U59" s="7"/>
      <c r="V59" s="7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  <c r="U60" s="7"/>
      <c r="V60" s="7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  <c r="U61" s="7"/>
      <c r="V61" s="7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  <c r="U62" s="7"/>
      <c r="V62" s="7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  <c r="U63" s="7"/>
      <c r="V63" s="7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  <c r="U64" s="7"/>
      <c r="V64" s="7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  <c r="U65" s="7"/>
      <c r="V65" s="7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  <c r="U66" s="7"/>
      <c r="V66" s="7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  <c r="U67" s="7"/>
      <c r="V67" s="7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  <c r="U68" s="7"/>
      <c r="V68" s="7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7"/>
      <c r="V69" s="7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7"/>
      <c r="V70" s="7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  <c r="U71" s="7"/>
      <c r="V71" s="7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  <c r="U72" s="7"/>
      <c r="V72" s="7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  <c r="U73" s="7"/>
      <c r="V73" s="7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  <c r="U74" s="7"/>
      <c r="V74" s="7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  <c r="U75" s="7"/>
      <c r="V75" s="7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  <c r="U76" s="7"/>
      <c r="V76" s="7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  <c r="U77" s="7"/>
      <c r="V77" s="7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  <c r="U78" s="7"/>
      <c r="V78" s="7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  <c r="U79" s="7"/>
      <c r="V79" s="7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  <c r="U80" s="7"/>
      <c r="V80" s="7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  <c r="U81" s="7"/>
      <c r="V81" s="7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7"/>
      <c r="U82" s="7"/>
      <c r="V82" s="7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7"/>
      <c r="U83" s="7"/>
      <c r="V83" s="7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7"/>
      <c r="U84" s="7"/>
      <c r="V84" s="7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7"/>
      <c r="U85" s="7"/>
      <c r="V85" s="7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7"/>
      <c r="U86" s="7"/>
      <c r="V86" s="7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7"/>
      <c r="U87" s="7"/>
      <c r="V87" s="7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7"/>
      <c r="U88" s="7"/>
      <c r="V88" s="7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7"/>
      <c r="U89" s="7"/>
      <c r="V89" s="7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7"/>
      <c r="U90" s="7"/>
      <c r="V90" s="7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7"/>
      <c r="V91" s="7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7"/>
      <c r="V92" s="7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7"/>
      <c r="V93" s="7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7"/>
      <c r="V94" s="7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7"/>
      <c r="U95" s="7"/>
      <c r="V95" s="7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7"/>
      <c r="U96" s="7"/>
      <c r="V96" s="7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7"/>
      <c r="U97" s="7"/>
      <c r="V97" s="7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7"/>
      <c r="U98" s="7"/>
      <c r="V98" s="7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7"/>
      <c r="U99" s="7"/>
      <c r="V99" s="7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7"/>
      <c r="V100" s="7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7"/>
      <c r="V101" s="7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7"/>
      <c r="V102" s="7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7"/>
      <c r="V103" s="7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7"/>
      <c r="V104" s="7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7"/>
      <c r="V105" s="7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7"/>
      <c r="V106" s="7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7"/>
      <c r="V107" s="7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7"/>
      <c r="V108" s="7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7"/>
      <c r="V109" s="7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7"/>
      <c r="V110" s="7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7"/>
      <c r="V111" s="7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7"/>
      <c r="V112" s="7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7"/>
      <c r="V113" s="7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7"/>
      <c r="V114" s="7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7"/>
      <c r="V115" s="7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7"/>
      <c r="V116" s="7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7"/>
      <c r="V117" s="7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7"/>
      <c r="V118" s="7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7"/>
      <c r="V119" s="7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7"/>
      <c r="V120" s="7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7"/>
      <c r="V121" s="7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7"/>
      <c r="V122" s="7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7"/>
      <c r="V123" s="7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7"/>
      <c r="V124" s="7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7"/>
      <c r="V125" s="7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7"/>
      <c r="V126" s="7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7"/>
      <c r="V127" s="7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7"/>
      <c r="V128" s="7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7"/>
      <c r="V129" s="7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7"/>
      <c r="V130" s="7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7"/>
      <c r="V131" s="7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7"/>
      <c r="V132" s="7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7"/>
      <c r="V133" s="7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7"/>
      <c r="V134" s="7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7"/>
      <c r="V135" s="7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7"/>
      <c r="V136" s="7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7"/>
      <c r="V137" s="7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7"/>
      <c r="V138" s="7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7"/>
      <c r="V139" s="7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7"/>
      <c r="V140" s="7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7"/>
      <c r="V141" s="7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7"/>
      <c r="V142" s="7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7"/>
      <c r="V143" s="7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7"/>
      <c r="V144" s="7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7"/>
      <c r="V145" s="7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7"/>
      <c r="V146" s="7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7"/>
      <c r="V147" s="7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7"/>
      <c r="V148" s="7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7"/>
      <c r="V149" s="7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7"/>
      <c r="V150" s="7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7"/>
      <c r="V151" s="7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7"/>
      <c r="V152" s="7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7"/>
      <c r="V153" s="7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7"/>
      <c r="V154" s="7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7"/>
      <c r="V155" s="7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7"/>
      <c r="V156" s="7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7"/>
      <c r="V157" s="7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7"/>
      <c r="V158" s="7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7"/>
      <c r="V159" s="7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7"/>
      <c r="V160" s="7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7"/>
      <c r="V161" s="7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7"/>
      <c r="V162" s="7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7"/>
      <c r="V163" s="7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7"/>
      <c r="V164" s="7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7"/>
      <c r="V165" s="7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7"/>
      <c r="V166" s="7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7"/>
      <c r="V167" s="7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7"/>
      <c r="V168" s="7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7"/>
      <c r="V169" s="7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7"/>
      <c r="V170" s="7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7"/>
      <c r="V171" s="7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7"/>
      <c r="V172" s="7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7"/>
      <c r="V173" s="7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7"/>
      <c r="V174" s="7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7"/>
      <c r="V175" s="7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7"/>
      <c r="V176" s="7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7"/>
      <c r="V177" s="7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7"/>
      <c r="V178" s="7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7"/>
      <c r="V179" s="7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7"/>
      <c r="V180" s="7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7"/>
      <c r="V181" s="7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7"/>
      <c r="V182" s="7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7"/>
      <c r="V183" s="7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7"/>
      <c r="V184" s="7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7"/>
      <c r="V185" s="7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7"/>
      <c r="V186" s="7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7"/>
      <c r="V187" s="7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7"/>
      <c r="V188" s="7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7"/>
      <c r="V189" s="7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7"/>
      <c r="V190" s="7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7"/>
      <c r="V191" s="7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7"/>
      <c r="V192" s="7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7"/>
      <c r="V193" s="7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7"/>
      <c r="V194" s="7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7"/>
      <c r="V195" s="7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7"/>
      <c r="V196" s="7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7"/>
      <c r="V197" s="7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7"/>
      <c r="V198" s="7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7"/>
      <c r="V199" s="7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7"/>
      <c r="V200" s="7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7"/>
      <c r="V201" s="7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7"/>
      <c r="V202" s="7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7"/>
      <c r="V203" s="7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7"/>
      <c r="V204" s="7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7"/>
      <c r="V205" s="7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7"/>
      <c r="V206" s="7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7"/>
      <c r="V207" s="7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7"/>
      <c r="V208" s="7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7"/>
      <c r="V209" s="7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7"/>
      <c r="V210" s="7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7"/>
      <c r="V211" s="7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7"/>
      <c r="V212" s="7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7"/>
      <c r="V213" s="7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7"/>
      <c r="V214" s="7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7"/>
      <c r="V215" s="7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7"/>
      <c r="V216" s="7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7"/>
      <c r="V217" s="7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7"/>
      <c r="V218" s="7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7"/>
      <c r="V219" s="7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7"/>
      <c r="V220" s="7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7"/>
      <c r="U221" s="7"/>
      <c r="V221" s="7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7"/>
      <c r="U222" s="7"/>
      <c r="V222" s="7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7"/>
      <c r="U223" s="7"/>
      <c r="V223" s="7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7"/>
      <c r="U224" s="7"/>
      <c r="V224" s="7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7"/>
      <c r="U225" s="7"/>
      <c r="V225" s="7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7"/>
      <c r="U226" s="7"/>
      <c r="V226" s="7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7"/>
      <c r="U227" s="7"/>
      <c r="V227" s="7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7"/>
      <c r="U228" s="7"/>
      <c r="V228" s="7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7"/>
      <c r="U229" s="7"/>
      <c r="V229" s="7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7"/>
      <c r="U230" s="7"/>
      <c r="V230" s="7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7"/>
      <c r="U231" s="7"/>
      <c r="V231" s="7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7"/>
      <c r="U232" s="7"/>
      <c r="V232" s="7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7"/>
      <c r="U233" s="7"/>
      <c r="V233" s="7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7"/>
      <c r="U234" s="7"/>
      <c r="V234" s="7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7"/>
      <c r="U235" s="7"/>
      <c r="V235" s="7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7"/>
      <c r="U236" s="7"/>
      <c r="V236" s="7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7"/>
      <c r="U237" s="7"/>
      <c r="V237" s="7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7"/>
      <c r="U238" s="7"/>
      <c r="V238" s="7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7"/>
      <c r="U239" s="7"/>
      <c r="V239" s="7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7"/>
      <c r="U240" s="7"/>
      <c r="V240" s="7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7"/>
      <c r="U241" s="7"/>
      <c r="V241" s="7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7"/>
      <c r="U242" s="7"/>
      <c r="V242" s="7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7"/>
      <c r="U243" s="7"/>
      <c r="V243" s="7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7"/>
      <c r="U244" s="7"/>
      <c r="V244" s="7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7"/>
      <c r="U245" s="7"/>
      <c r="V245" s="7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7"/>
      <c r="U246" s="7"/>
      <c r="V246" s="7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7"/>
      <c r="U247" s="7"/>
      <c r="V247" s="7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7"/>
      <c r="U248" s="7"/>
      <c r="V248" s="7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7"/>
      <c r="U249" s="7"/>
      <c r="V249" s="7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7"/>
      <c r="U250" s="7"/>
      <c r="V250" s="7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7"/>
      <c r="U251" s="7"/>
      <c r="V251" s="7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7"/>
      <c r="U252" s="7"/>
      <c r="V252" s="7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7"/>
      <c r="U253" s="7"/>
      <c r="V253" s="7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7"/>
      <c r="U254" s="7"/>
      <c r="V254" s="7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7"/>
      <c r="U255" s="7"/>
      <c r="V255" s="7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7"/>
      <c r="U256" s="7"/>
      <c r="V256" s="7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7"/>
      <c r="U257" s="7"/>
      <c r="V257" s="7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7"/>
      <c r="U258" s="7"/>
      <c r="V258" s="7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7"/>
      <c r="U259" s="7"/>
      <c r="V259" s="7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7"/>
      <c r="U260" s="7"/>
      <c r="V260" s="7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7"/>
      <c r="U261" s="7"/>
      <c r="V261" s="7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7"/>
      <c r="U262" s="7"/>
      <c r="V262" s="7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7"/>
      <c r="U263" s="7"/>
      <c r="V263" s="7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7"/>
      <c r="U264" s="7"/>
      <c r="V264" s="7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7"/>
      <c r="U265" s="7"/>
      <c r="V265" s="7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7"/>
      <c r="U266" s="7"/>
      <c r="V266" s="7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7"/>
      <c r="U267" s="7"/>
      <c r="V267" s="7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7"/>
      <c r="U268" s="7"/>
      <c r="V268" s="7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7"/>
      <c r="U269" s="7"/>
      <c r="V269" s="7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7"/>
      <c r="U270" s="7"/>
      <c r="V270" s="7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7"/>
      <c r="U271" s="7"/>
      <c r="V271" s="7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7"/>
      <c r="V272" s="7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7"/>
      <c r="U273" s="7"/>
      <c r="V273" s="7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7"/>
      <c r="U274" s="7"/>
      <c r="V274" s="7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7"/>
      <c r="U275" s="7"/>
      <c r="V275" s="7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7"/>
      <c r="U276" s="7"/>
      <c r="V276" s="7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7"/>
      <c r="U277" s="7"/>
      <c r="V277" s="7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7"/>
      <c r="U278" s="7"/>
      <c r="V278" s="7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7"/>
      <c r="U279" s="7"/>
      <c r="V279" s="7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7"/>
      <c r="U280" s="7"/>
      <c r="V280" s="7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7"/>
      <c r="U281" s="7"/>
      <c r="V281" s="7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7"/>
      <c r="U282" s="7"/>
      <c r="V282" s="7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7"/>
      <c r="U283" s="7"/>
      <c r="V283" s="7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7"/>
      <c r="U284" s="7"/>
      <c r="V284" s="7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7"/>
      <c r="U285" s="7"/>
      <c r="V285" s="7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7"/>
      <c r="U286" s="7"/>
      <c r="V286" s="7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7"/>
      <c r="U287" s="7"/>
      <c r="V287" s="7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7"/>
      <c r="U288" s="7"/>
      <c r="V288" s="7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7"/>
      <c r="U289" s="7"/>
      <c r="V289" s="7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7"/>
      <c r="U290" s="7"/>
      <c r="V290" s="7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7"/>
      <c r="U291" s="7"/>
      <c r="V291" s="7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7"/>
      <c r="U292" s="7"/>
      <c r="V292" s="7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7"/>
      <c r="U293" s="7"/>
      <c r="V293" s="7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7"/>
      <c r="U294" s="7"/>
      <c r="V294" s="7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7"/>
      <c r="U295" s="7"/>
      <c r="V295" s="7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7"/>
      <c r="U296" s="7"/>
      <c r="V296" s="7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7"/>
      <c r="U297" s="7"/>
      <c r="V297" s="7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7"/>
      <c r="U298" s="7"/>
      <c r="V298" s="7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7"/>
      <c r="U299" s="7"/>
      <c r="V299" s="7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7"/>
      <c r="U300" s="7"/>
      <c r="V300" s="7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7"/>
      <c r="U301" s="7"/>
      <c r="V301" s="7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7"/>
      <c r="U302" s="7"/>
      <c r="V302" s="7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7"/>
      <c r="U303" s="7"/>
      <c r="V303" s="7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7"/>
      <c r="U304" s="7"/>
      <c r="V304" s="7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7"/>
      <c r="U305" s="7"/>
      <c r="V305" s="7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7"/>
      <c r="U306" s="7"/>
      <c r="V306" s="7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7"/>
      <c r="U307" s="7"/>
      <c r="V307" s="7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7"/>
      <c r="U308" s="7"/>
      <c r="V308" s="7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7"/>
      <c r="U309" s="7"/>
      <c r="V309" s="7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7"/>
      <c r="U310" s="7"/>
      <c r="V310" s="7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7"/>
      <c r="U311" s="7"/>
      <c r="V311" s="7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7"/>
      <c r="U312" s="7"/>
      <c r="V312" s="7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7"/>
      <c r="U313" s="7"/>
      <c r="V313" s="7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7"/>
      <c r="U314" s="7"/>
      <c r="V314" s="7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7"/>
      <c r="U315" s="7"/>
      <c r="V315" s="7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7"/>
      <c r="U316" s="7"/>
      <c r="V316" s="7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7"/>
      <c r="U317" s="7"/>
      <c r="V317" s="7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7"/>
      <c r="U318" s="7"/>
      <c r="V318" s="7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7"/>
      <c r="U319" s="7"/>
      <c r="V319" s="7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7"/>
      <c r="U320" s="7"/>
      <c r="V320" s="7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7"/>
      <c r="U321" s="7"/>
      <c r="V321" s="7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7"/>
      <c r="U322" s="7"/>
      <c r="V322" s="7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7"/>
      <c r="U323" s="7"/>
      <c r="V323" s="7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7"/>
      <c r="U324" s="7"/>
      <c r="V324" s="7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7"/>
      <c r="U325" s="7"/>
      <c r="V325" s="7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7"/>
      <c r="U326" s="7"/>
      <c r="V326" s="7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7"/>
      <c r="U327" s="7"/>
      <c r="V327" s="7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7"/>
      <c r="U328" s="7"/>
      <c r="V328" s="7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7"/>
      <c r="U329" s="7"/>
      <c r="V329" s="7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7"/>
      <c r="U330" s="7"/>
      <c r="V330" s="7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7"/>
      <c r="U331" s="7"/>
      <c r="V331" s="7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7"/>
      <c r="U332" s="7"/>
      <c r="V332" s="7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7"/>
      <c r="U333" s="7"/>
      <c r="V333" s="7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7"/>
      <c r="U334" s="7"/>
      <c r="V334" s="7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7"/>
      <c r="U335" s="7"/>
      <c r="V335" s="7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7"/>
      <c r="U336" s="7"/>
      <c r="V336" s="7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7"/>
      <c r="U337" s="7"/>
      <c r="V337" s="7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7"/>
      <c r="U338" s="7"/>
      <c r="V338" s="7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7"/>
      <c r="U339" s="7"/>
      <c r="V339" s="7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7"/>
      <c r="V340" s="7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7"/>
      <c r="U341" s="7"/>
      <c r="V341" s="7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7"/>
      <c r="U342" s="7"/>
      <c r="V342" s="7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7"/>
      <c r="U343" s="7"/>
      <c r="V343" s="7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7"/>
      <c r="U344" s="7"/>
      <c r="V344" s="7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7"/>
      <c r="U345" s="7"/>
      <c r="V345" s="7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7"/>
      <c r="U346" s="7"/>
      <c r="V346" s="7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7"/>
      <c r="U347" s="7"/>
      <c r="V347" s="7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7"/>
      <c r="U348" s="7"/>
      <c r="V348" s="7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7"/>
      <c r="U349" s="7"/>
      <c r="V349" s="7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7"/>
      <c r="U350" s="7"/>
      <c r="V350" s="7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7"/>
      <c r="U351" s="7"/>
      <c r="V351" s="7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7"/>
      <c r="U352" s="7"/>
      <c r="V352" s="7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7"/>
      <c r="U353" s="7"/>
      <c r="V353" s="7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7"/>
      <c r="U354" s="7"/>
      <c r="V354" s="7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7"/>
      <c r="U355" s="7"/>
      <c r="V355" s="7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7"/>
      <c r="U356" s="7"/>
      <c r="V356" s="7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7"/>
      <c r="U357" s="7"/>
      <c r="V357" s="7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7"/>
      <c r="U358" s="7"/>
      <c r="V358" s="7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7"/>
      <c r="U359" s="7"/>
      <c r="V359" s="7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7"/>
      <c r="U360" s="7"/>
      <c r="V360" s="7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7"/>
      <c r="U361" s="7"/>
      <c r="V361" s="7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7"/>
      <c r="U362" s="7"/>
      <c r="V362" s="7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7"/>
      <c r="U363" s="7"/>
      <c r="V363" s="7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7"/>
      <c r="U364" s="7"/>
      <c r="V364" s="7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7"/>
      <c r="U365" s="7"/>
      <c r="V365" s="7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7"/>
      <c r="U366" s="7"/>
      <c r="V366" s="7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7"/>
      <c r="U367" s="7"/>
      <c r="V367" s="7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7"/>
      <c r="U369" s="7"/>
      <c r="V369" s="7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7"/>
      <c r="U370" s="7"/>
      <c r="V370" s="7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7"/>
      <c r="U371" s="7"/>
      <c r="V371" s="7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7"/>
      <c r="U372" s="7"/>
      <c r="V372" s="7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7"/>
      <c r="U373" s="7"/>
      <c r="V373" s="7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7"/>
      <c r="U374" s="7"/>
      <c r="V374" s="7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7"/>
      <c r="U375" s="7"/>
      <c r="V375" s="7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7"/>
      <c r="U376" s="7"/>
      <c r="V376" s="7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7"/>
      <c r="U377" s="7"/>
      <c r="V377" s="7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7"/>
      <c r="U378" s="7"/>
      <c r="V378" s="7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7"/>
      <c r="U379" s="7"/>
      <c r="V379" s="7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7"/>
      <c r="U380" s="7"/>
      <c r="V380" s="7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7"/>
      <c r="U381" s="7"/>
      <c r="V381" s="7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7"/>
      <c r="U382" s="7"/>
      <c r="V382" s="7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7"/>
      <c r="U383" s="7"/>
      <c r="V383" s="7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7"/>
      <c r="U384" s="7"/>
      <c r="V384" s="7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7"/>
      <c r="U385" s="7"/>
      <c r="V385" s="7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7"/>
      <c r="U386" s="7"/>
      <c r="V386" s="7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7"/>
      <c r="U387" s="7"/>
      <c r="V387" s="7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7"/>
      <c r="U388" s="7"/>
      <c r="V388" s="7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7"/>
      <c r="U389" s="7"/>
      <c r="V389" s="7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7"/>
      <c r="U390" s="7"/>
      <c r="V390" s="7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7"/>
      <c r="U391" s="7"/>
      <c r="V391" s="7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7"/>
      <c r="U392" s="7"/>
      <c r="V392" s="7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7"/>
      <c r="U393" s="7"/>
      <c r="V393" s="7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7"/>
      <c r="U394" s="7"/>
      <c r="V394" s="7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7"/>
      <c r="U395" s="7"/>
      <c r="V395" s="7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7"/>
      <c r="U396" s="7"/>
      <c r="V396" s="7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7"/>
      <c r="U397" s="7"/>
      <c r="V397" s="7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7"/>
      <c r="U398" s="7"/>
      <c r="V398" s="7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7"/>
      <c r="U399" s="7"/>
      <c r="V399" s="7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7"/>
      <c r="U400" s="7"/>
      <c r="V400" s="7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7"/>
      <c r="U401" s="7"/>
      <c r="V401" s="7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7"/>
      <c r="U402" s="7"/>
      <c r="V402" s="7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7"/>
      <c r="U403" s="7"/>
      <c r="V403" s="7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7"/>
      <c r="U404" s="7"/>
      <c r="V404" s="7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7"/>
      <c r="U405" s="7"/>
      <c r="V405" s="7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7"/>
      <c r="U406" s="7"/>
      <c r="V406" s="7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7"/>
      <c r="U407" s="7"/>
      <c r="V407" s="7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7"/>
      <c r="U408" s="7"/>
      <c r="V408" s="7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7"/>
      <c r="U409" s="7"/>
      <c r="V409" s="7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7"/>
      <c r="U410" s="7"/>
      <c r="V410" s="7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7"/>
      <c r="U411" s="7"/>
      <c r="V411" s="7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7"/>
      <c r="U412" s="7"/>
      <c r="V412" s="7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7"/>
      <c r="U413" s="7"/>
      <c r="V413" s="7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7"/>
      <c r="U414" s="7"/>
      <c r="V414" s="7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7"/>
      <c r="U415" s="7"/>
      <c r="V415" s="7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7"/>
      <c r="U416" s="7"/>
      <c r="V416" s="7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7"/>
      <c r="U417" s="7"/>
      <c r="V417" s="7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7"/>
      <c r="U418" s="7"/>
      <c r="V418" s="7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7"/>
      <c r="U419" s="7"/>
      <c r="V419" s="7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7"/>
      <c r="U420" s="7"/>
      <c r="V420" s="7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7"/>
      <c r="U421" s="7"/>
      <c r="V421" s="7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7"/>
      <c r="U422" s="7"/>
      <c r="V422" s="7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7"/>
      <c r="U423" s="7"/>
      <c r="V423" s="7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7"/>
      <c r="U424" s="7"/>
      <c r="V424" s="7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7"/>
      <c r="U425" s="7"/>
      <c r="V425" s="7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7"/>
      <c r="U426" s="7"/>
      <c r="V426" s="7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7"/>
      <c r="U427" s="7"/>
      <c r="V427" s="7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7"/>
      <c r="U428" s="7"/>
      <c r="V428" s="7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7"/>
      <c r="U429" s="7"/>
      <c r="V429" s="7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7"/>
      <c r="U430" s="7"/>
      <c r="V430" s="7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7"/>
      <c r="U431" s="7"/>
      <c r="V431" s="7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7"/>
      <c r="U432" s="7"/>
      <c r="V432" s="7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7"/>
      <c r="U433" s="7"/>
      <c r="V433" s="7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7"/>
      <c r="U434" s="7"/>
      <c r="V434" s="7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7"/>
      <c r="U435" s="7"/>
      <c r="V435" s="7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7"/>
      <c r="U436" s="7"/>
      <c r="V436" s="7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7"/>
      <c r="U437" s="7"/>
      <c r="V437" s="7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7"/>
      <c r="U438" s="7"/>
      <c r="V438" s="7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7"/>
      <c r="U439" s="7"/>
      <c r="V439" s="7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7"/>
      <c r="U440" s="7"/>
      <c r="V440" s="7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7"/>
      <c r="U441" s="7"/>
      <c r="V441" s="7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7"/>
      <c r="U442" s="7"/>
      <c r="V442" s="7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7"/>
      <c r="U443" s="7"/>
      <c r="V443" s="7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7"/>
      <c r="U444" s="7"/>
      <c r="V444" s="7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7"/>
      <c r="U445" s="7"/>
      <c r="V445" s="7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7"/>
      <c r="U446" s="7"/>
      <c r="V446" s="7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7"/>
      <c r="U447" s="7"/>
      <c r="V447" s="7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7"/>
      <c r="U448" s="7"/>
      <c r="V448" s="7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7"/>
      <c r="U449" s="7"/>
      <c r="V449" s="7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7"/>
      <c r="U450" s="7"/>
      <c r="V450" s="7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7"/>
      <c r="U451" s="7"/>
      <c r="V451" s="7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7"/>
      <c r="U452" s="7"/>
      <c r="V452" s="7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7"/>
      <c r="U453" s="7"/>
      <c r="V453" s="7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7"/>
      <c r="U454" s="7"/>
      <c r="V454" s="7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7"/>
      <c r="U455" s="7"/>
      <c r="V455" s="7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7"/>
      <c r="U456" s="7"/>
      <c r="V456" s="7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7"/>
      <c r="U457" s="7"/>
      <c r="V457" s="7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7"/>
      <c r="U458" s="7"/>
      <c r="V458" s="7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7"/>
      <c r="U459" s="7"/>
      <c r="V459" s="7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7"/>
      <c r="U460" s="7"/>
      <c r="V460" s="7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7"/>
      <c r="U461" s="7"/>
      <c r="V461" s="7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7"/>
      <c r="U462" s="7"/>
      <c r="V462" s="7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7"/>
      <c r="U463" s="7"/>
      <c r="V463" s="7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7"/>
      <c r="U464" s="7"/>
      <c r="V464" s="7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7"/>
      <c r="U465" s="7"/>
      <c r="V465" s="7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7"/>
      <c r="U466" s="7"/>
      <c r="V466" s="7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7"/>
      <c r="U467" s="7"/>
      <c r="V467" s="7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7"/>
      <c r="U468" s="7"/>
      <c r="V468" s="7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7"/>
      <c r="U469" s="7"/>
      <c r="V469" s="7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7"/>
      <c r="U470" s="7"/>
      <c r="V470" s="7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7"/>
      <c r="U471" s="7"/>
      <c r="V471" s="7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7"/>
      <c r="U472" s="7"/>
      <c r="V472" s="7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7"/>
      <c r="U473" s="7"/>
      <c r="V473" s="7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7"/>
      <c r="U474" s="7"/>
      <c r="V474" s="7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7"/>
      <c r="U475" s="7"/>
      <c r="V475" s="7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7"/>
      <c r="U476" s="7"/>
      <c r="V476" s="7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7"/>
      <c r="U477" s="7"/>
      <c r="V477" s="7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7"/>
      <c r="U478" s="7"/>
      <c r="V478" s="7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7"/>
      <c r="U479" s="7"/>
      <c r="V479" s="7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7"/>
      <c r="U480" s="7"/>
      <c r="V480" s="7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7"/>
      <c r="U481" s="7"/>
      <c r="V481" s="7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7"/>
      <c r="U482" s="7"/>
      <c r="V482" s="7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7"/>
      <c r="U483" s="7"/>
      <c r="V483" s="7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7"/>
      <c r="U484" s="7"/>
      <c r="V484" s="7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7"/>
      <c r="U485" s="7"/>
      <c r="V485" s="7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7"/>
      <c r="U486" s="7"/>
      <c r="V486" s="7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7"/>
      <c r="U487" s="7"/>
      <c r="V487" s="7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7"/>
      <c r="U488" s="7"/>
      <c r="V488" s="7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7"/>
      <c r="U489" s="7"/>
      <c r="V489" s="7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7"/>
      <c r="U490" s="7"/>
      <c r="V490" s="7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7"/>
      <c r="U491" s="7"/>
      <c r="V491" s="7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7"/>
      <c r="U492" s="7"/>
      <c r="V492" s="7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7"/>
      <c r="U493" s="7"/>
      <c r="V493" s="7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7"/>
      <c r="U494" s="7"/>
      <c r="V494" s="7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7"/>
      <c r="U495" s="7"/>
      <c r="V495" s="7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7"/>
      <c r="U496" s="7"/>
      <c r="V496" s="7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7"/>
      <c r="U497" s="7"/>
      <c r="V497" s="7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7"/>
      <c r="U498" s="7"/>
      <c r="V498" s="7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7"/>
      <c r="U499" s="7"/>
      <c r="V499" s="7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7"/>
      <c r="U500" s="7"/>
      <c r="V500" s="7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7"/>
      <c r="U501" s="7"/>
      <c r="V501" s="7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7"/>
      <c r="U502" s="7"/>
      <c r="V502" s="7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7"/>
      <c r="U503" s="7"/>
      <c r="V503" s="7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7"/>
      <c r="U504" s="7"/>
      <c r="V504" s="7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7"/>
      <c r="U505" s="7"/>
      <c r="V505" s="7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7"/>
      <c r="U506" s="7"/>
      <c r="V506" s="7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7"/>
      <c r="U507" s="7"/>
      <c r="V507" s="7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7"/>
      <c r="U508" s="7"/>
      <c r="V508" s="7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7"/>
      <c r="U509" s="7"/>
      <c r="V509" s="7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7"/>
      <c r="U510" s="7"/>
      <c r="V510" s="7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7"/>
      <c r="U511" s="7"/>
      <c r="V511" s="7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7"/>
      <c r="U512" s="7"/>
      <c r="V512" s="7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7"/>
      <c r="U513" s="7"/>
      <c r="V513" s="7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7"/>
      <c r="U514" s="7"/>
      <c r="V514" s="7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7"/>
      <c r="U515" s="7"/>
      <c r="V515" s="7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7"/>
      <c r="U516" s="7"/>
      <c r="V516" s="7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7"/>
      <c r="U517" s="7"/>
      <c r="V517" s="7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7"/>
      <c r="U518" s="7"/>
      <c r="V518" s="7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7"/>
      <c r="U519" s="7"/>
      <c r="V519" s="7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7"/>
      <c r="U520" s="7"/>
      <c r="V520" s="7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7"/>
      <c r="U521" s="7"/>
      <c r="V521" s="7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7"/>
      <c r="U522" s="7"/>
      <c r="V522" s="7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7"/>
      <c r="U523" s="7"/>
      <c r="V523" s="7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7"/>
      <c r="U524" s="7"/>
      <c r="V524" s="7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7"/>
      <c r="U525" s="7"/>
      <c r="V525" s="7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7"/>
      <c r="U526" s="7"/>
      <c r="V526" s="7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7"/>
      <c r="U527" s="7"/>
      <c r="V527" s="7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7"/>
      <c r="U528" s="7"/>
      <c r="V528" s="7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7"/>
      <c r="U529" s="7"/>
      <c r="V529" s="7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7"/>
      <c r="U530" s="7"/>
      <c r="V530" s="7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7"/>
      <c r="U531" s="7"/>
      <c r="V531" s="7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7"/>
      <c r="U532" s="7"/>
      <c r="V532" s="7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7"/>
      <c r="U533" s="7"/>
      <c r="V533" s="7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7"/>
      <c r="U534" s="7"/>
      <c r="V534" s="7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7"/>
      <c r="U535" s="7"/>
      <c r="V535" s="7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7"/>
      <c r="U536" s="7"/>
      <c r="V536" s="7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7"/>
      <c r="U537" s="7"/>
      <c r="V537" s="7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7"/>
      <c r="U538" s="7"/>
      <c r="V538" s="7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7"/>
      <c r="U539" s="7"/>
      <c r="V539" s="7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7"/>
      <c r="U540" s="7"/>
      <c r="V540" s="7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7"/>
      <c r="U541" s="7"/>
      <c r="V541" s="7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7"/>
      <c r="U542" s="7"/>
      <c r="V542" s="7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7"/>
      <c r="U543" s="7"/>
      <c r="V543" s="7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7"/>
      <c r="U544" s="7"/>
      <c r="V544" s="7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7"/>
      <c r="U545" s="7"/>
      <c r="V545" s="7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7"/>
      <c r="U546" s="7"/>
      <c r="V546" s="7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7"/>
      <c r="U547" s="7"/>
      <c r="V547" s="7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7"/>
      <c r="U548" s="7"/>
      <c r="V548" s="7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7"/>
      <c r="U549" s="7"/>
      <c r="V549" s="7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7"/>
      <c r="U550" s="7"/>
      <c r="V550" s="7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7"/>
      <c r="U551" s="7"/>
      <c r="V551" s="7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7"/>
      <c r="U552" s="7"/>
      <c r="V552" s="7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7"/>
      <c r="U553" s="7"/>
      <c r="V553" s="7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7"/>
      <c r="U554" s="7"/>
      <c r="V554" s="7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7"/>
      <c r="U555" s="7"/>
      <c r="V555" s="7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7"/>
      <c r="U556" s="7"/>
      <c r="V556" s="7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7"/>
      <c r="U557" s="7"/>
      <c r="V557" s="7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7"/>
      <c r="U558" s="7"/>
      <c r="V558" s="7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7"/>
      <c r="U559" s="7"/>
      <c r="V559" s="7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7"/>
      <c r="U560" s="7"/>
      <c r="V560" s="7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7"/>
      <c r="U561" s="7"/>
      <c r="V561" s="7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7"/>
      <c r="U562" s="7"/>
      <c r="V562" s="7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7"/>
      <c r="U563" s="7"/>
      <c r="V563" s="7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7"/>
      <c r="U564" s="7"/>
      <c r="V564" s="7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7"/>
      <c r="U565" s="7"/>
      <c r="V565" s="7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7"/>
      <c r="U566" s="7"/>
      <c r="V566" s="7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7"/>
      <c r="U567" s="7"/>
      <c r="V567" s="7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7"/>
      <c r="U568" s="7"/>
      <c r="V568" s="7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7"/>
      <c r="U569" s="7"/>
      <c r="V569" s="7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7"/>
      <c r="U570" s="7"/>
      <c r="V570" s="7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7"/>
      <c r="U571" s="7"/>
      <c r="V571" s="7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7"/>
      <c r="U572" s="7"/>
      <c r="V572" s="7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7"/>
      <c r="U573" s="7"/>
      <c r="V573" s="7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7"/>
      <c r="U574" s="7"/>
      <c r="V574" s="7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7"/>
      <c r="U575" s="7"/>
      <c r="V575" s="7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7"/>
      <c r="U576" s="7"/>
      <c r="V576" s="7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7"/>
      <c r="U577" s="7"/>
      <c r="V577" s="7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7"/>
      <c r="U578" s="7"/>
      <c r="V578" s="7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7"/>
      <c r="U579" s="7"/>
      <c r="V579" s="7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7"/>
      <c r="U580" s="7"/>
      <c r="V580" s="7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7"/>
      <c r="U581" s="7"/>
      <c r="V581" s="7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7"/>
      <c r="U582" s="7"/>
      <c r="V582" s="7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7"/>
      <c r="U583" s="7"/>
      <c r="V583" s="7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7"/>
      <c r="U584" s="7"/>
      <c r="V584" s="7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7"/>
      <c r="U585" s="7"/>
      <c r="V585" s="7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7"/>
      <c r="U586" s="7"/>
      <c r="V586" s="7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7"/>
      <c r="U587" s="7"/>
      <c r="V587" s="7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7"/>
      <c r="U588" s="7"/>
      <c r="V588" s="7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7"/>
      <c r="U589" s="7"/>
      <c r="V589" s="7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7"/>
      <c r="U590" s="7"/>
      <c r="V590" s="7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7"/>
      <c r="U591" s="7"/>
      <c r="V591" s="7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7"/>
      <c r="U592" s="7"/>
      <c r="V592" s="7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7"/>
      <c r="U593" s="7"/>
      <c r="V593" s="7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7"/>
      <c r="U594" s="7"/>
      <c r="V594" s="7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7"/>
      <c r="U595" s="7"/>
      <c r="V595" s="7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7"/>
      <c r="U596" s="7"/>
      <c r="V596" s="7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7"/>
      <c r="U597" s="7"/>
      <c r="V597" s="7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7"/>
      <c r="U598" s="7"/>
      <c r="V598" s="7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7"/>
      <c r="U599" s="7"/>
      <c r="V599" s="7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7"/>
      <c r="U600" s="7"/>
      <c r="V600" s="7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7"/>
      <c r="U601" s="7"/>
      <c r="V601" s="7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7"/>
      <c r="U602" s="7"/>
      <c r="V602" s="7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7"/>
      <c r="U603" s="7"/>
      <c r="V603" s="7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7"/>
      <c r="U604" s="7"/>
      <c r="V604" s="7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7"/>
      <c r="U605" s="7"/>
      <c r="V605" s="7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7"/>
      <c r="U606" s="7"/>
      <c r="V606" s="7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7"/>
      <c r="U607" s="7"/>
      <c r="V607" s="7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7"/>
      <c r="U608" s="7"/>
      <c r="V608" s="7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7"/>
      <c r="U609" s="7"/>
      <c r="V609" s="7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7"/>
      <c r="U610" s="7"/>
      <c r="V610" s="7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7"/>
      <c r="U611" s="7"/>
      <c r="V611" s="7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7"/>
      <c r="U612" s="7"/>
      <c r="V612" s="7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7"/>
      <c r="U613" s="7"/>
      <c r="V613" s="7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7"/>
      <c r="U614" s="7"/>
      <c r="V614" s="7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7"/>
      <c r="U615" s="7"/>
      <c r="V615" s="7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7"/>
      <c r="U616" s="7"/>
      <c r="V616" s="7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7"/>
      <c r="U617" s="7"/>
      <c r="V617" s="7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7"/>
      <c r="U618" s="7"/>
      <c r="V618" s="7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7"/>
      <c r="U619" s="7"/>
      <c r="V619" s="7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7"/>
      <c r="U620" s="7"/>
      <c r="V620" s="7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7"/>
      <c r="U621" s="7"/>
      <c r="V621" s="7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7"/>
      <c r="U622" s="7"/>
      <c r="V622" s="7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7"/>
      <c r="U623" s="7"/>
      <c r="V623" s="7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7"/>
      <c r="U624" s="7"/>
      <c r="V624" s="7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7"/>
      <c r="U625" s="7"/>
      <c r="V625" s="7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7"/>
      <c r="U626" s="7"/>
      <c r="V626" s="7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7"/>
      <c r="U627" s="7"/>
      <c r="V627" s="7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7"/>
      <c r="U628" s="7"/>
      <c r="V628" s="7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7"/>
      <c r="U629" s="7"/>
      <c r="V629" s="7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7"/>
      <c r="U630" s="7"/>
      <c r="V630" s="7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7"/>
      <c r="U631" s="7"/>
      <c r="V631" s="7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7"/>
      <c r="U632" s="7"/>
      <c r="V632" s="7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7"/>
      <c r="U633" s="7"/>
      <c r="V633" s="7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7"/>
      <c r="U634" s="7"/>
      <c r="V634" s="7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7"/>
      <c r="U635" s="7"/>
      <c r="V635" s="7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7"/>
      <c r="U636" s="7"/>
      <c r="V636" s="7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7"/>
      <c r="U637" s="7"/>
      <c r="V637" s="7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7"/>
      <c r="U638" s="7"/>
      <c r="V638" s="7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7"/>
      <c r="U639" s="7"/>
      <c r="V639" s="7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7"/>
      <c r="U640" s="7"/>
      <c r="V640" s="7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7"/>
      <c r="U641" s="7"/>
      <c r="V641" s="7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7"/>
      <c r="U642" s="7"/>
      <c r="V642" s="7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7"/>
      <c r="U643" s="7"/>
      <c r="V643" s="7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7"/>
      <c r="U644" s="7"/>
      <c r="V644" s="7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7"/>
      <c r="U645" s="7"/>
      <c r="V645" s="7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7"/>
      <c r="U646" s="7"/>
      <c r="V646" s="7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7"/>
      <c r="U647" s="7"/>
      <c r="V647" s="7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7"/>
      <c r="U648" s="7"/>
      <c r="V648" s="7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7"/>
      <c r="U649" s="7"/>
      <c r="V649" s="7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7"/>
      <c r="U650" s="7"/>
      <c r="V650" s="7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7"/>
      <c r="U651" s="7"/>
      <c r="V651" s="7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7"/>
      <c r="U652" s="7"/>
      <c r="V652" s="7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7"/>
      <c r="U653" s="7"/>
      <c r="V653" s="7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7"/>
      <c r="U654" s="7"/>
      <c r="V654" s="7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7"/>
      <c r="U655" s="7"/>
      <c r="V655" s="7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7"/>
      <c r="U656" s="7"/>
      <c r="V656" s="7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7"/>
      <c r="U657" s="7"/>
      <c r="V657" s="7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7"/>
      <c r="U658" s="7"/>
      <c r="V658" s="7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7"/>
      <c r="U659" s="7"/>
      <c r="V659" s="7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7"/>
      <c r="U660" s="7"/>
      <c r="V660" s="7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7"/>
      <c r="U661" s="7"/>
      <c r="V661" s="7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7"/>
      <c r="U662" s="7"/>
      <c r="V662" s="7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7"/>
      <c r="U663" s="7"/>
      <c r="V663" s="7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7"/>
      <c r="U664" s="7"/>
      <c r="V664" s="7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7"/>
      <c r="U665" s="7"/>
      <c r="V665" s="7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7"/>
      <c r="U666" s="7"/>
      <c r="V666" s="7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7"/>
      <c r="U667" s="7"/>
      <c r="V667" s="7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7"/>
      <c r="U668" s="7"/>
      <c r="V668" s="7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7"/>
      <c r="U669" s="7"/>
      <c r="V669" s="7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7"/>
      <c r="U670" s="7"/>
      <c r="V670" s="7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7"/>
      <c r="U671" s="7"/>
      <c r="V671" s="7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7"/>
      <c r="U672" s="7"/>
      <c r="V672" s="7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7"/>
      <c r="U673" s="7"/>
      <c r="V673" s="7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7"/>
      <c r="U674" s="7"/>
      <c r="V674" s="7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7"/>
      <c r="U675" s="7"/>
      <c r="V675" s="7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7"/>
      <c r="U676" s="7"/>
      <c r="V676" s="7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7"/>
      <c r="U677" s="7"/>
      <c r="V677" s="7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7"/>
      <c r="U678" s="7"/>
      <c r="V678" s="7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7"/>
      <c r="U679" s="7"/>
      <c r="V679" s="7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7"/>
      <c r="U680" s="7"/>
      <c r="V680" s="7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7"/>
      <c r="U681" s="7"/>
      <c r="V681" s="7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7"/>
      <c r="U682" s="7"/>
      <c r="V682" s="7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7"/>
      <c r="U683" s="7"/>
      <c r="V683" s="7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7"/>
      <c r="U684" s="7"/>
      <c r="V684" s="7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7"/>
      <c r="U685" s="7"/>
      <c r="V685" s="7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7"/>
      <c r="U686" s="7"/>
      <c r="V686" s="7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7"/>
      <c r="U687" s="7"/>
      <c r="V687" s="7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7"/>
      <c r="U688" s="7"/>
      <c r="V688" s="7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7"/>
      <c r="U689" s="7"/>
      <c r="V689" s="7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7"/>
      <c r="U690" s="7"/>
      <c r="V690" s="7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7"/>
      <c r="U691" s="7"/>
      <c r="V691" s="7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7"/>
      <c r="U692" s="7"/>
      <c r="V692" s="7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7"/>
      <c r="U693" s="7"/>
      <c r="V693" s="7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7"/>
      <c r="U694" s="7"/>
      <c r="V694" s="7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7"/>
      <c r="U695" s="7"/>
      <c r="V695" s="7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7"/>
      <c r="U696" s="7"/>
      <c r="V696" s="7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7"/>
      <c r="U697" s="7"/>
      <c r="V697" s="7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7"/>
      <c r="U698" s="7"/>
      <c r="V698" s="7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7"/>
      <c r="U699" s="7"/>
      <c r="V699" s="7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7"/>
      <c r="U700" s="7"/>
      <c r="V700" s="7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7"/>
      <c r="U701" s="7"/>
      <c r="V701" s="7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7"/>
      <c r="U702" s="7"/>
      <c r="V702" s="7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7"/>
      <c r="U703" s="7"/>
      <c r="V703" s="7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7"/>
      <c r="U704" s="7"/>
      <c r="V704" s="7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7"/>
      <c r="U705" s="7"/>
      <c r="V705" s="7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7"/>
      <c r="U706" s="7"/>
      <c r="V706" s="7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7"/>
      <c r="U707" s="7"/>
      <c r="V707" s="7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7"/>
      <c r="U708" s="7"/>
      <c r="V708" s="7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7"/>
      <c r="U709" s="7"/>
      <c r="V709" s="7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7"/>
      <c r="U710" s="7"/>
      <c r="V710" s="7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7"/>
      <c r="U711" s="7"/>
      <c r="V711" s="7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7"/>
      <c r="U712" s="7"/>
      <c r="V712" s="7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7"/>
      <c r="U713" s="7"/>
      <c r="V713" s="7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7"/>
      <c r="U714" s="7"/>
      <c r="V714" s="7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7"/>
      <c r="U715" s="7"/>
      <c r="V715" s="7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7"/>
      <c r="U716" s="7"/>
      <c r="V716" s="7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7"/>
      <c r="U717" s="7"/>
      <c r="V717" s="7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7"/>
      <c r="U718" s="7"/>
      <c r="V718" s="7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7"/>
      <c r="U719" s="7"/>
      <c r="V719" s="7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7"/>
      <c r="U720" s="7"/>
      <c r="V720" s="7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7"/>
      <c r="U721" s="7"/>
      <c r="V721" s="7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7"/>
      <c r="U722" s="7"/>
      <c r="V722" s="7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7"/>
      <c r="U723" s="7"/>
      <c r="V723" s="7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7"/>
      <c r="U724" s="7"/>
      <c r="V724" s="7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7"/>
      <c r="U725" s="7"/>
      <c r="V725" s="7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7"/>
      <c r="U726" s="7"/>
      <c r="V726" s="7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7"/>
      <c r="U727" s="7"/>
      <c r="V727" s="7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7"/>
      <c r="U728" s="7"/>
      <c r="V728" s="7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7"/>
      <c r="U729" s="7"/>
      <c r="V729" s="7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7"/>
      <c r="U730" s="7"/>
      <c r="V730" s="7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7"/>
      <c r="U731" s="7"/>
      <c r="V731" s="7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7"/>
      <c r="U732" s="7"/>
      <c r="V732" s="7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7"/>
      <c r="U733" s="7"/>
      <c r="V733" s="7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7"/>
      <c r="U734" s="7"/>
      <c r="V734" s="7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7"/>
      <c r="U735" s="7"/>
      <c r="V735" s="7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7"/>
      <c r="U736" s="7"/>
      <c r="V736" s="7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7"/>
      <c r="U737" s="7"/>
      <c r="V737" s="7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7"/>
      <c r="U738" s="7"/>
      <c r="V738" s="7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7"/>
      <c r="U739" s="7"/>
      <c r="V739" s="7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7"/>
      <c r="U740" s="7"/>
      <c r="V740" s="7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7"/>
      <c r="U741" s="7"/>
      <c r="V741" s="7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7"/>
      <c r="U742" s="7"/>
      <c r="V742" s="7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7"/>
      <c r="U743" s="7"/>
      <c r="V743" s="7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7"/>
      <c r="U744" s="7"/>
      <c r="V744" s="7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7"/>
      <c r="U745" s="7"/>
      <c r="V745" s="7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7"/>
      <c r="U746" s="7"/>
      <c r="V746" s="7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7"/>
      <c r="U747" s="7"/>
      <c r="V747" s="7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7"/>
      <c r="U748" s="7"/>
      <c r="V748" s="7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7"/>
      <c r="U749" s="7"/>
      <c r="V749" s="7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7"/>
      <c r="U750" s="7"/>
      <c r="V750" s="7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7"/>
      <c r="U751" s="7"/>
      <c r="V751" s="7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7"/>
      <c r="U752" s="7"/>
      <c r="V752" s="7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7"/>
      <c r="U753" s="7"/>
      <c r="V753" s="7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7"/>
      <c r="U754" s="7"/>
      <c r="V754" s="7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7"/>
      <c r="U755" s="7"/>
      <c r="V755" s="7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7"/>
      <c r="U756" s="7"/>
      <c r="V756" s="7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7"/>
      <c r="U757" s="7"/>
      <c r="V757" s="7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7"/>
      <c r="U758" s="7"/>
      <c r="V758" s="7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7"/>
      <c r="U759" s="7"/>
      <c r="V759" s="7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7"/>
      <c r="U760" s="7"/>
      <c r="V760" s="7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7"/>
      <c r="U761" s="7"/>
      <c r="V761" s="7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7"/>
      <c r="U762" s="7"/>
      <c r="V762" s="7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7"/>
      <c r="U763" s="7"/>
      <c r="V763" s="7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7"/>
      <c r="U764" s="7"/>
      <c r="V764" s="7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7"/>
      <c r="U765" s="7"/>
      <c r="V765" s="7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7"/>
      <c r="U766" s="7"/>
      <c r="V766" s="7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7"/>
      <c r="U767" s="7"/>
      <c r="V767" s="7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7"/>
      <c r="U768" s="7"/>
      <c r="V768" s="7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7"/>
      <c r="U769" s="7"/>
      <c r="V769" s="7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7"/>
      <c r="U770" s="7"/>
      <c r="V770" s="7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7"/>
      <c r="U771" s="7"/>
      <c r="V771" s="7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7"/>
      <c r="U772" s="7"/>
      <c r="V772" s="7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7"/>
      <c r="U773" s="7"/>
      <c r="V773" s="7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7"/>
      <c r="U774" s="7"/>
      <c r="V774" s="7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7"/>
      <c r="U775" s="7"/>
      <c r="V775" s="7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7"/>
      <c r="U776" s="7"/>
      <c r="V776" s="7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7"/>
      <c r="U777" s="7"/>
      <c r="V777" s="7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7"/>
      <c r="U778" s="7"/>
      <c r="V778" s="7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7"/>
      <c r="U779" s="7"/>
      <c r="V779" s="7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7"/>
      <c r="U780" s="7"/>
      <c r="V780" s="7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7"/>
      <c r="U781" s="7"/>
      <c r="V781" s="7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7"/>
      <c r="U782" s="7"/>
      <c r="V782" s="7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7"/>
      <c r="U783" s="7"/>
      <c r="V783" s="7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7"/>
      <c r="U784" s="7"/>
      <c r="V784" s="7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7"/>
      <c r="U785" s="7"/>
      <c r="V785" s="7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7"/>
      <c r="U786" s="7"/>
      <c r="V786" s="7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7"/>
      <c r="U787" s="7"/>
      <c r="V787" s="7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7"/>
      <c r="U788" s="7"/>
      <c r="V788" s="7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7"/>
      <c r="U789" s="7"/>
      <c r="V789" s="7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7"/>
      <c r="U790" s="7"/>
      <c r="V790" s="7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7"/>
      <c r="U791" s="7"/>
      <c r="V791" s="7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7"/>
      <c r="U792" s="7"/>
      <c r="V792" s="7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7"/>
      <c r="U793" s="7"/>
      <c r="V793" s="7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7"/>
      <c r="U794" s="7"/>
      <c r="V794" s="7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7"/>
      <c r="U795" s="7"/>
      <c r="V795" s="7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7"/>
      <c r="U796" s="7"/>
      <c r="V796" s="7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7"/>
      <c r="U797" s="7"/>
      <c r="V797" s="7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7"/>
      <c r="U798" s="7"/>
      <c r="V798" s="7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7"/>
      <c r="U799" s="7"/>
      <c r="V799" s="7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7"/>
      <c r="U800" s="7"/>
      <c r="V800" s="7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7"/>
      <c r="U801" s="7"/>
      <c r="V801" s="7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7"/>
      <c r="U802" s="7"/>
      <c r="V802" s="7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7"/>
      <c r="U803" s="7"/>
      <c r="V803" s="7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7"/>
      <c r="U804" s="7"/>
      <c r="V804" s="7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7"/>
      <c r="U805" s="7"/>
      <c r="V805" s="7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7"/>
      <c r="U806" s="7"/>
      <c r="V806" s="7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7"/>
      <c r="U807" s="7"/>
      <c r="V807" s="7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7"/>
      <c r="U808" s="7"/>
      <c r="V808" s="7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7"/>
      <c r="U809" s="7"/>
      <c r="V809" s="7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7"/>
      <c r="U810" s="7"/>
      <c r="V810" s="7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7"/>
      <c r="U811" s="7"/>
      <c r="V811" s="7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7"/>
      <c r="U812" s="7"/>
      <c r="V812" s="7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7"/>
      <c r="U813" s="7"/>
      <c r="V813" s="7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7"/>
      <c r="U814" s="7"/>
      <c r="V814" s="7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7"/>
      <c r="U815" s="7"/>
      <c r="V815" s="7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7"/>
      <c r="U816" s="7"/>
      <c r="V816" s="7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7"/>
      <c r="U817" s="7"/>
      <c r="V817" s="7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7"/>
      <c r="U818" s="7"/>
      <c r="V818" s="7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7"/>
      <c r="U819" s="7"/>
      <c r="V819" s="7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7"/>
      <c r="U820" s="7"/>
      <c r="V820" s="7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7"/>
      <c r="U821" s="7"/>
      <c r="V821" s="7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7"/>
      <c r="U822" s="7"/>
      <c r="V822" s="7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7"/>
      <c r="U823" s="7"/>
      <c r="V823" s="7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7"/>
      <c r="U824" s="7"/>
      <c r="V824" s="7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7"/>
      <c r="U825" s="7"/>
      <c r="V825" s="7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7"/>
      <c r="U826" s="7"/>
      <c r="V826" s="7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7"/>
      <c r="U827" s="7"/>
      <c r="V827" s="7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7"/>
      <c r="U828" s="7"/>
      <c r="V828" s="7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7"/>
      <c r="U829" s="7"/>
      <c r="V829" s="7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7"/>
      <c r="U830" s="7"/>
      <c r="V830" s="7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7"/>
      <c r="U831" s="7"/>
      <c r="V831" s="7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7"/>
      <c r="U832" s="7"/>
      <c r="V832" s="7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7"/>
      <c r="U833" s="7"/>
      <c r="V833" s="7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7"/>
      <c r="U834" s="7"/>
      <c r="V834" s="7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7"/>
      <c r="U835" s="7"/>
      <c r="V835" s="7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7"/>
      <c r="U836" s="7"/>
      <c r="V836" s="7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7"/>
      <c r="U837" s="7"/>
      <c r="V837" s="7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7"/>
      <c r="U838" s="7"/>
      <c r="V838" s="7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7"/>
      <c r="U839" s="7"/>
      <c r="V839" s="7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7"/>
      <c r="U840" s="7"/>
      <c r="V840" s="7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7"/>
      <c r="U841" s="7"/>
      <c r="V841" s="7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7"/>
      <c r="U842" s="7"/>
      <c r="V842" s="7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7"/>
      <c r="U843" s="7"/>
      <c r="V843" s="7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7"/>
      <c r="U844" s="7"/>
      <c r="V844" s="7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7"/>
      <c r="U845" s="7"/>
      <c r="V845" s="7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7"/>
      <c r="U846" s="7"/>
      <c r="V846" s="7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7"/>
      <c r="U847" s="7"/>
      <c r="V847" s="7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7"/>
      <c r="U848" s="7"/>
      <c r="V848" s="7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7"/>
      <c r="U849" s="7"/>
      <c r="V849" s="7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7"/>
      <c r="U850" s="7"/>
      <c r="V850" s="7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7"/>
      <c r="U851" s="7"/>
      <c r="V851" s="7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7"/>
      <c r="U852" s="7"/>
      <c r="V852" s="7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7"/>
      <c r="U853" s="7"/>
      <c r="V853" s="7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7"/>
      <c r="U854" s="7"/>
      <c r="V854" s="7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7"/>
      <c r="U855" s="7"/>
      <c r="V855" s="7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7"/>
      <c r="U856" s="7"/>
      <c r="V856" s="7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7"/>
      <c r="U857" s="7"/>
      <c r="V857" s="7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7"/>
      <c r="U858" s="7"/>
      <c r="V858" s="7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7"/>
      <c r="U859" s="7"/>
      <c r="V859" s="7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7"/>
      <c r="U860" s="7"/>
      <c r="V860" s="7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7"/>
      <c r="U861" s="7"/>
      <c r="V861" s="7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7"/>
      <c r="U862" s="7"/>
      <c r="V862" s="7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7"/>
      <c r="U863" s="7"/>
      <c r="V863" s="7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7"/>
      <c r="U864" s="7"/>
      <c r="V864" s="7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7"/>
      <c r="U865" s="7"/>
      <c r="V865" s="7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7"/>
      <c r="U866" s="7"/>
      <c r="V866" s="7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7"/>
      <c r="U867" s="7"/>
      <c r="V867" s="7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7"/>
      <c r="U868" s="7"/>
      <c r="V868" s="7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7"/>
      <c r="U869" s="7"/>
      <c r="V869" s="7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7"/>
      <c r="U870" s="7"/>
      <c r="V870" s="7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7"/>
      <c r="U871" s="7"/>
      <c r="V871" s="7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7"/>
      <c r="U872" s="7"/>
      <c r="V872" s="7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7"/>
      <c r="U873" s="7"/>
      <c r="V873" s="7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7"/>
      <c r="U874" s="7"/>
      <c r="V874" s="7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7"/>
      <c r="U875" s="7"/>
      <c r="V875" s="7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7"/>
      <c r="U876" s="7"/>
      <c r="V876" s="7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7"/>
      <c r="U877" s="7"/>
      <c r="V877" s="7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7"/>
      <c r="U878" s="7"/>
      <c r="V878" s="7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7"/>
      <c r="U879" s="7"/>
      <c r="V879" s="7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7"/>
      <c r="U880" s="7"/>
      <c r="V880" s="7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7"/>
      <c r="U881" s="7"/>
      <c r="V881" s="7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7"/>
      <c r="U882" s="7"/>
      <c r="V882" s="7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7"/>
      <c r="U883" s="7"/>
      <c r="V883" s="7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7"/>
      <c r="U884" s="7"/>
      <c r="V884" s="7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7"/>
      <c r="U885" s="7"/>
      <c r="V885" s="7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7"/>
      <c r="U886" s="7"/>
      <c r="V886" s="7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7"/>
      <c r="U887" s="7"/>
      <c r="V887" s="7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7"/>
      <c r="U888" s="7"/>
      <c r="V888" s="7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7"/>
      <c r="U889" s="7"/>
      <c r="V889" s="7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7"/>
      <c r="U890" s="7"/>
      <c r="V890" s="7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7"/>
      <c r="U891" s="7"/>
      <c r="V891" s="7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7"/>
      <c r="U892" s="7"/>
      <c r="V892" s="7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7"/>
      <c r="U893" s="7"/>
      <c r="V893" s="7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7"/>
      <c r="U894" s="7"/>
      <c r="V894" s="7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7"/>
      <c r="U895" s="7"/>
      <c r="V895" s="7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7"/>
      <c r="U896" s="7"/>
      <c r="V896" s="7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7"/>
      <c r="U897" s="7"/>
      <c r="V897" s="7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7"/>
      <c r="U898" s="7"/>
      <c r="V898" s="7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7"/>
      <c r="U899" s="7"/>
      <c r="V899" s="7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7"/>
      <c r="U900" s="7"/>
      <c r="V900" s="7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7"/>
      <c r="U901" s="7"/>
      <c r="V901" s="7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7"/>
      <c r="U902" s="7"/>
      <c r="V902" s="7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7"/>
      <c r="U903" s="7"/>
      <c r="V903" s="7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7"/>
      <c r="U904" s="7"/>
      <c r="V904" s="7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7"/>
      <c r="U905" s="7"/>
      <c r="V905" s="7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7"/>
      <c r="U906" s="7"/>
      <c r="V906" s="7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7"/>
      <c r="U907" s="7"/>
      <c r="V907" s="7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7"/>
      <c r="U908" s="7"/>
      <c r="V908" s="7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7"/>
      <c r="U909" s="7"/>
      <c r="V909" s="7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7"/>
      <c r="U910" s="7"/>
      <c r="V910" s="7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7"/>
      <c r="U911" s="7"/>
      <c r="V911" s="7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7"/>
      <c r="U912" s="7"/>
      <c r="V912" s="7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7"/>
      <c r="U913" s="7"/>
      <c r="V913" s="7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7"/>
      <c r="U914" s="7"/>
      <c r="V914" s="7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7"/>
      <c r="U915" s="7"/>
      <c r="V915" s="7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7"/>
      <c r="U916" s="7"/>
      <c r="V916" s="7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7"/>
      <c r="U917" s="7"/>
      <c r="V917" s="7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7"/>
      <c r="U918" s="7"/>
      <c r="V918" s="7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7"/>
      <c r="U919" s="7"/>
      <c r="V919" s="7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7"/>
      <c r="U920" s="7"/>
      <c r="V920" s="7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7"/>
      <c r="U921" s="7"/>
      <c r="V921" s="7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7"/>
      <c r="U922" s="7"/>
      <c r="V922" s="7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7"/>
      <c r="U923" s="7"/>
      <c r="V923" s="7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7"/>
      <c r="U924" s="7"/>
      <c r="V924" s="7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7"/>
      <c r="U925" s="7"/>
      <c r="V925" s="7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7"/>
      <c r="U926" s="7"/>
      <c r="V926" s="7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7"/>
      <c r="U927" s="7"/>
      <c r="V927" s="7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7"/>
      <c r="U928" s="7"/>
      <c r="V928" s="7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7"/>
      <c r="U929" s="7"/>
      <c r="V929" s="7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7"/>
      <c r="U930" s="7"/>
      <c r="V930" s="7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7"/>
      <c r="U931" s="7"/>
      <c r="V931" s="7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7"/>
      <c r="U932" s="7"/>
      <c r="V932" s="7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7"/>
      <c r="U933" s="7"/>
      <c r="V933" s="7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7"/>
      <c r="U934" s="7"/>
      <c r="V934" s="7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7"/>
      <c r="U935" s="7"/>
      <c r="V935" s="7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7"/>
      <c r="U936" s="7"/>
      <c r="V936" s="7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7"/>
      <c r="U937" s="7"/>
      <c r="V937" s="7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7"/>
      <c r="U938" s="7"/>
      <c r="V938" s="7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7"/>
      <c r="U939" s="7"/>
      <c r="V939" s="7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7"/>
      <c r="U940" s="7"/>
      <c r="V940" s="7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7"/>
      <c r="U941" s="7"/>
      <c r="V941" s="7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7"/>
      <c r="U942" s="7"/>
      <c r="V942" s="7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7"/>
      <c r="U943" s="7"/>
      <c r="V943" s="7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7"/>
      <c r="U944" s="7"/>
      <c r="V944" s="7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7"/>
      <c r="U945" s="7"/>
      <c r="V945" s="7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7"/>
      <c r="U946" s="7"/>
      <c r="V946" s="7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7"/>
      <c r="U947" s="7"/>
      <c r="V947" s="7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7"/>
      <c r="U948" s="7"/>
      <c r="V948" s="7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7"/>
      <c r="U949" s="7"/>
      <c r="V949" s="7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7"/>
      <c r="U950" s="7"/>
      <c r="V950" s="7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7"/>
      <c r="U951" s="7"/>
      <c r="V951" s="7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7"/>
      <c r="U952" s="7"/>
      <c r="V952" s="7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7"/>
      <c r="U953" s="7"/>
      <c r="V953" s="7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7"/>
      <c r="U954" s="7"/>
      <c r="V954" s="7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7"/>
      <c r="U955" s="7"/>
      <c r="V955" s="7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7"/>
      <c r="U956" s="7"/>
      <c r="V956" s="7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7"/>
      <c r="U957" s="7"/>
      <c r="V957" s="7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7"/>
      <c r="U958" s="7"/>
      <c r="V958" s="7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7"/>
      <c r="U959" s="7"/>
      <c r="V959" s="7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7"/>
      <c r="U960" s="7"/>
      <c r="V960" s="7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7"/>
      <c r="U961" s="7"/>
      <c r="V961" s="7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7"/>
      <c r="U962" s="7"/>
      <c r="V962" s="7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7"/>
      <c r="U963" s="7"/>
      <c r="V963" s="7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7"/>
      <c r="U964" s="7"/>
      <c r="V964" s="7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7"/>
      <c r="U965" s="7"/>
      <c r="V965" s="7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7"/>
      <c r="U966" s="7"/>
      <c r="V966" s="7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7"/>
      <c r="U967" s="7"/>
      <c r="V967" s="7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7"/>
      <c r="U968" s="7"/>
      <c r="V968" s="7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7"/>
      <c r="U969" s="7"/>
      <c r="V969" s="7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7"/>
      <c r="U970" s="7"/>
      <c r="V970" s="7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7"/>
      <c r="U971" s="7"/>
      <c r="V971" s="7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7"/>
      <c r="U972" s="7"/>
      <c r="V972" s="7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7"/>
      <c r="U973" s="7"/>
      <c r="V973" s="7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7"/>
      <c r="U974" s="7"/>
      <c r="V974" s="7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7"/>
      <c r="U975" s="7"/>
      <c r="V975" s="7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7"/>
      <c r="U976" s="7"/>
      <c r="V976" s="7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7"/>
      <c r="U977" s="7"/>
      <c r="V977" s="7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7"/>
      <c r="U978" s="7"/>
      <c r="V978" s="7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7"/>
      <c r="U979" s="7"/>
      <c r="V979" s="7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7"/>
      <c r="U980" s="7"/>
      <c r="V980" s="7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7"/>
      <c r="U981" s="7"/>
      <c r="V981" s="7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7"/>
      <c r="U982" s="7"/>
      <c r="V982" s="7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7"/>
      <c r="U983" s="7"/>
      <c r="V983" s="7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7"/>
      <c r="U984" s="7"/>
      <c r="V984" s="7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7"/>
      <c r="U985" s="7"/>
      <c r="V985" s="7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7"/>
      <c r="U986" s="7"/>
      <c r="V986" s="7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7"/>
      <c r="U987" s="7"/>
      <c r="V987" s="7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7"/>
      <c r="U988" s="7"/>
      <c r="V988" s="7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7"/>
      <c r="U989" s="7"/>
      <c r="V989" s="7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7"/>
      <c r="U990" s="7"/>
      <c r="V990" s="7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7"/>
      <c r="U991" s="7"/>
      <c r="V991" s="7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7"/>
      <c r="U992" s="7"/>
      <c r="V992" s="7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7"/>
      <c r="U993" s="7"/>
      <c r="V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</sheetData>
  <mergeCells count="5">
    <mergeCell ref="A1:A4"/>
    <mergeCell ref="F1:F4"/>
    <mergeCell ref="A5:A11"/>
    <mergeCell ref="A12:A43"/>
    <mergeCell ref="A44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9" width="18.43"/>
    <col customWidth="1" min="10" max="10" width="11.14"/>
  </cols>
  <sheetData>
    <row r="1">
      <c r="A1" s="58" t="s">
        <v>58</v>
      </c>
      <c r="B1" s="59" t="s">
        <v>1</v>
      </c>
      <c r="C1" s="60" t="s">
        <v>59</v>
      </c>
      <c r="D1" s="61" t="s">
        <v>60</v>
      </c>
      <c r="E1" s="60" t="s">
        <v>61</v>
      </c>
      <c r="F1" s="60" t="s">
        <v>62</v>
      </c>
      <c r="G1" s="60" t="s">
        <v>63</v>
      </c>
      <c r="H1" s="61" t="s">
        <v>64</v>
      </c>
      <c r="I1" s="60" t="s">
        <v>65</v>
      </c>
      <c r="J1" s="62" t="s">
        <v>5</v>
      </c>
    </row>
    <row r="2">
      <c r="A2" s="8"/>
      <c r="B2" s="63" t="s">
        <v>6</v>
      </c>
      <c r="C2" s="64" t="s">
        <v>66</v>
      </c>
      <c r="D2" s="63" t="s">
        <v>7</v>
      </c>
      <c r="E2" s="65" t="s">
        <v>67</v>
      </c>
      <c r="F2" s="65" t="s">
        <v>68</v>
      </c>
      <c r="G2" s="65" t="s">
        <v>69</v>
      </c>
      <c r="H2" s="63" t="s">
        <v>7</v>
      </c>
      <c r="I2" s="65" t="s">
        <v>70</v>
      </c>
      <c r="J2" s="66"/>
    </row>
    <row r="3">
      <c r="A3" s="8"/>
      <c r="B3" s="67" t="s">
        <v>9</v>
      </c>
      <c r="C3" s="68" t="s">
        <v>71</v>
      </c>
      <c r="D3" s="67" t="s">
        <v>72</v>
      </c>
      <c r="E3" s="68" t="s">
        <v>15</v>
      </c>
      <c r="F3" s="68" t="s">
        <v>73</v>
      </c>
      <c r="G3" s="68" t="s">
        <v>12</v>
      </c>
      <c r="H3" s="67" t="s">
        <v>74</v>
      </c>
      <c r="I3" s="68" t="s">
        <v>75</v>
      </c>
      <c r="J3" s="66"/>
    </row>
    <row r="4">
      <c r="A4" s="16"/>
      <c r="B4" s="69" t="s">
        <v>13</v>
      </c>
      <c r="C4" s="70" t="s">
        <v>15</v>
      </c>
      <c r="D4" s="69" t="s">
        <v>19</v>
      </c>
      <c r="E4" s="70" t="s">
        <v>15</v>
      </c>
      <c r="F4" s="70" t="s">
        <v>15</v>
      </c>
      <c r="G4" s="70" t="s">
        <v>15</v>
      </c>
      <c r="H4" s="69" t="s">
        <v>19</v>
      </c>
      <c r="I4" s="70" t="s">
        <v>15</v>
      </c>
      <c r="J4" s="71"/>
    </row>
    <row r="5">
      <c r="A5" s="72" t="s">
        <v>17</v>
      </c>
      <c r="B5" s="73" t="s">
        <v>18</v>
      </c>
      <c r="C5" s="74"/>
      <c r="D5" s="75">
        <v>1.0</v>
      </c>
      <c r="E5" s="74">
        <v>5.0</v>
      </c>
      <c r="F5" s="74">
        <v>3.0</v>
      </c>
      <c r="G5" s="74">
        <v>3.0</v>
      </c>
      <c r="H5" s="74">
        <v>1.0</v>
      </c>
      <c r="I5" s="74"/>
      <c r="J5" s="76">
        <f t="shared" ref="J5:J43" si="1">SUM(C5:I5)</f>
        <v>13</v>
      </c>
    </row>
    <row r="6">
      <c r="A6" s="77"/>
      <c r="B6" s="78" t="s">
        <v>19</v>
      </c>
      <c r="C6" s="79">
        <v>3.0</v>
      </c>
      <c r="D6" s="80">
        <v>2.0</v>
      </c>
      <c r="E6" s="79">
        <v>5.0</v>
      </c>
      <c r="F6" s="79"/>
      <c r="G6" s="79"/>
      <c r="H6" s="79">
        <v>2.0</v>
      </c>
      <c r="I6" s="79">
        <v>3.0</v>
      </c>
      <c r="J6" s="81">
        <f t="shared" si="1"/>
        <v>15</v>
      </c>
    </row>
    <row r="7">
      <c r="A7" s="77"/>
      <c r="B7" s="78" t="s">
        <v>20</v>
      </c>
      <c r="C7" s="82">
        <v>1.0</v>
      </c>
      <c r="D7" s="83"/>
      <c r="E7" s="82">
        <v>5.0</v>
      </c>
      <c r="F7" s="82"/>
      <c r="G7" s="82"/>
      <c r="H7" s="82"/>
      <c r="I7" s="82">
        <v>1.0</v>
      </c>
      <c r="J7" s="84">
        <f t="shared" si="1"/>
        <v>7</v>
      </c>
    </row>
    <row r="8">
      <c r="A8" s="77"/>
      <c r="B8" s="78" t="s">
        <v>21</v>
      </c>
      <c r="C8" s="79">
        <v>3.0</v>
      </c>
      <c r="D8" s="80"/>
      <c r="E8" s="79">
        <v>5.0</v>
      </c>
      <c r="F8" s="79"/>
      <c r="G8" s="79"/>
      <c r="H8" s="79"/>
      <c r="I8" s="79"/>
      <c r="J8" s="81">
        <f t="shared" si="1"/>
        <v>8</v>
      </c>
    </row>
    <row r="9">
      <c r="A9" s="77"/>
      <c r="B9" s="78" t="s">
        <v>22</v>
      </c>
      <c r="C9" s="82">
        <v>3.0</v>
      </c>
      <c r="D9" s="85"/>
      <c r="E9" s="82">
        <v>5.0</v>
      </c>
      <c r="F9" s="82"/>
      <c r="G9" s="82"/>
      <c r="H9" s="82"/>
      <c r="I9" s="82">
        <v>3.0</v>
      </c>
      <c r="J9" s="86">
        <f t="shared" si="1"/>
        <v>11</v>
      </c>
    </row>
    <row r="10">
      <c r="A10" s="77"/>
      <c r="B10" s="78" t="s">
        <v>23</v>
      </c>
      <c r="C10" s="87">
        <v>3.0</v>
      </c>
      <c r="D10" s="88"/>
      <c r="E10" s="87">
        <v>5.0</v>
      </c>
      <c r="F10" s="87"/>
      <c r="G10" s="87">
        <v>3.0</v>
      </c>
      <c r="H10" s="87">
        <v>1.0</v>
      </c>
      <c r="I10" s="87">
        <v>3.0</v>
      </c>
      <c r="J10" s="89">
        <f t="shared" si="1"/>
        <v>15</v>
      </c>
    </row>
    <row r="11">
      <c r="A11" s="90"/>
      <c r="B11" s="91" t="s">
        <v>24</v>
      </c>
      <c r="C11" s="92"/>
      <c r="D11" s="93"/>
      <c r="E11" s="92">
        <v>5.0</v>
      </c>
      <c r="F11" s="92"/>
      <c r="G11" s="92"/>
      <c r="H11" s="92"/>
      <c r="I11" s="92"/>
      <c r="J11" s="94">
        <f t="shared" si="1"/>
        <v>5</v>
      </c>
    </row>
    <row r="12">
      <c r="A12" s="95" t="s">
        <v>25</v>
      </c>
      <c r="B12" s="96" t="s">
        <v>26</v>
      </c>
      <c r="C12" s="97"/>
      <c r="D12" s="98"/>
      <c r="E12" s="97"/>
      <c r="F12" s="97"/>
      <c r="G12" s="97">
        <v>3.0</v>
      </c>
      <c r="H12" s="97"/>
      <c r="I12" s="97"/>
      <c r="J12" s="99">
        <f t="shared" si="1"/>
        <v>3</v>
      </c>
    </row>
    <row r="13">
      <c r="A13" s="100"/>
      <c r="B13" s="101" t="s">
        <v>27</v>
      </c>
      <c r="C13" s="102">
        <v>1.0</v>
      </c>
      <c r="D13" s="103"/>
      <c r="E13" s="102">
        <v>5.0</v>
      </c>
      <c r="F13" s="102"/>
      <c r="G13" s="102"/>
      <c r="H13" s="102"/>
      <c r="I13" s="102"/>
      <c r="J13" s="104">
        <f t="shared" si="1"/>
        <v>6</v>
      </c>
    </row>
    <row r="14">
      <c r="A14" s="100"/>
      <c r="B14" s="101" t="s">
        <v>28</v>
      </c>
      <c r="C14" s="105"/>
      <c r="D14" s="106"/>
      <c r="E14" s="105">
        <v>5.0</v>
      </c>
      <c r="F14" s="105"/>
      <c r="G14" s="105"/>
      <c r="H14" s="105"/>
      <c r="I14" s="105"/>
      <c r="J14" s="107">
        <f t="shared" si="1"/>
        <v>5</v>
      </c>
    </row>
    <row r="15">
      <c r="A15" s="100"/>
      <c r="B15" s="108" t="s">
        <v>16</v>
      </c>
      <c r="C15" s="102"/>
      <c r="D15" s="103"/>
      <c r="E15" s="102">
        <v>5.0</v>
      </c>
      <c r="F15" s="102"/>
      <c r="G15" s="102">
        <v>3.0</v>
      </c>
      <c r="H15" s="102"/>
      <c r="I15" s="102"/>
      <c r="J15" s="104">
        <f t="shared" si="1"/>
        <v>8</v>
      </c>
    </row>
    <row r="16">
      <c r="A16" s="100"/>
      <c r="B16" s="108" t="s">
        <v>29</v>
      </c>
      <c r="C16" s="105"/>
      <c r="D16" s="106"/>
      <c r="E16" s="105">
        <v>3.0</v>
      </c>
      <c r="F16" s="105"/>
      <c r="G16" s="105"/>
      <c r="H16" s="105"/>
      <c r="I16" s="105"/>
      <c r="J16" s="109">
        <f t="shared" si="1"/>
        <v>3</v>
      </c>
    </row>
    <row r="17">
      <c r="A17" s="100"/>
      <c r="B17" s="108" t="s">
        <v>30</v>
      </c>
      <c r="C17" s="102">
        <v>3.0</v>
      </c>
      <c r="D17" s="103"/>
      <c r="E17" s="102">
        <v>3.0</v>
      </c>
      <c r="F17" s="102"/>
      <c r="G17" s="102"/>
      <c r="H17" s="102"/>
      <c r="I17" s="102"/>
      <c r="J17" s="104">
        <f t="shared" si="1"/>
        <v>6</v>
      </c>
    </row>
    <row r="18">
      <c r="A18" s="100"/>
      <c r="B18" s="101" t="s">
        <v>31</v>
      </c>
      <c r="C18" s="105">
        <v>3.0</v>
      </c>
      <c r="D18" s="106"/>
      <c r="E18" s="105">
        <v>5.0</v>
      </c>
      <c r="F18" s="105"/>
      <c r="G18" s="105"/>
      <c r="H18" s="105"/>
      <c r="I18" s="105"/>
      <c r="J18" s="107">
        <f t="shared" si="1"/>
        <v>8</v>
      </c>
    </row>
    <row r="19">
      <c r="A19" s="100"/>
      <c r="B19" s="108" t="s">
        <v>32</v>
      </c>
      <c r="C19" s="102"/>
      <c r="D19" s="103"/>
      <c r="E19" s="102">
        <v>5.0</v>
      </c>
      <c r="F19" s="102"/>
      <c r="G19" s="102"/>
      <c r="H19" s="102"/>
      <c r="I19" s="102"/>
      <c r="J19" s="104">
        <f t="shared" si="1"/>
        <v>5</v>
      </c>
    </row>
    <row r="20">
      <c r="A20" s="100"/>
      <c r="B20" s="101" t="s">
        <v>33</v>
      </c>
      <c r="C20" s="105"/>
      <c r="D20" s="110">
        <v>1.0</v>
      </c>
      <c r="E20" s="105">
        <v>5.0</v>
      </c>
      <c r="F20" s="105"/>
      <c r="G20" s="105"/>
      <c r="H20" s="105"/>
      <c r="I20" s="105">
        <v>1.0</v>
      </c>
      <c r="J20" s="107">
        <f t="shared" si="1"/>
        <v>7</v>
      </c>
    </row>
    <row r="21">
      <c r="A21" s="100"/>
      <c r="B21" s="108" t="s">
        <v>34</v>
      </c>
      <c r="C21" s="102"/>
      <c r="D21" s="103"/>
      <c r="E21" s="102">
        <v>3.0</v>
      </c>
      <c r="F21" s="102"/>
      <c r="G21" s="102"/>
      <c r="H21" s="102"/>
      <c r="I21" s="102"/>
      <c r="J21" s="111">
        <f t="shared" si="1"/>
        <v>3</v>
      </c>
    </row>
    <row r="22">
      <c r="A22" s="100"/>
      <c r="B22" s="101" t="s">
        <v>35</v>
      </c>
      <c r="C22" s="105"/>
      <c r="D22" s="106"/>
      <c r="E22" s="105">
        <v>3.0</v>
      </c>
      <c r="F22" s="105"/>
      <c r="G22" s="105"/>
      <c r="H22" s="105"/>
      <c r="I22" s="105"/>
      <c r="J22" s="107">
        <f t="shared" si="1"/>
        <v>3</v>
      </c>
    </row>
    <row r="23">
      <c r="A23" s="100"/>
      <c r="B23" s="101" t="s">
        <v>36</v>
      </c>
      <c r="C23" s="102"/>
      <c r="D23" s="103"/>
      <c r="E23" s="102"/>
      <c r="F23" s="102"/>
      <c r="G23" s="102"/>
      <c r="H23" s="102"/>
      <c r="I23" s="102"/>
      <c r="J23" s="104">
        <f t="shared" si="1"/>
        <v>0</v>
      </c>
    </row>
    <row r="24">
      <c r="A24" s="100"/>
      <c r="B24" s="101" t="s">
        <v>37</v>
      </c>
      <c r="C24" s="105">
        <v>3.0</v>
      </c>
      <c r="D24" s="106"/>
      <c r="E24" s="105">
        <v>5.0</v>
      </c>
      <c r="F24" s="105"/>
      <c r="G24" s="105"/>
      <c r="H24" s="105"/>
      <c r="I24" s="105"/>
      <c r="J24" s="109">
        <f t="shared" si="1"/>
        <v>8</v>
      </c>
    </row>
    <row r="25">
      <c r="A25" s="100"/>
      <c r="B25" s="101" t="s">
        <v>38</v>
      </c>
      <c r="C25" s="112">
        <v>3.0</v>
      </c>
      <c r="D25" s="113"/>
      <c r="E25" s="112">
        <v>5.0</v>
      </c>
      <c r="F25" s="112"/>
      <c r="G25" s="112"/>
      <c r="H25" s="112"/>
      <c r="I25" s="112"/>
      <c r="J25" s="114">
        <f t="shared" si="1"/>
        <v>8</v>
      </c>
    </row>
    <row r="26">
      <c r="A26" s="100"/>
      <c r="B26" s="101" t="s">
        <v>39</v>
      </c>
      <c r="C26" s="105"/>
      <c r="D26" s="106"/>
      <c r="E26" s="105"/>
      <c r="F26" s="105"/>
      <c r="G26" s="105"/>
      <c r="H26" s="105"/>
      <c r="I26" s="105"/>
      <c r="J26" s="115">
        <f t="shared" si="1"/>
        <v>0</v>
      </c>
    </row>
    <row r="27">
      <c r="A27" s="100"/>
      <c r="B27" s="101" t="s">
        <v>40</v>
      </c>
      <c r="C27" s="112"/>
      <c r="D27" s="113"/>
      <c r="E27" s="112"/>
      <c r="F27" s="112"/>
      <c r="G27" s="112"/>
      <c r="H27" s="112"/>
      <c r="I27" s="112"/>
      <c r="J27" s="104">
        <f t="shared" si="1"/>
        <v>0</v>
      </c>
    </row>
    <row r="28">
      <c r="A28" s="100"/>
      <c r="B28" s="101" t="s">
        <v>41</v>
      </c>
      <c r="C28" s="105">
        <v>3.0</v>
      </c>
      <c r="D28" s="106"/>
      <c r="E28" s="105">
        <v>5.0</v>
      </c>
      <c r="F28" s="105"/>
      <c r="G28" s="105">
        <v>3.0</v>
      </c>
      <c r="H28" s="105"/>
      <c r="I28" s="105"/>
      <c r="J28" s="109">
        <f t="shared" si="1"/>
        <v>11</v>
      </c>
    </row>
    <row r="29">
      <c r="A29" s="100"/>
      <c r="B29" s="116" t="s">
        <v>42</v>
      </c>
      <c r="C29" s="112"/>
      <c r="D29" s="113"/>
      <c r="E29" s="112">
        <v>5.0</v>
      </c>
      <c r="F29" s="112"/>
      <c r="G29" s="112"/>
      <c r="H29" s="112"/>
      <c r="I29" s="112"/>
      <c r="J29" s="104">
        <f t="shared" si="1"/>
        <v>5</v>
      </c>
    </row>
    <row r="30">
      <c r="A30" s="100"/>
      <c r="B30" s="117" t="s">
        <v>43</v>
      </c>
      <c r="C30" s="118"/>
      <c r="D30" s="119"/>
      <c r="E30" s="118">
        <v>5.0</v>
      </c>
      <c r="F30" s="118"/>
      <c r="G30" s="118">
        <v>3.0</v>
      </c>
      <c r="H30" s="118"/>
      <c r="I30" s="118"/>
      <c r="J30" s="120">
        <f t="shared" si="1"/>
        <v>8</v>
      </c>
    </row>
    <row r="31">
      <c r="A31" s="100"/>
      <c r="B31" s="121" t="s">
        <v>44</v>
      </c>
      <c r="C31" s="122">
        <v>3.0</v>
      </c>
      <c r="D31" s="123"/>
      <c r="E31" s="122"/>
      <c r="F31" s="122"/>
      <c r="G31" s="122"/>
      <c r="H31" s="122"/>
      <c r="I31" s="122"/>
      <c r="J31" s="111">
        <f t="shared" si="1"/>
        <v>3</v>
      </c>
    </row>
    <row r="32">
      <c r="A32" s="100"/>
      <c r="B32" s="121" t="s">
        <v>45</v>
      </c>
      <c r="C32" s="124"/>
      <c r="D32" s="125"/>
      <c r="E32" s="124">
        <v>5.0</v>
      </c>
      <c r="F32" s="124"/>
      <c r="G32" s="124"/>
      <c r="H32" s="124"/>
      <c r="I32" s="124"/>
      <c r="J32" s="126">
        <f t="shared" si="1"/>
        <v>5</v>
      </c>
    </row>
    <row r="33">
      <c r="A33" s="100"/>
      <c r="B33" s="127" t="s">
        <v>46</v>
      </c>
      <c r="C33" s="122">
        <v>3.0</v>
      </c>
      <c r="D33" s="123">
        <v>1.0</v>
      </c>
      <c r="E33" s="122">
        <v>5.0</v>
      </c>
      <c r="F33" s="122"/>
      <c r="G33" s="122"/>
      <c r="H33" s="122">
        <v>1.0</v>
      </c>
      <c r="I33" s="122">
        <v>1.0</v>
      </c>
      <c r="J33" s="89">
        <f t="shared" si="1"/>
        <v>11</v>
      </c>
    </row>
    <row r="34">
      <c r="A34" s="100"/>
      <c r="B34" s="128" t="s">
        <v>47</v>
      </c>
      <c r="C34" s="124">
        <v>3.0</v>
      </c>
      <c r="D34" s="125"/>
      <c r="E34" s="124">
        <v>5.0</v>
      </c>
      <c r="F34" s="124"/>
      <c r="G34" s="124"/>
      <c r="H34" s="124">
        <v>1.0</v>
      </c>
      <c r="I34" s="124"/>
      <c r="J34" s="129">
        <f t="shared" si="1"/>
        <v>9</v>
      </c>
    </row>
    <row r="35">
      <c r="A35" s="100"/>
      <c r="B35" s="128" t="s">
        <v>48</v>
      </c>
      <c r="C35" s="122">
        <v>3.0</v>
      </c>
      <c r="D35" s="123"/>
      <c r="E35" s="122"/>
      <c r="F35" s="122">
        <v>3.0</v>
      </c>
      <c r="G35" s="122"/>
      <c r="H35" s="122"/>
      <c r="I35" s="122"/>
      <c r="J35" s="89">
        <f t="shared" si="1"/>
        <v>6</v>
      </c>
    </row>
    <row r="36">
      <c r="A36" s="100"/>
      <c r="B36" s="128" t="s">
        <v>49</v>
      </c>
      <c r="C36" s="130"/>
      <c r="D36" s="131"/>
      <c r="E36" s="130">
        <v>5.0</v>
      </c>
      <c r="F36" s="130"/>
      <c r="G36" s="130"/>
      <c r="H36" s="130"/>
      <c r="I36" s="130"/>
      <c r="J36" s="132">
        <f t="shared" si="1"/>
        <v>5</v>
      </c>
    </row>
    <row r="37">
      <c r="A37" s="100"/>
      <c r="B37" s="128" t="s">
        <v>50</v>
      </c>
      <c r="C37" s="122"/>
      <c r="D37" s="123"/>
      <c r="E37" s="122"/>
      <c r="F37" s="122"/>
      <c r="G37" s="122"/>
      <c r="H37" s="122"/>
      <c r="I37" s="122"/>
      <c r="J37" s="89">
        <f t="shared" si="1"/>
        <v>0</v>
      </c>
    </row>
    <row r="38">
      <c r="A38" s="100"/>
      <c r="B38" s="128" t="s">
        <v>51</v>
      </c>
      <c r="C38" s="124">
        <v>3.0</v>
      </c>
      <c r="D38" s="125"/>
      <c r="E38" s="124">
        <v>5.0</v>
      </c>
      <c r="F38" s="124">
        <v>3.0</v>
      </c>
      <c r="G38" s="124">
        <v>3.0</v>
      </c>
      <c r="H38" s="124"/>
      <c r="I38" s="124"/>
      <c r="J38" s="129">
        <f t="shared" si="1"/>
        <v>14</v>
      </c>
    </row>
    <row r="39">
      <c r="A39" s="100"/>
      <c r="B39" s="128" t="s">
        <v>52</v>
      </c>
      <c r="C39" s="122"/>
      <c r="D39" s="123"/>
      <c r="E39" s="122"/>
      <c r="F39" s="122"/>
      <c r="G39" s="122"/>
      <c r="H39" s="122"/>
      <c r="I39" s="122"/>
      <c r="J39" s="89">
        <f t="shared" si="1"/>
        <v>0</v>
      </c>
    </row>
    <row r="40">
      <c r="A40" s="100"/>
      <c r="B40" s="128" t="s">
        <v>53</v>
      </c>
      <c r="C40" s="124"/>
      <c r="D40" s="125"/>
      <c r="E40" s="124"/>
      <c r="F40" s="124"/>
      <c r="G40" s="124"/>
      <c r="H40" s="124"/>
      <c r="I40" s="124"/>
      <c r="J40" s="129">
        <f t="shared" si="1"/>
        <v>0</v>
      </c>
    </row>
    <row r="41">
      <c r="A41" s="100"/>
      <c r="B41" s="128" t="s">
        <v>54</v>
      </c>
      <c r="C41" s="122">
        <v>3.0</v>
      </c>
      <c r="D41" s="123"/>
      <c r="E41" s="122">
        <v>5.0</v>
      </c>
      <c r="F41" s="122"/>
      <c r="G41" s="122">
        <v>3.0</v>
      </c>
      <c r="H41" s="122"/>
      <c r="I41" s="122"/>
      <c r="J41" s="89">
        <f t="shared" si="1"/>
        <v>11</v>
      </c>
    </row>
    <row r="42">
      <c r="A42" s="100"/>
      <c r="B42" s="128" t="s">
        <v>55</v>
      </c>
      <c r="C42" s="130"/>
      <c r="D42" s="131"/>
      <c r="E42" s="130">
        <v>5.0</v>
      </c>
      <c r="F42" s="130"/>
      <c r="G42" s="130"/>
      <c r="H42" s="130"/>
      <c r="I42" s="130"/>
      <c r="J42" s="132">
        <f t="shared" si="1"/>
        <v>5</v>
      </c>
    </row>
    <row r="43">
      <c r="A43" s="133"/>
      <c r="B43" s="134" t="s">
        <v>56</v>
      </c>
      <c r="C43" s="135"/>
      <c r="D43" s="136"/>
      <c r="E43" s="135">
        <v>5.0</v>
      </c>
      <c r="F43" s="135">
        <v>1.0</v>
      </c>
      <c r="G43" s="135"/>
      <c r="H43" s="135">
        <v>1.0</v>
      </c>
      <c r="I43" s="135"/>
      <c r="J43" s="137">
        <f t="shared" si="1"/>
        <v>7</v>
      </c>
    </row>
    <row r="44">
      <c r="A44" s="138" t="s">
        <v>57</v>
      </c>
      <c r="B44" s="139"/>
      <c r="C44" s="140">
        <f t="shared" ref="C44:I44" si="2">COUNT(C5:C43)</f>
        <v>17</v>
      </c>
      <c r="D44" s="140">
        <f t="shared" si="2"/>
        <v>4</v>
      </c>
      <c r="E44" s="140">
        <f t="shared" si="2"/>
        <v>30</v>
      </c>
      <c r="F44" s="140">
        <f t="shared" si="2"/>
        <v>4</v>
      </c>
      <c r="G44" s="140">
        <f t="shared" si="2"/>
        <v>8</v>
      </c>
      <c r="H44" s="140">
        <f t="shared" si="2"/>
        <v>6</v>
      </c>
      <c r="I44" s="140">
        <f t="shared" si="2"/>
        <v>6</v>
      </c>
    </row>
  </sheetData>
  <mergeCells count="5">
    <mergeCell ref="A1:A4"/>
    <mergeCell ref="J1:J4"/>
    <mergeCell ref="A5:A11"/>
    <mergeCell ref="A12:A43"/>
    <mergeCell ref="A44:B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2022-12-30T09:25:14Z</dcterms:created>
  <dc:creator>이진진</dc:creator>
</cp:coreProperties>
</file>