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이규엽(회원관리부장)\참여점수표\"/>
    </mc:Choice>
  </mc:AlternateContent>
  <xr:revisionPtr revIDLastSave="0" documentId="13_ncr:1_{01563330-3783-4451-B074-062489057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월" sheetId="3" r:id="rId1"/>
    <sheet name="2월" sheetId="1" r:id="rId2"/>
    <sheet name="1월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y3r057sPdo1MVQWTHg70pWej0NA=="/>
    </ext>
  </extLst>
</workbook>
</file>

<file path=xl/calcChain.xml><?xml version="1.0" encoding="utf-8"?>
<calcChain xmlns="http://schemas.openxmlformats.org/spreadsheetml/2006/main">
  <c r="H6" i="3" l="1"/>
  <c r="I6" i="3" s="1"/>
  <c r="H7" i="3"/>
  <c r="H8" i="3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H23" i="3"/>
  <c r="H24" i="3"/>
  <c r="H25" i="3"/>
  <c r="I25" i="3" s="1"/>
  <c r="H26" i="3"/>
  <c r="I26" i="3" s="1"/>
  <c r="H27" i="3"/>
  <c r="I27" i="3" s="1"/>
  <c r="H28" i="3"/>
  <c r="I28" i="3" s="1"/>
  <c r="H29" i="3"/>
  <c r="I29" i="3" s="1"/>
  <c r="H30" i="3"/>
  <c r="H31" i="3"/>
  <c r="I31" i="3" s="1"/>
  <c r="H32" i="3"/>
  <c r="H5" i="3"/>
  <c r="I5" i="3" s="1"/>
  <c r="F33" i="3"/>
  <c r="I7" i="3"/>
  <c r="I8" i="3"/>
  <c r="I22" i="3"/>
  <c r="I23" i="3"/>
  <c r="I24" i="3"/>
  <c r="I30" i="3"/>
  <c r="I32" i="3"/>
  <c r="G33" i="3"/>
  <c r="E33" i="3"/>
  <c r="D33" i="3"/>
  <c r="C33" i="3"/>
  <c r="F33" i="2"/>
  <c r="E33" i="2"/>
  <c r="D33" i="2"/>
  <c r="C33" i="2"/>
  <c r="G32" i="2"/>
  <c r="I32" i="1" s="1"/>
  <c r="G31" i="2"/>
  <c r="I31" i="1" s="1"/>
  <c r="G30" i="2"/>
  <c r="I30" i="1" s="1"/>
  <c r="G29" i="2"/>
  <c r="I29" i="1" s="1"/>
  <c r="G28" i="2"/>
  <c r="I28" i="1" s="1"/>
  <c r="G27" i="2"/>
  <c r="I27" i="1" s="1"/>
  <c r="G26" i="2"/>
  <c r="I26" i="1" s="1"/>
  <c r="G25" i="2"/>
  <c r="I25" i="1" s="1"/>
  <c r="G24" i="2"/>
  <c r="I24" i="1" s="1"/>
  <c r="G23" i="2"/>
  <c r="I23" i="1" s="1"/>
  <c r="G22" i="2"/>
  <c r="I22" i="1" s="1"/>
  <c r="G21" i="2"/>
  <c r="I21" i="1" s="1"/>
  <c r="G20" i="2"/>
  <c r="I20" i="1" s="1"/>
  <c r="G19" i="2"/>
  <c r="G18" i="2"/>
  <c r="G17" i="2"/>
  <c r="I17" i="1" s="1"/>
  <c r="G16" i="2"/>
  <c r="I16" i="1" s="1"/>
  <c r="G15" i="2"/>
  <c r="I15" i="1" s="1"/>
  <c r="G14" i="2"/>
  <c r="G13" i="2"/>
  <c r="I14" i="1" s="1"/>
  <c r="G12" i="2"/>
  <c r="I12" i="1" s="1"/>
  <c r="G11" i="2"/>
  <c r="I11" i="1" s="1"/>
  <c r="G10" i="2"/>
  <c r="I10" i="1" s="1"/>
  <c r="G9" i="2"/>
  <c r="I9" i="1" s="1"/>
  <c r="G8" i="2"/>
  <c r="I8" i="1" s="1"/>
  <c r="G7" i="2"/>
  <c r="I7" i="1" s="1"/>
  <c r="G6" i="2"/>
  <c r="I6" i="1" s="1"/>
  <c r="G5" i="2"/>
  <c r="I5" i="1" s="1"/>
  <c r="H33" i="1"/>
  <c r="G33" i="1"/>
  <c r="F33" i="1"/>
  <c r="E33" i="1"/>
  <c r="D33" i="1"/>
  <c r="C33" i="1"/>
  <c r="I19" i="1"/>
  <c r="I18" i="1"/>
  <c r="I33" i="3" l="1"/>
  <c r="I13" i="1"/>
</calcChain>
</file>

<file path=xl/sharedStrings.xml><?xml version="1.0" encoding="utf-8"?>
<sst xmlns="http://schemas.openxmlformats.org/spreadsheetml/2006/main" count="173" uniqueCount="81">
  <si>
    <t>1월</t>
  </si>
  <si>
    <t>날짜</t>
  </si>
  <si>
    <t>02.01</t>
  </si>
  <si>
    <t>02.04</t>
  </si>
  <si>
    <t>02.09</t>
  </si>
  <si>
    <t>02.10</t>
  </si>
  <si>
    <t>02.20</t>
  </si>
  <si>
    <t>누적 점수</t>
  </si>
  <si>
    <t>구분</t>
  </si>
  <si>
    <t>비정기모임</t>
  </si>
  <si>
    <t>2차 정기모임</t>
  </si>
  <si>
    <t>3차 정기모임</t>
  </si>
  <si>
    <t>활동</t>
  </si>
  <si>
    <t>캐리비안베이</t>
  </si>
  <si>
    <t>신촌 칼싸움</t>
  </si>
  <si>
    <t>종각 볼링</t>
  </si>
  <si>
    <t>신촌 술</t>
  </si>
  <si>
    <t>강남 원데이클래스</t>
  </si>
  <si>
    <t>건대 술(다은 생일)</t>
  </si>
  <si>
    <t>주최자</t>
  </si>
  <si>
    <t>이주희</t>
  </si>
  <si>
    <t>홍석범</t>
  </si>
  <si>
    <t>-</t>
  </si>
  <si>
    <t>이규엽</t>
  </si>
  <si>
    <t>이진진</t>
  </si>
  <si>
    <t>운영진</t>
  </si>
  <si>
    <t>백다은</t>
  </si>
  <si>
    <t>오소현</t>
  </si>
  <si>
    <t>활동회원</t>
  </si>
  <si>
    <t>임정연</t>
  </si>
  <si>
    <t>황인우</t>
  </si>
  <si>
    <t>김승현</t>
  </si>
  <si>
    <t>박서현</t>
  </si>
  <si>
    <t>김해찬</t>
  </si>
  <si>
    <t>이원준</t>
  </si>
  <si>
    <t>강석훈</t>
  </si>
  <si>
    <t>윤민식</t>
  </si>
  <si>
    <t>이광민</t>
  </si>
  <si>
    <t>김도현</t>
  </si>
  <si>
    <t>김주곤</t>
  </si>
  <si>
    <t>김태형</t>
  </si>
  <si>
    <t>류혜원</t>
  </si>
  <si>
    <t>유지원</t>
  </si>
  <si>
    <t>이성현</t>
  </si>
  <si>
    <t>이수민</t>
  </si>
  <si>
    <t>이장현</t>
  </si>
  <si>
    <t>이주하</t>
  </si>
  <si>
    <t>정예원</t>
  </si>
  <si>
    <t>주연희</t>
  </si>
  <si>
    <t>최지훈</t>
  </si>
  <si>
    <t>홍지은</t>
  </si>
  <si>
    <t>합계</t>
  </si>
  <si>
    <t>01.14</t>
  </si>
  <si>
    <t>01.18</t>
  </si>
  <si>
    <t>01.23</t>
  </si>
  <si>
    <t>01.27</t>
  </si>
  <si>
    <t>오리엔테이션</t>
  </si>
  <si>
    <t>1차 정기모임</t>
  </si>
  <si>
    <t>강남 술</t>
  </si>
  <si>
    <t>왕십리 보드게임</t>
  </si>
  <si>
    <t>참여 인원</t>
  </si>
  <si>
    <t>3월</t>
    <phoneticPr fontId="6" type="noConversion"/>
  </si>
  <si>
    <t>2월</t>
    <phoneticPr fontId="6" type="noConversion"/>
  </si>
  <si>
    <t>강남 술</t>
    <phoneticPr fontId="6" type="noConversion"/>
  </si>
  <si>
    <t>박서현</t>
    <phoneticPr fontId="6" type="noConversion"/>
  </si>
  <si>
    <t>대학로 연극</t>
    <phoneticPr fontId="6" type="noConversion"/>
  </si>
  <si>
    <t>-</t>
    <phoneticPr fontId="6" type="noConversion"/>
  </si>
  <si>
    <t>03.01</t>
    <phoneticPr fontId="6" type="noConversion"/>
  </si>
  <si>
    <t>03.03</t>
    <phoneticPr fontId="6" type="noConversion"/>
  </si>
  <si>
    <t>03.11</t>
    <phoneticPr fontId="6" type="noConversion"/>
  </si>
  <si>
    <t>4차 정기모임</t>
    <phoneticPr fontId="6" type="noConversion"/>
  </si>
  <si>
    <t>5차 정기모임</t>
    <phoneticPr fontId="6" type="noConversion"/>
  </si>
  <si>
    <t>6차 정기모임</t>
    <phoneticPr fontId="6" type="noConversion"/>
  </si>
  <si>
    <t>신림 방탈출</t>
    <phoneticPr fontId="6" type="noConversion"/>
  </si>
  <si>
    <t>한강 나들이</t>
    <phoneticPr fontId="6" type="noConversion"/>
  </si>
  <si>
    <r>
      <rPr>
        <sz val="11"/>
        <rFont val="Malgun Gothic"/>
        <family val="2"/>
        <charset val="129"/>
      </rPr>
      <t>보증금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환급</t>
    </r>
    <phoneticPr fontId="6" type="noConversion"/>
  </si>
  <si>
    <t>대상자 여부</t>
    <phoneticPr fontId="6" type="noConversion"/>
  </si>
  <si>
    <t>03.12</t>
    <phoneticPr fontId="6" type="noConversion"/>
  </si>
  <si>
    <t>건대 술</t>
    <phoneticPr fontId="6" type="noConversion"/>
  </si>
  <si>
    <t>백다은</t>
    <phoneticPr fontId="6" type="noConversion"/>
  </si>
  <si>
    <t>03.18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</si>
</sst>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name val="Malgun Gothic"/>
      <family val="2"/>
      <charset val="129"/>
    </font>
    <font>
      <sz val="11"/>
      <name val="Calibri"/>
      <family val="2"/>
      <charset val="129"/>
    </font>
  </fonts>
  <fills count="20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6" tint="0.39997558519241921"/>
        <bgColor rgb="FFC8C8C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E7F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E7FD"/>
        <bgColor rgb="FFFEF2CB"/>
      </patternFill>
    </fill>
    <fill>
      <patternFill patternType="solid">
        <fgColor theme="8" tint="0.79998168889431442"/>
        <bgColor rgb="FFFEF2CB"/>
      </patternFill>
    </fill>
  </fills>
  <borders count="92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757070"/>
      </top>
      <bottom style="thin">
        <color rgb="FFAEABAB"/>
      </bottom>
      <diagonal/>
    </border>
    <border>
      <left/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B7B7B"/>
      </left>
      <right style="thin">
        <color rgb="FF757070"/>
      </right>
      <top style="thin">
        <color rgb="FF757070"/>
      </top>
      <bottom style="thin">
        <color rgb="FFA5A5A5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 style="thin">
        <color rgb="FF757070"/>
      </right>
      <top/>
      <bottom/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 style="thin">
        <color rgb="FF757070"/>
      </right>
      <top style="thin">
        <color rgb="FFA5A5A5"/>
      </top>
      <bottom/>
      <diagonal/>
    </border>
    <border>
      <left style="thin">
        <color rgb="FF7B7B7B"/>
      </left>
      <right style="thin">
        <color rgb="FF757070"/>
      </right>
      <top style="thin">
        <color rgb="FFA5A5A5"/>
      </top>
      <bottom style="thin">
        <color rgb="FFA5A5A5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7B7B7B"/>
      </bottom>
      <diagonal/>
    </border>
    <border>
      <left/>
      <right style="thin">
        <color rgb="FFAEABAB"/>
      </right>
      <top style="thin">
        <color rgb="FFAEABAB"/>
      </top>
      <bottom style="thin">
        <color rgb="FF7B7B7B"/>
      </bottom>
      <diagonal/>
    </border>
    <border>
      <left/>
      <right style="thin">
        <color rgb="FF7B7B7B"/>
      </right>
      <top/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rgb="FFAEABA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AEABAB"/>
      </bottom>
      <diagonal/>
    </border>
    <border>
      <left/>
      <right style="thin">
        <color rgb="FF7B7B7B"/>
      </right>
      <top style="thin">
        <color rgb="FF7B7B7B"/>
      </top>
      <bottom style="thin">
        <color rgb="FFAEABAB"/>
      </bottom>
      <diagonal/>
    </border>
    <border>
      <left style="thin">
        <color rgb="FF7B7B7B"/>
      </left>
      <right style="thin">
        <color rgb="FF7B7B7B"/>
      </right>
      <top style="thin">
        <color rgb="FF757070"/>
      </top>
      <bottom/>
      <diagonal/>
    </border>
    <border>
      <left style="thin">
        <color rgb="FF7B7B7B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/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 style="thin">
        <color rgb="FF7B7B7B"/>
      </right>
      <top style="thin">
        <color rgb="FFA5A5A5"/>
      </top>
      <bottom/>
      <diagonal/>
    </border>
    <border>
      <left/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 style="thin">
        <color rgb="FF7B7B7B"/>
      </right>
      <top style="thin">
        <color rgb="FFA5A5A5"/>
      </top>
      <bottom/>
      <diagonal/>
    </border>
    <border>
      <left style="thin">
        <color rgb="FF7B7B7B"/>
      </left>
      <right style="thin">
        <color rgb="FF7B7B7B"/>
      </right>
      <top style="thin">
        <color rgb="FFA5A5A5"/>
      </top>
      <bottom style="thin">
        <color rgb="FFA5A5A5"/>
      </bottom>
      <diagonal/>
    </border>
    <border>
      <left/>
      <right style="thin">
        <color rgb="FFAEABAB"/>
      </right>
      <top/>
      <bottom/>
      <diagonal/>
    </border>
    <border>
      <left style="thin">
        <color rgb="FF7B7B7B"/>
      </left>
      <right style="thin">
        <color rgb="FF7B7B7B"/>
      </right>
      <top/>
      <bottom/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B7B7B"/>
      </left>
      <right style="thin">
        <color rgb="FF7B7B7B"/>
      </right>
      <top style="thin">
        <color rgb="FFAEABAB"/>
      </top>
      <bottom style="thin">
        <color rgb="FF757070"/>
      </bottom>
      <diagonal/>
    </border>
    <border>
      <left/>
      <right style="thin">
        <color rgb="FF7B7B7B"/>
      </right>
      <top style="thin">
        <color rgb="FFAEABAB"/>
      </top>
      <bottom style="thin">
        <color rgb="FF757070"/>
      </bottom>
      <diagonal/>
    </border>
    <border>
      <left style="thin">
        <color rgb="FF7B7B7B"/>
      </left>
      <right style="thin">
        <color rgb="FF7B7B7B"/>
      </right>
      <top style="thin">
        <color rgb="FFA5A5A5"/>
      </top>
      <bottom style="thin">
        <color rgb="FF757070"/>
      </bottom>
      <diagonal/>
    </border>
    <border>
      <left/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B7B7B"/>
      </left>
      <right style="thin">
        <color rgb="FF7B7B7B"/>
      </right>
      <top style="thin">
        <color rgb="FF757070"/>
      </top>
      <bottom style="thin">
        <color rgb="FFA5A5A5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7B7B7B"/>
      </left>
      <right style="thin">
        <color rgb="FF7B7B7B"/>
      </right>
      <top/>
      <bottom style="thin">
        <color rgb="FF7B7B7B"/>
      </bottom>
      <diagonal/>
    </border>
    <border>
      <left style="thin">
        <color rgb="FF757070"/>
      </left>
      <right/>
      <top style="thin">
        <color rgb="FF7B7B7B"/>
      </top>
      <bottom style="thin">
        <color rgb="FF757070"/>
      </bottom>
      <diagonal/>
    </border>
    <border>
      <left/>
      <right style="thin">
        <color rgb="FF7B7B7B"/>
      </right>
      <top style="thin">
        <color rgb="FF7B7B7B"/>
      </top>
      <bottom style="thin">
        <color rgb="FF757070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57070"/>
      </bottom>
      <diagonal/>
    </border>
    <border>
      <left/>
      <right/>
      <top style="thin">
        <color rgb="FF7B7B7B"/>
      </top>
      <bottom style="thin">
        <color rgb="FF757070"/>
      </bottom>
      <diagonal/>
    </border>
    <border>
      <left style="thin">
        <color rgb="FF7B7B7B"/>
      </left>
      <right/>
      <top style="thin">
        <color rgb="FF7B7B7B"/>
      </top>
      <bottom/>
      <diagonal/>
    </border>
    <border>
      <left style="thin">
        <color rgb="FF757070"/>
      </left>
      <right style="thin">
        <color rgb="FF7B7B7B"/>
      </right>
      <top style="thin">
        <color rgb="FF757070"/>
      </top>
      <bottom/>
      <diagonal/>
    </border>
    <border>
      <left style="thin">
        <color rgb="FF757070"/>
      </left>
      <right style="thin">
        <color rgb="FF7B7B7B"/>
      </right>
      <top/>
      <bottom/>
      <diagonal/>
    </border>
    <border>
      <left style="thin">
        <color rgb="FF757070"/>
      </left>
      <right style="thin">
        <color rgb="FF7B7B7B"/>
      </right>
      <top/>
      <bottom/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 style="thin">
        <color rgb="FF757070"/>
      </top>
      <bottom style="thin">
        <color rgb="FFAEABAB"/>
      </bottom>
      <diagonal/>
    </border>
    <border>
      <left style="thin">
        <color rgb="FF7B7B7B"/>
      </left>
      <right style="thin">
        <color rgb="FF7B7B7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B7B7B"/>
      </bottom>
      <diagonal/>
    </border>
    <border>
      <left style="thin">
        <color rgb="FFAEABAB"/>
      </left>
      <right/>
      <top style="thin">
        <color rgb="FFAEABA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AEABAB"/>
      </top>
      <bottom style="thin">
        <color rgb="FF7B7B7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7B7B7B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B7B7B"/>
      </top>
      <bottom style="thin">
        <color rgb="FF757070"/>
      </bottom>
      <diagonal/>
    </border>
    <border>
      <left style="thin">
        <color rgb="FFAEABAB"/>
      </left>
      <right style="thin">
        <color rgb="FF7B7B7B"/>
      </right>
      <top style="thin">
        <color rgb="FF7B7B7B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7B7B7B"/>
      </bottom>
      <diagonal/>
    </border>
    <border>
      <left style="thin">
        <color rgb="FF757070"/>
      </left>
      <right/>
      <top style="thin">
        <color rgb="FFAEABAB"/>
      </top>
      <bottom/>
      <diagonal/>
    </border>
    <border>
      <left style="thin">
        <color rgb="FF7B7B7B"/>
      </left>
      <right/>
      <top/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/>
      <right/>
      <top/>
      <bottom style="thin">
        <color rgb="FFAEABAB"/>
      </bottom>
      <diagonal/>
    </border>
    <border>
      <left style="thin">
        <color theme="6" tint="-0.249977111117893"/>
      </left>
      <right/>
      <top style="thin">
        <color theme="6" tint="-0.249977111117893"/>
      </top>
      <bottom style="thin">
        <color rgb="FFAEABAB"/>
      </bottom>
      <diagonal/>
    </border>
    <border>
      <left style="thin">
        <color theme="6" tint="-0.249977111117893"/>
      </left>
      <right/>
      <top style="thin">
        <color rgb="FFAEABAB"/>
      </top>
      <bottom style="thin">
        <color rgb="FFAEABAB"/>
      </bottom>
      <diagonal/>
    </border>
    <border>
      <left style="thin">
        <color theme="6" tint="-0.249977111117893"/>
      </left>
      <right/>
      <top style="thin">
        <color rgb="FFAEABAB"/>
      </top>
      <bottom style="thin">
        <color theme="6" tint="-0.249977111117893"/>
      </bottom>
      <diagonal/>
    </border>
    <border>
      <left style="thin">
        <color theme="6" tint="-0.249977111117893"/>
      </left>
      <right/>
      <top/>
      <bottom style="thin">
        <color theme="6" tint="0.39997558519241921"/>
      </bottom>
      <diagonal/>
    </border>
    <border>
      <left style="thin">
        <color rgb="FF757070"/>
      </left>
      <right style="thin">
        <color rgb="FF757070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rgb="FF7B7B7B"/>
      </left>
      <right style="thin">
        <color theme="6" tint="-0.249977111117893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theme="0" tint="-0.34998626667073579"/>
      </bottom>
      <diagonal/>
    </border>
    <border>
      <left style="thin">
        <color theme="6" tint="-0.249977111117893"/>
      </left>
      <right/>
      <top style="thin">
        <color theme="6" tint="-0.249977111117893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49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9" borderId="38" xfId="0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1" fillId="9" borderId="40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34" xfId="0" applyFont="1" applyFill="1" applyBorder="1" applyAlignment="1">
      <alignment horizontal="center" vertical="center"/>
    </xf>
    <xf numFmtId="0" fontId="1" fillId="11" borderId="3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43" xfId="0" applyFont="1" applyFill="1" applyBorder="1" applyAlignment="1">
      <alignment horizontal="center" vertical="center"/>
    </xf>
    <xf numFmtId="0" fontId="1" fillId="11" borderId="44" xfId="0" applyFont="1" applyFill="1" applyBorder="1" applyAlignment="1">
      <alignment horizontal="center" vertical="center"/>
    </xf>
    <xf numFmtId="0" fontId="1" fillId="11" borderId="45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0" fontId="1" fillId="11" borderId="46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0" fontId="1" fillId="7" borderId="55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/>
    </xf>
    <xf numFmtId="0" fontId="1" fillId="7" borderId="57" xfId="0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7" borderId="58" xfId="0" applyFont="1" applyFill="1" applyBorder="1" applyAlignment="1">
      <alignment horizontal="center" vertical="center"/>
    </xf>
    <xf numFmtId="0" fontId="1" fillId="7" borderId="60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61" xfId="0" applyFont="1" applyFill="1" applyBorder="1" applyAlignment="1">
      <alignment horizontal="center" vertical="center"/>
    </xf>
    <xf numFmtId="0" fontId="1" fillId="7" borderId="62" xfId="0" applyFont="1" applyFill="1" applyBorder="1" applyAlignment="1">
      <alignment horizontal="center" vertical="center"/>
    </xf>
    <xf numFmtId="0" fontId="1" fillId="7" borderId="63" xfId="0" applyFont="1" applyFill="1" applyBorder="1" applyAlignment="1">
      <alignment horizontal="center" vertical="center"/>
    </xf>
    <xf numFmtId="0" fontId="1" fillId="9" borderId="64" xfId="0" applyFont="1" applyFill="1" applyBorder="1" applyAlignment="1">
      <alignment horizontal="center" vertical="center"/>
    </xf>
    <xf numFmtId="0" fontId="1" fillId="9" borderId="65" xfId="0" applyFont="1" applyFill="1" applyBorder="1" applyAlignment="1">
      <alignment horizontal="center" vertical="center"/>
    </xf>
    <xf numFmtId="0" fontId="1" fillId="9" borderId="58" xfId="0" applyFont="1" applyFill="1" applyBorder="1" applyAlignment="1">
      <alignment horizontal="center" vertical="center"/>
    </xf>
    <xf numFmtId="0" fontId="1" fillId="9" borderId="60" xfId="0" applyFont="1" applyFill="1" applyBorder="1" applyAlignment="1">
      <alignment horizontal="center" vertical="center"/>
    </xf>
    <xf numFmtId="0" fontId="1" fillId="9" borderId="63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11" borderId="58" xfId="0" applyFont="1" applyFill="1" applyBorder="1" applyAlignment="1">
      <alignment horizontal="center" vertical="center"/>
    </xf>
    <xf numFmtId="0" fontId="1" fillId="11" borderId="67" xfId="0" applyFont="1" applyFill="1" applyBorder="1" applyAlignment="1">
      <alignment horizontal="center" vertical="center"/>
    </xf>
    <xf numFmtId="0" fontId="1" fillId="4" borderId="68" xfId="0" applyFont="1" applyFill="1" applyBorder="1" applyAlignment="1">
      <alignment horizontal="center" vertical="center"/>
    </xf>
    <xf numFmtId="0" fontId="1" fillId="4" borderId="69" xfId="0" applyFont="1" applyFill="1" applyBorder="1" applyAlignment="1">
      <alignment horizontal="center" vertical="center"/>
    </xf>
    <xf numFmtId="0" fontId="1" fillId="4" borderId="70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vertical="center"/>
    </xf>
    <xf numFmtId="0" fontId="8" fillId="13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/>
    </xf>
    <xf numFmtId="0" fontId="1" fillId="7" borderId="73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11" borderId="72" xfId="0" applyFont="1" applyFill="1" applyBorder="1" applyAlignment="1">
      <alignment horizontal="center" vertical="center"/>
    </xf>
    <xf numFmtId="0" fontId="1" fillId="11" borderId="74" xfId="0" applyFont="1" applyFill="1" applyBorder="1" applyAlignment="1">
      <alignment horizontal="center" vertical="center"/>
    </xf>
    <xf numFmtId="0" fontId="4" fillId="0" borderId="75" xfId="0" applyFont="1" applyBorder="1" applyAlignment="1">
      <alignment vertical="center"/>
    </xf>
    <xf numFmtId="0" fontId="3" fillId="13" borderId="18" xfId="0" applyFont="1" applyFill="1" applyBorder="1" applyAlignment="1">
      <alignment vertical="center"/>
    </xf>
    <xf numFmtId="0" fontId="1" fillId="7" borderId="78" xfId="0" applyFont="1" applyFill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7" borderId="79" xfId="0" applyFont="1" applyFill="1" applyBorder="1" applyAlignment="1">
      <alignment horizontal="center" vertical="center"/>
    </xf>
    <xf numFmtId="0" fontId="1" fillId="7" borderId="8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17" borderId="76" xfId="0" applyFill="1" applyBorder="1" applyAlignment="1">
      <alignment horizontal="center" vertical="center"/>
    </xf>
    <xf numFmtId="0" fontId="1" fillId="7" borderId="83" xfId="0" applyFont="1" applyFill="1" applyBorder="1" applyAlignment="1">
      <alignment horizontal="center" vertical="center"/>
    </xf>
    <xf numFmtId="0" fontId="1" fillId="7" borderId="84" xfId="0" applyFont="1" applyFill="1" applyBorder="1" applyAlignment="1">
      <alignment horizontal="center" vertical="center"/>
    </xf>
    <xf numFmtId="0" fontId="1" fillId="7" borderId="81" xfId="0" applyFont="1" applyFill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7" borderId="86" xfId="0" applyFont="1" applyFill="1" applyBorder="1" applyAlignment="1">
      <alignment horizontal="center" vertical="center"/>
    </xf>
    <xf numFmtId="0" fontId="1" fillId="14" borderId="85" xfId="0" applyFont="1" applyFill="1" applyBorder="1" applyAlignment="1">
      <alignment horizontal="center" vertical="center"/>
    </xf>
    <xf numFmtId="0" fontId="1" fillId="14" borderId="87" xfId="0" applyFont="1" applyFill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18" borderId="84" xfId="0" applyFont="1" applyFill="1" applyBorder="1" applyAlignment="1">
      <alignment horizontal="center" vertical="center"/>
    </xf>
    <xf numFmtId="0" fontId="1" fillId="15" borderId="83" xfId="0" applyFon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9" borderId="88" xfId="0" applyFont="1" applyFill="1" applyBorder="1" applyAlignment="1">
      <alignment horizontal="center" vertical="center"/>
    </xf>
    <xf numFmtId="0" fontId="1" fillId="9" borderId="89" xfId="0" applyFont="1" applyFill="1" applyBorder="1" applyAlignment="1">
      <alignment horizontal="center" vertical="center"/>
    </xf>
    <xf numFmtId="0" fontId="1" fillId="18" borderId="81" xfId="0" applyFont="1" applyFill="1" applyBorder="1" applyAlignment="1">
      <alignment horizontal="center" vertical="center"/>
    </xf>
    <xf numFmtId="0" fontId="1" fillId="18" borderId="86" xfId="0" applyFont="1" applyFill="1" applyBorder="1" applyAlignment="1">
      <alignment horizontal="center" vertical="center"/>
    </xf>
    <xf numFmtId="0" fontId="1" fillId="15" borderId="85" xfId="0" applyFont="1" applyFill="1" applyBorder="1" applyAlignment="1">
      <alignment horizontal="center" vertical="center"/>
    </xf>
    <xf numFmtId="0" fontId="1" fillId="15" borderId="87" xfId="0" applyFont="1" applyFill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19" borderId="86" xfId="0" applyFont="1" applyFill="1" applyBorder="1" applyAlignment="1">
      <alignment horizontal="center" vertical="center"/>
    </xf>
    <xf numFmtId="0" fontId="1" fillId="16" borderId="85" xfId="0" applyFont="1" applyFill="1" applyBorder="1" applyAlignment="1">
      <alignment horizontal="center" vertical="center"/>
    </xf>
    <xf numFmtId="0" fontId="1" fillId="16" borderId="87" xfId="0" applyFont="1" applyFill="1" applyBorder="1" applyAlignment="1">
      <alignment horizontal="center" vertical="center"/>
    </xf>
    <xf numFmtId="0" fontId="1" fillId="19" borderId="9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8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1" fillId="4" borderId="47" xfId="0" applyFont="1" applyFill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1" fillId="2" borderId="52" xfId="0" applyFont="1" applyFill="1" applyBorder="1" applyAlignment="1">
      <alignment horizontal="center" vertical="center"/>
    </xf>
    <xf numFmtId="0" fontId="3" fillId="0" borderId="53" xfId="0" applyFont="1" applyBorder="1" applyAlignment="1">
      <alignment vertical="center"/>
    </xf>
    <xf numFmtId="0" fontId="3" fillId="0" borderId="5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E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3B24-51BA-4A0B-91AA-324C75414E54}">
  <dimension ref="A1:J1000"/>
  <sheetViews>
    <sheetView tabSelected="1" zoomScaleNormal="100" workbookViewId="0">
      <selection activeCell="J34" sqref="J34"/>
    </sheetView>
  </sheetViews>
  <sheetFormatPr defaultColWidth="14.42578125" defaultRowHeight="15"/>
  <cols>
    <col min="1" max="1" width="12.5703125" customWidth="1"/>
    <col min="2" max="2" width="15.5703125" customWidth="1"/>
    <col min="3" max="7" width="18.42578125" customWidth="1"/>
    <col min="8" max="8" width="14.28515625" customWidth="1"/>
    <col min="9" max="10" width="15.28515625" customWidth="1"/>
    <col min="11" max="26" width="8.7109375" customWidth="1"/>
  </cols>
  <sheetData>
    <row r="1" spans="1:10" ht="16.5">
      <c r="A1" s="137" t="s">
        <v>61</v>
      </c>
      <c r="B1" s="1" t="s">
        <v>1</v>
      </c>
      <c r="C1" s="2" t="s">
        <v>67</v>
      </c>
      <c r="D1" s="3" t="s">
        <v>68</v>
      </c>
      <c r="E1" s="3" t="s">
        <v>69</v>
      </c>
      <c r="F1" s="2" t="s">
        <v>77</v>
      </c>
      <c r="G1" s="3" t="s">
        <v>80</v>
      </c>
      <c r="H1" s="137" t="s">
        <v>7</v>
      </c>
      <c r="I1" s="95"/>
    </row>
    <row r="2" spans="1:10" ht="16.5">
      <c r="A2" s="140"/>
      <c r="B2" s="4" t="s">
        <v>8</v>
      </c>
      <c r="C2" s="4" t="s">
        <v>9</v>
      </c>
      <c r="D2" s="5" t="s">
        <v>70</v>
      </c>
      <c r="E2" s="5" t="s">
        <v>71</v>
      </c>
      <c r="F2" s="4" t="s">
        <v>9</v>
      </c>
      <c r="G2" s="5" t="s">
        <v>72</v>
      </c>
      <c r="H2" s="138"/>
      <c r="I2" s="96" t="s">
        <v>75</v>
      </c>
    </row>
    <row r="3" spans="1:10" ht="16.5">
      <c r="A3" s="140"/>
      <c r="B3" s="6" t="s">
        <v>12</v>
      </c>
      <c r="C3" s="6" t="s">
        <v>63</v>
      </c>
      <c r="D3" s="7" t="s">
        <v>65</v>
      </c>
      <c r="E3" s="7" t="s">
        <v>73</v>
      </c>
      <c r="F3" s="6" t="s">
        <v>78</v>
      </c>
      <c r="G3" s="7" t="s">
        <v>74</v>
      </c>
      <c r="H3" s="138"/>
      <c r="I3" s="97" t="s">
        <v>76</v>
      </c>
    </row>
    <row r="4" spans="1:10" ht="16.5">
      <c r="A4" s="141"/>
      <c r="B4" s="8" t="s">
        <v>19</v>
      </c>
      <c r="C4" s="8" t="s">
        <v>64</v>
      </c>
      <c r="D4" s="9" t="s">
        <v>66</v>
      </c>
      <c r="E4" s="9" t="s">
        <v>22</v>
      </c>
      <c r="F4" s="8" t="s">
        <v>79</v>
      </c>
      <c r="G4" s="9" t="s">
        <v>22</v>
      </c>
      <c r="H4" s="139"/>
      <c r="I4" s="107"/>
    </row>
    <row r="5" spans="1:10" ht="16.5">
      <c r="A5" s="142" t="s">
        <v>25</v>
      </c>
      <c r="B5" s="10" t="s">
        <v>24</v>
      </c>
      <c r="C5" s="11"/>
      <c r="D5" s="11">
        <v>3</v>
      </c>
      <c r="E5" s="98">
        <v>3</v>
      </c>
      <c r="F5" s="11"/>
      <c r="G5" s="108">
        <v>5</v>
      </c>
      <c r="H5" s="114">
        <f>SUM(C5:G5)+'2월'!I5</f>
        <v>28</v>
      </c>
      <c r="I5" s="115" t="str">
        <f t="shared" ref="I5:I32" si="0">IF(H5&gt;=15,"O","X")</f>
        <v>O</v>
      </c>
    </row>
    <row r="6" spans="1:10" ht="16.5">
      <c r="A6" s="140"/>
      <c r="B6" s="15" t="s">
        <v>26</v>
      </c>
      <c r="C6" s="16"/>
      <c r="D6" s="16"/>
      <c r="E6" s="99">
        <v>3</v>
      </c>
      <c r="F6" s="16">
        <v>2</v>
      </c>
      <c r="G6" s="109">
        <v>1</v>
      </c>
      <c r="H6" s="117">
        <f>SUM(C6:G6)+'2월'!I6</f>
        <v>19</v>
      </c>
      <c r="I6" s="117" t="str">
        <f t="shared" si="0"/>
        <v>O</v>
      </c>
    </row>
    <row r="7" spans="1:10" ht="16.5">
      <c r="A7" s="140"/>
      <c r="B7" s="15" t="s">
        <v>21</v>
      </c>
      <c r="C7" s="20"/>
      <c r="D7" s="20">
        <v>3</v>
      </c>
      <c r="E7" s="100">
        <v>3</v>
      </c>
      <c r="F7" s="20">
        <v>1</v>
      </c>
      <c r="G7" s="110"/>
      <c r="H7" s="118">
        <f>SUM(C7:G7)+'2월'!I7</f>
        <v>23</v>
      </c>
      <c r="I7" s="119" t="str">
        <f t="shared" si="0"/>
        <v>O</v>
      </c>
    </row>
    <row r="8" spans="1:10" ht="16.5">
      <c r="A8" s="140"/>
      <c r="B8" s="15" t="s">
        <v>27</v>
      </c>
      <c r="C8" s="16"/>
      <c r="D8" s="16"/>
      <c r="E8" s="99">
        <v>3</v>
      </c>
      <c r="F8" s="16"/>
      <c r="G8" s="109"/>
      <c r="H8" s="121">
        <f>SUM(C8:G8)+'2월'!I8</f>
        <v>9</v>
      </c>
      <c r="I8" s="117" t="str">
        <f t="shared" si="0"/>
        <v>X</v>
      </c>
    </row>
    <row r="9" spans="1:10" ht="16.5">
      <c r="A9" s="143"/>
      <c r="B9" s="25" t="s">
        <v>23</v>
      </c>
      <c r="C9" s="26"/>
      <c r="D9" s="26">
        <v>3</v>
      </c>
      <c r="E9" s="101"/>
      <c r="F9" s="26">
        <v>1</v>
      </c>
      <c r="G9" s="111">
        <v>1</v>
      </c>
      <c r="H9" s="116">
        <f>SUM(C9:G9)+'2월'!I9</f>
        <v>14</v>
      </c>
      <c r="I9" s="120" t="str">
        <f t="shared" si="0"/>
        <v>X</v>
      </c>
    </row>
    <row r="10" spans="1:10" ht="16.5">
      <c r="A10" s="142" t="s">
        <v>28</v>
      </c>
      <c r="B10" s="30" t="s">
        <v>29</v>
      </c>
      <c r="C10" s="31">
        <v>1</v>
      </c>
      <c r="D10" s="32"/>
      <c r="E10" s="32"/>
      <c r="F10" s="126"/>
      <c r="G10" s="125">
        <v>5</v>
      </c>
      <c r="H10" s="122">
        <f>SUM(C10:G10)+'2월'!I10</f>
        <v>14</v>
      </c>
      <c r="I10" s="123" t="str">
        <f t="shared" si="0"/>
        <v>X</v>
      </c>
    </row>
    <row r="11" spans="1:10" ht="16.5">
      <c r="A11" s="140"/>
      <c r="B11" s="36" t="s">
        <v>30</v>
      </c>
      <c r="C11" s="17"/>
      <c r="D11" s="37"/>
      <c r="E11" s="37"/>
      <c r="F11" s="89"/>
      <c r="G11" s="124"/>
      <c r="H11" s="121">
        <f>SUM(C11:G11)+'2월'!I11</f>
        <v>5</v>
      </c>
      <c r="I11" s="117" t="str">
        <f t="shared" si="0"/>
        <v>X</v>
      </c>
    </row>
    <row r="12" spans="1:10" ht="16.5">
      <c r="A12" s="140"/>
      <c r="B12" s="36" t="s">
        <v>31</v>
      </c>
      <c r="C12" s="40"/>
      <c r="D12" s="41">
        <v>3</v>
      </c>
      <c r="E12" s="41">
        <v>3</v>
      </c>
      <c r="F12" s="40">
        <v>1</v>
      </c>
      <c r="G12" s="48">
        <v>5</v>
      </c>
      <c r="H12" s="128">
        <f>SUM(C12:G12)+'2월'!I12</f>
        <v>25</v>
      </c>
      <c r="I12" s="129" t="str">
        <f t="shared" si="0"/>
        <v>O</v>
      </c>
    </row>
    <row r="13" spans="1:10" ht="16.5">
      <c r="A13" s="140"/>
      <c r="B13" s="36" t="s">
        <v>32</v>
      </c>
      <c r="C13" s="17">
        <v>2</v>
      </c>
      <c r="D13" s="37"/>
      <c r="E13" s="37"/>
      <c r="F13" s="17"/>
      <c r="G13" s="102">
        <v>5</v>
      </c>
      <c r="H13" s="121">
        <f>SUM(C13:G13)+'2월'!I13</f>
        <v>9</v>
      </c>
      <c r="I13" s="117" t="str">
        <f t="shared" si="0"/>
        <v>X</v>
      </c>
      <c r="J13" s="112"/>
    </row>
    <row r="14" spans="1:10" ht="16.5">
      <c r="A14" s="140"/>
      <c r="B14" s="36" t="s">
        <v>33</v>
      </c>
      <c r="C14" s="40"/>
      <c r="D14" s="41">
        <v>3</v>
      </c>
      <c r="E14" s="41"/>
      <c r="F14" s="40"/>
      <c r="G14" s="48">
        <v>5</v>
      </c>
      <c r="H14" s="128">
        <f>SUM(C14:G14)+'2월'!I14</f>
        <v>10</v>
      </c>
      <c r="I14" s="129" t="str">
        <f t="shared" si="0"/>
        <v>X</v>
      </c>
    </row>
    <row r="15" spans="1:10" ht="16.5">
      <c r="A15" s="140"/>
      <c r="B15" s="36" t="s">
        <v>34</v>
      </c>
      <c r="C15" s="17"/>
      <c r="D15" s="37"/>
      <c r="E15" s="37"/>
      <c r="F15" s="17"/>
      <c r="G15" s="102">
        <v>1</v>
      </c>
      <c r="H15" s="121">
        <f>SUM(C15:G15)+'2월'!I15</f>
        <v>5</v>
      </c>
      <c r="I15" s="117" t="str">
        <f t="shared" si="0"/>
        <v>X</v>
      </c>
    </row>
    <row r="16" spans="1:10" ht="16.5">
      <c r="A16" s="140"/>
      <c r="B16" s="36" t="s">
        <v>35</v>
      </c>
      <c r="C16" s="40"/>
      <c r="D16" s="41"/>
      <c r="E16" s="41"/>
      <c r="F16" s="40"/>
      <c r="G16" s="48"/>
      <c r="H16" s="128">
        <f>SUM(C16:G16)+'2월'!I16</f>
        <v>0</v>
      </c>
      <c r="I16" s="129" t="str">
        <f t="shared" si="0"/>
        <v>X</v>
      </c>
    </row>
    <row r="17" spans="1:9" ht="16.5">
      <c r="A17" s="140"/>
      <c r="B17" s="36" t="s">
        <v>36</v>
      </c>
      <c r="C17" s="17">
        <v>1</v>
      </c>
      <c r="D17" s="37">
        <v>1</v>
      </c>
      <c r="E17" s="37">
        <v>3</v>
      </c>
      <c r="F17" s="17">
        <v>1</v>
      </c>
      <c r="G17" s="102">
        <v>1</v>
      </c>
      <c r="H17" s="121">
        <f>SUM(C17:G17)+'2월'!I17</f>
        <v>25</v>
      </c>
      <c r="I17" s="117" t="str">
        <f t="shared" si="0"/>
        <v>O</v>
      </c>
    </row>
    <row r="18" spans="1:9" ht="16.5">
      <c r="A18" s="140"/>
      <c r="B18" s="36" t="s">
        <v>37</v>
      </c>
      <c r="C18" s="40"/>
      <c r="D18" s="48"/>
      <c r="E18" s="49">
        <v>1</v>
      </c>
      <c r="F18" s="40"/>
      <c r="G18" s="48"/>
      <c r="H18" s="127">
        <f>SUM(C18:G18)+'2월'!I18</f>
        <v>5</v>
      </c>
      <c r="I18" s="130" t="str">
        <f t="shared" si="0"/>
        <v>X</v>
      </c>
    </row>
    <row r="19" spans="1:9" ht="16.5">
      <c r="A19" s="140"/>
      <c r="B19" s="52" t="s">
        <v>38</v>
      </c>
      <c r="C19" s="53"/>
      <c r="D19" s="54"/>
      <c r="E19" s="55"/>
      <c r="F19" s="53"/>
      <c r="G19" s="103"/>
      <c r="H19" s="131">
        <f>SUM(C19:G19)+'2월'!I19</f>
        <v>3</v>
      </c>
      <c r="I19" s="132" t="str">
        <f t="shared" si="0"/>
        <v>X</v>
      </c>
    </row>
    <row r="20" spans="1:9" ht="16.5">
      <c r="A20" s="140"/>
      <c r="B20" s="57" t="s">
        <v>39</v>
      </c>
      <c r="C20" s="58"/>
      <c r="D20" s="59"/>
      <c r="E20" s="60"/>
      <c r="F20" s="58"/>
      <c r="G20" s="104">
        <v>5</v>
      </c>
      <c r="H20" s="133">
        <f>SUM(C20:G20)+'2월'!I20</f>
        <v>18</v>
      </c>
      <c r="I20" s="134" t="str">
        <f t="shared" si="0"/>
        <v>O</v>
      </c>
    </row>
    <row r="21" spans="1:9" ht="15.75" customHeight="1">
      <c r="A21" s="140"/>
      <c r="B21" s="57" t="s">
        <v>40</v>
      </c>
      <c r="C21" s="17"/>
      <c r="D21" s="18">
        <v>3</v>
      </c>
      <c r="E21" s="16"/>
      <c r="F21" s="17"/>
      <c r="G21" s="99"/>
      <c r="H21" s="121">
        <f>SUM(C21:G21)+'2월'!I21</f>
        <v>9</v>
      </c>
      <c r="I21" s="117" t="str">
        <f t="shared" si="0"/>
        <v>X</v>
      </c>
    </row>
    <row r="22" spans="1:9" ht="15.75" customHeight="1">
      <c r="A22" s="140"/>
      <c r="B22" s="57" t="s">
        <v>41</v>
      </c>
      <c r="C22" s="58"/>
      <c r="D22" s="59"/>
      <c r="E22" s="60"/>
      <c r="F22" s="58"/>
      <c r="G22" s="104"/>
      <c r="H22" s="133">
        <f>SUM(C22:G22)+'2월'!I22</f>
        <v>8</v>
      </c>
      <c r="I22" s="134" t="str">
        <f t="shared" si="0"/>
        <v>X</v>
      </c>
    </row>
    <row r="23" spans="1:9" ht="15.75" customHeight="1">
      <c r="A23" s="140"/>
      <c r="B23" s="57" t="s">
        <v>42</v>
      </c>
      <c r="C23" s="17"/>
      <c r="D23" s="18"/>
      <c r="E23" s="16"/>
      <c r="F23" s="17"/>
      <c r="G23" s="99"/>
      <c r="H23" s="121">
        <f>SUM(C23:G23)+'2월'!I23</f>
        <v>0</v>
      </c>
      <c r="I23" s="117" t="str">
        <f t="shared" si="0"/>
        <v>X</v>
      </c>
    </row>
    <row r="24" spans="1:9" ht="15.75" customHeight="1">
      <c r="A24" s="140"/>
      <c r="B24" s="57" t="s">
        <v>43</v>
      </c>
      <c r="C24" s="58">
        <v>1</v>
      </c>
      <c r="D24" s="59"/>
      <c r="E24" s="60"/>
      <c r="F24" s="58"/>
      <c r="G24" s="104"/>
      <c r="H24" s="133">
        <f>SUM(C24:G24)+'2월'!I24</f>
        <v>9</v>
      </c>
      <c r="I24" s="134" t="str">
        <f t="shared" si="0"/>
        <v>X</v>
      </c>
    </row>
    <row r="25" spans="1:9" ht="15.75" customHeight="1">
      <c r="A25" s="140"/>
      <c r="B25" s="57" t="s">
        <v>44</v>
      </c>
      <c r="C25" s="17">
        <v>1</v>
      </c>
      <c r="D25" s="18">
        <v>1</v>
      </c>
      <c r="E25" s="16">
        <v>1</v>
      </c>
      <c r="F25" s="17">
        <v>1</v>
      </c>
      <c r="G25" s="99">
        <v>5</v>
      </c>
      <c r="H25" s="121">
        <f>SUM(C25:G25)+'2월'!I25</f>
        <v>15</v>
      </c>
      <c r="I25" s="117" t="str">
        <f t="shared" si="0"/>
        <v>O</v>
      </c>
    </row>
    <row r="26" spans="1:9" ht="15.75" customHeight="1">
      <c r="A26" s="140"/>
      <c r="B26" s="57" t="s">
        <v>45</v>
      </c>
      <c r="C26" s="60"/>
      <c r="D26" s="60"/>
      <c r="E26" s="60"/>
      <c r="F26" s="60"/>
      <c r="G26" s="104"/>
      <c r="H26" s="133">
        <f>SUM(C26:G26)+'2월'!I26</f>
        <v>8</v>
      </c>
      <c r="I26" s="134" t="str">
        <f t="shared" si="0"/>
        <v>X</v>
      </c>
    </row>
    <row r="27" spans="1:9" ht="15.75" customHeight="1">
      <c r="A27" s="140"/>
      <c r="B27" s="57" t="s">
        <v>46</v>
      </c>
      <c r="C27" s="16">
        <v>1</v>
      </c>
      <c r="D27" s="16"/>
      <c r="E27" s="16"/>
      <c r="F27" s="16"/>
      <c r="G27" s="99"/>
      <c r="H27" s="121">
        <f>SUM(C27:G27)+'2월'!I27</f>
        <v>12</v>
      </c>
      <c r="I27" s="117" t="str">
        <f t="shared" si="0"/>
        <v>X</v>
      </c>
    </row>
    <row r="28" spans="1:9" ht="15.75" customHeight="1">
      <c r="A28" s="140"/>
      <c r="B28" s="57" t="s">
        <v>20</v>
      </c>
      <c r="C28" s="60">
        <v>1</v>
      </c>
      <c r="D28" s="60"/>
      <c r="E28" s="60">
        <v>3</v>
      </c>
      <c r="F28" s="60"/>
      <c r="G28" s="104"/>
      <c r="H28" s="133">
        <f>SUM(C28:G28)+'2월'!I28</f>
        <v>13</v>
      </c>
      <c r="I28" s="134" t="str">
        <f t="shared" si="0"/>
        <v>X</v>
      </c>
    </row>
    <row r="29" spans="1:9" ht="15.75" customHeight="1">
      <c r="A29" s="140"/>
      <c r="B29" s="57" t="s">
        <v>47</v>
      </c>
      <c r="C29" s="16"/>
      <c r="D29" s="16">
        <v>3</v>
      </c>
      <c r="E29" s="16"/>
      <c r="F29" s="16"/>
      <c r="G29" s="99"/>
      <c r="H29" s="121">
        <f>SUM(C29:G29)+'2월'!I29</f>
        <v>12</v>
      </c>
      <c r="I29" s="117" t="str">
        <f t="shared" si="0"/>
        <v>X</v>
      </c>
    </row>
    <row r="30" spans="1:9" ht="15.75" customHeight="1">
      <c r="A30" s="140"/>
      <c r="B30" s="57" t="s">
        <v>48</v>
      </c>
      <c r="C30" s="60"/>
      <c r="D30" s="60"/>
      <c r="E30" s="60"/>
      <c r="F30" s="60"/>
      <c r="G30" s="104"/>
      <c r="H30" s="133">
        <f>SUM(C30:G30)+'2월'!I30</f>
        <v>3</v>
      </c>
      <c r="I30" s="134" t="str">
        <f t="shared" si="0"/>
        <v>X</v>
      </c>
    </row>
    <row r="31" spans="1:9" ht="15.75" customHeight="1">
      <c r="A31" s="140"/>
      <c r="B31" s="57" t="s">
        <v>49</v>
      </c>
      <c r="C31" s="16">
        <v>1</v>
      </c>
      <c r="D31" s="16"/>
      <c r="E31" s="16">
        <v>1</v>
      </c>
      <c r="F31" s="16">
        <v>1</v>
      </c>
      <c r="G31" s="99"/>
      <c r="H31" s="121">
        <f>SUM(C31:G31)+'2월'!I31</f>
        <v>17</v>
      </c>
      <c r="I31" s="117" t="str">
        <f t="shared" si="0"/>
        <v>O</v>
      </c>
    </row>
    <row r="32" spans="1:9" ht="15.75" customHeight="1">
      <c r="A32" s="143"/>
      <c r="B32" s="63" t="s">
        <v>50</v>
      </c>
      <c r="C32" s="64"/>
      <c r="D32" s="64"/>
      <c r="E32" s="64"/>
      <c r="F32" s="64"/>
      <c r="G32" s="105"/>
      <c r="H32" s="136">
        <f>SUM(C32:G32)+'2월'!I32</f>
        <v>8</v>
      </c>
      <c r="I32" s="135" t="str">
        <f t="shared" si="0"/>
        <v>X</v>
      </c>
    </row>
    <row r="33" spans="1:9" ht="15.75" customHeight="1">
      <c r="A33" s="144" t="s">
        <v>51</v>
      </c>
      <c r="B33" s="145"/>
      <c r="C33" s="69">
        <f t="shared" ref="C33:E33" si="1">COUNT(C5:C32)</f>
        <v>8</v>
      </c>
      <c r="D33" s="69">
        <f t="shared" si="1"/>
        <v>9</v>
      </c>
      <c r="E33" s="70">
        <f t="shared" si="1"/>
        <v>10</v>
      </c>
      <c r="F33" s="69">
        <f t="shared" ref="F33" si="2">COUNT(F5:F32)</f>
        <v>7</v>
      </c>
      <c r="G33" s="69">
        <f t="shared" ref="G33" si="3">COUNT(G5:G32)</f>
        <v>11</v>
      </c>
      <c r="H33" s="106"/>
      <c r="I33" s="113">
        <f>COUNTIF(I5:I32,"O")</f>
        <v>8</v>
      </c>
    </row>
    <row r="34" spans="1:9" ht="15.75" customHeight="1"/>
    <row r="35" spans="1:9" ht="15.75" customHeight="1"/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5">
    <mergeCell ref="H1:H4"/>
    <mergeCell ref="A1:A4"/>
    <mergeCell ref="A5:A9"/>
    <mergeCell ref="A10:A32"/>
    <mergeCell ref="A33:B33"/>
  </mergeCells>
  <phoneticPr fontId="6" type="noConversion"/>
  <pageMargins left="0.7" right="0.7" top="0.75" bottom="0.75" header="0.3" footer="0.3"/>
  <ignoredErrors>
    <ignoredError sqref="C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C1" sqref="C1:H1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8" width="18.42578125" customWidth="1"/>
    <col min="9" max="9" width="15.28515625" customWidth="1"/>
    <col min="10" max="26" width="8.7109375" customWidth="1"/>
  </cols>
  <sheetData>
    <row r="1" spans="1:9" ht="16.5">
      <c r="A1" s="137" t="s">
        <v>62</v>
      </c>
      <c r="B1" s="1" t="s">
        <v>1</v>
      </c>
      <c r="C1" s="2" t="s">
        <v>2</v>
      </c>
      <c r="D1" s="2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137" t="s">
        <v>7</v>
      </c>
    </row>
    <row r="2" spans="1:9" ht="16.5">
      <c r="A2" s="140"/>
      <c r="B2" s="4" t="s">
        <v>8</v>
      </c>
      <c r="C2" s="4" t="s">
        <v>9</v>
      </c>
      <c r="D2" s="4" t="s">
        <v>9</v>
      </c>
      <c r="E2" s="5" t="s">
        <v>10</v>
      </c>
      <c r="F2" s="4" t="s">
        <v>9</v>
      </c>
      <c r="G2" s="5" t="s">
        <v>11</v>
      </c>
      <c r="H2" s="4" t="s">
        <v>9</v>
      </c>
      <c r="I2" s="140"/>
    </row>
    <row r="3" spans="1:9" ht="16.5">
      <c r="A3" s="140"/>
      <c r="B3" s="6" t="s">
        <v>12</v>
      </c>
      <c r="C3" s="6" t="s">
        <v>13</v>
      </c>
      <c r="D3" s="6" t="s">
        <v>14</v>
      </c>
      <c r="E3" s="7" t="s">
        <v>15</v>
      </c>
      <c r="F3" s="6" t="s">
        <v>16</v>
      </c>
      <c r="G3" s="7" t="s">
        <v>17</v>
      </c>
      <c r="H3" s="6" t="s">
        <v>18</v>
      </c>
      <c r="I3" s="140"/>
    </row>
    <row r="4" spans="1:9" ht="16.5">
      <c r="A4" s="141"/>
      <c r="B4" s="8" t="s">
        <v>19</v>
      </c>
      <c r="C4" s="8" t="s">
        <v>20</v>
      </c>
      <c r="D4" s="8" t="s">
        <v>21</v>
      </c>
      <c r="E4" s="9" t="s">
        <v>22</v>
      </c>
      <c r="F4" s="8" t="s">
        <v>23</v>
      </c>
      <c r="G4" s="9" t="s">
        <v>22</v>
      </c>
      <c r="H4" s="8" t="s">
        <v>24</v>
      </c>
      <c r="I4" s="141"/>
    </row>
    <row r="5" spans="1:9" ht="16.5">
      <c r="A5" s="142" t="s">
        <v>25</v>
      </c>
      <c r="B5" s="10" t="s">
        <v>24</v>
      </c>
      <c r="C5" s="11"/>
      <c r="D5" s="11">
        <v>1</v>
      </c>
      <c r="E5" s="11">
        <v>3</v>
      </c>
      <c r="F5" s="12">
        <v>1</v>
      </c>
      <c r="G5" s="13">
        <v>5</v>
      </c>
      <c r="H5" s="12">
        <v>2</v>
      </c>
      <c r="I5" s="14">
        <f>SUM(C5:H5)+'1월'!G5</f>
        <v>17</v>
      </c>
    </row>
    <row r="6" spans="1:9" ht="16.5">
      <c r="A6" s="140"/>
      <c r="B6" s="15" t="s">
        <v>26</v>
      </c>
      <c r="C6" s="16"/>
      <c r="D6" s="16"/>
      <c r="E6" s="16"/>
      <c r="F6" s="17"/>
      <c r="G6" s="18">
        <v>5</v>
      </c>
      <c r="H6" s="17">
        <v>1</v>
      </c>
      <c r="I6" s="19">
        <f>SUM(C6:H6)+'1월'!G6</f>
        <v>13</v>
      </c>
    </row>
    <row r="7" spans="1:9" ht="16.5">
      <c r="A7" s="140"/>
      <c r="B7" s="15" t="s">
        <v>21</v>
      </c>
      <c r="C7" s="20"/>
      <c r="D7" s="20">
        <v>2</v>
      </c>
      <c r="E7" s="20">
        <v>3</v>
      </c>
      <c r="F7" s="21"/>
      <c r="G7" s="22">
        <v>5</v>
      </c>
      <c r="H7" s="21">
        <v>1</v>
      </c>
      <c r="I7" s="23">
        <f>SUM(C7:H7)+'1월'!G7</f>
        <v>16</v>
      </c>
    </row>
    <row r="8" spans="1:9" ht="16.5">
      <c r="A8" s="140"/>
      <c r="B8" s="15" t="s">
        <v>27</v>
      </c>
      <c r="C8" s="16"/>
      <c r="D8" s="16"/>
      <c r="E8" s="16">
        <v>3</v>
      </c>
      <c r="F8" s="17"/>
      <c r="G8" s="18"/>
      <c r="H8" s="17"/>
      <c r="I8" s="24">
        <f>SUM(C8:H8)+'1월'!G8</f>
        <v>6</v>
      </c>
    </row>
    <row r="9" spans="1:9" ht="16.5">
      <c r="A9" s="143"/>
      <c r="B9" s="25" t="s">
        <v>23</v>
      </c>
      <c r="C9" s="26"/>
      <c r="D9" s="26">
        <v>1</v>
      </c>
      <c r="E9" s="26">
        <v>1</v>
      </c>
      <c r="F9" s="27">
        <v>2</v>
      </c>
      <c r="G9" s="28"/>
      <c r="H9" s="27"/>
      <c r="I9" s="29">
        <f>SUM(C9:H9)+'1월'!G9</f>
        <v>9</v>
      </c>
    </row>
    <row r="10" spans="1:9" ht="16.5">
      <c r="A10" s="142" t="s">
        <v>28</v>
      </c>
      <c r="B10" s="30" t="s">
        <v>29</v>
      </c>
      <c r="C10" s="31"/>
      <c r="D10" s="32"/>
      <c r="E10" s="32"/>
      <c r="F10" s="33"/>
      <c r="G10" s="33">
        <v>5</v>
      </c>
      <c r="H10" s="34">
        <v>1</v>
      </c>
      <c r="I10" s="35">
        <f>SUM(C10:H10)+'1월'!G10</f>
        <v>8</v>
      </c>
    </row>
    <row r="11" spans="1:9" ht="16.5">
      <c r="A11" s="140"/>
      <c r="B11" s="36" t="s">
        <v>30</v>
      </c>
      <c r="C11" s="17"/>
      <c r="D11" s="37"/>
      <c r="E11" s="37">
        <v>1</v>
      </c>
      <c r="F11" s="38"/>
      <c r="G11" s="18"/>
      <c r="H11" s="17"/>
      <c r="I11" s="39">
        <f>SUM(C11:H11)+'1월'!G11</f>
        <v>5</v>
      </c>
    </row>
    <row r="12" spans="1:9" ht="16.5">
      <c r="A12" s="140"/>
      <c r="B12" s="36" t="s">
        <v>31</v>
      </c>
      <c r="C12" s="40">
        <v>1</v>
      </c>
      <c r="D12" s="41"/>
      <c r="E12" s="41">
        <v>3</v>
      </c>
      <c r="F12" s="42"/>
      <c r="G12" s="42"/>
      <c r="H12" s="42">
        <v>1</v>
      </c>
      <c r="I12" s="43">
        <f>SUM(C12:H12)+'1월'!G12</f>
        <v>13</v>
      </c>
    </row>
    <row r="13" spans="1:9" ht="16.5">
      <c r="A13" s="140"/>
      <c r="B13" s="36" t="s">
        <v>32</v>
      </c>
      <c r="C13" s="17"/>
      <c r="D13" s="37"/>
      <c r="E13" s="37"/>
      <c r="F13" s="38"/>
      <c r="G13" s="38">
        <v>1</v>
      </c>
      <c r="H13" s="38">
        <v>1</v>
      </c>
      <c r="I13" s="44">
        <f>SUM(C13:H13)+'1월'!G13</f>
        <v>2</v>
      </c>
    </row>
    <row r="14" spans="1:9" ht="16.5">
      <c r="A14" s="140"/>
      <c r="B14" s="36" t="s">
        <v>33</v>
      </c>
      <c r="C14" s="40"/>
      <c r="D14" s="41">
        <v>1</v>
      </c>
      <c r="E14" s="41">
        <v>1</v>
      </c>
      <c r="F14" s="42"/>
      <c r="G14" s="42"/>
      <c r="H14" s="42"/>
      <c r="I14" s="45">
        <f>SUM(C13:H13)+'1월'!G13</f>
        <v>2</v>
      </c>
    </row>
    <row r="15" spans="1:9" ht="16.5">
      <c r="A15" s="140"/>
      <c r="B15" s="36" t="s">
        <v>34</v>
      </c>
      <c r="C15" s="17"/>
      <c r="D15" s="37"/>
      <c r="E15" s="37">
        <v>1</v>
      </c>
      <c r="F15" s="38"/>
      <c r="G15" s="38"/>
      <c r="H15" s="38"/>
      <c r="I15" s="44">
        <f>SUM(C15:H15)+'1월'!G15</f>
        <v>4</v>
      </c>
    </row>
    <row r="16" spans="1:9" ht="16.5">
      <c r="A16" s="140"/>
      <c r="B16" s="36" t="s">
        <v>35</v>
      </c>
      <c r="C16" s="40"/>
      <c r="D16" s="41"/>
      <c r="E16" s="41"/>
      <c r="F16" s="42"/>
      <c r="G16" s="42"/>
      <c r="H16" s="42"/>
      <c r="I16" s="46">
        <f>SUM(C16:H16)+'1월'!G16</f>
        <v>0</v>
      </c>
    </row>
    <row r="17" spans="1:9" ht="16.5">
      <c r="A17" s="140"/>
      <c r="B17" s="36" t="s">
        <v>36</v>
      </c>
      <c r="C17" s="17"/>
      <c r="D17" s="37"/>
      <c r="E17" s="37">
        <v>3</v>
      </c>
      <c r="F17" s="38"/>
      <c r="G17" s="38">
        <v>5</v>
      </c>
      <c r="H17" s="38">
        <v>1</v>
      </c>
      <c r="I17" s="47">
        <f>SUM(C17:H17)+'1월'!G17</f>
        <v>18</v>
      </c>
    </row>
    <row r="18" spans="1:9" ht="16.5">
      <c r="A18" s="140"/>
      <c r="B18" s="36" t="s">
        <v>37</v>
      </c>
      <c r="C18" s="40"/>
      <c r="D18" s="48"/>
      <c r="E18" s="49"/>
      <c r="F18" s="42"/>
      <c r="G18" s="50"/>
      <c r="H18" s="42"/>
      <c r="I18" s="51">
        <f>SUM(C18:H18)+'1월'!G18</f>
        <v>4</v>
      </c>
    </row>
    <row r="19" spans="1:9" ht="16.5">
      <c r="A19" s="140"/>
      <c r="B19" s="52" t="s">
        <v>38</v>
      </c>
      <c r="C19" s="53"/>
      <c r="D19" s="54"/>
      <c r="E19" s="55"/>
      <c r="F19" s="53"/>
      <c r="G19" s="54"/>
      <c r="H19" s="53"/>
      <c r="I19" s="56">
        <f>SUM(C19:H19)+'1월'!G19</f>
        <v>3</v>
      </c>
    </row>
    <row r="20" spans="1:9" ht="16.5">
      <c r="A20" s="140"/>
      <c r="B20" s="57" t="s">
        <v>39</v>
      </c>
      <c r="C20" s="58"/>
      <c r="D20" s="59"/>
      <c r="E20" s="60">
        <v>1</v>
      </c>
      <c r="F20" s="58"/>
      <c r="G20" s="59">
        <v>5</v>
      </c>
      <c r="H20" s="58"/>
      <c r="I20" s="61">
        <f>SUM(C20:H20)+'1월'!G20</f>
        <v>13</v>
      </c>
    </row>
    <row r="21" spans="1:9" ht="15.75" customHeight="1">
      <c r="A21" s="140"/>
      <c r="B21" s="57" t="s">
        <v>40</v>
      </c>
      <c r="C21" s="17"/>
      <c r="D21" s="18"/>
      <c r="E21" s="16">
        <v>3</v>
      </c>
      <c r="F21" s="17"/>
      <c r="G21" s="18"/>
      <c r="H21" s="17"/>
      <c r="I21" s="47">
        <f>SUM(C21:H21)+'1월'!G21</f>
        <v>6</v>
      </c>
    </row>
    <row r="22" spans="1:9" ht="15.75" customHeight="1">
      <c r="A22" s="140"/>
      <c r="B22" s="57" t="s">
        <v>41</v>
      </c>
      <c r="C22" s="58"/>
      <c r="D22" s="59"/>
      <c r="E22" s="60"/>
      <c r="F22" s="58"/>
      <c r="G22" s="59">
        <v>5</v>
      </c>
      <c r="H22" s="58"/>
      <c r="I22" s="62">
        <f>SUM(C22:H22)+'1월'!G22</f>
        <v>8</v>
      </c>
    </row>
    <row r="23" spans="1:9" ht="15.75" customHeight="1">
      <c r="A23" s="140"/>
      <c r="B23" s="57" t="s">
        <v>42</v>
      </c>
      <c r="C23" s="17"/>
      <c r="D23" s="18"/>
      <c r="E23" s="16"/>
      <c r="F23" s="17"/>
      <c r="G23" s="18"/>
      <c r="H23" s="17"/>
      <c r="I23" s="39">
        <f>SUM(C23:H23)+'1월'!G23</f>
        <v>0</v>
      </c>
    </row>
    <row r="24" spans="1:9" ht="15.75" customHeight="1">
      <c r="A24" s="140"/>
      <c r="B24" s="57" t="s">
        <v>43</v>
      </c>
      <c r="C24" s="58"/>
      <c r="D24" s="59"/>
      <c r="E24" s="60"/>
      <c r="F24" s="58"/>
      <c r="G24" s="59"/>
      <c r="H24" s="58">
        <v>1</v>
      </c>
      <c r="I24" s="62">
        <f>SUM(C24:H24)+'1월'!G24</f>
        <v>8</v>
      </c>
    </row>
    <row r="25" spans="1:9" ht="15.75" customHeight="1">
      <c r="A25" s="140"/>
      <c r="B25" s="57" t="s">
        <v>44</v>
      </c>
      <c r="C25" s="17"/>
      <c r="D25" s="18"/>
      <c r="E25" s="16">
        <v>3</v>
      </c>
      <c r="F25" s="17"/>
      <c r="G25" s="18">
        <v>1</v>
      </c>
      <c r="H25" s="17"/>
      <c r="I25" s="44">
        <f>SUM(C25:H25)+'1월'!G25</f>
        <v>6</v>
      </c>
    </row>
    <row r="26" spans="1:9" ht="15.75" customHeight="1">
      <c r="A26" s="140"/>
      <c r="B26" s="57" t="s">
        <v>45</v>
      </c>
      <c r="C26" s="60"/>
      <c r="D26" s="60"/>
      <c r="E26" s="60"/>
      <c r="F26" s="58"/>
      <c r="G26" s="59">
        <v>5</v>
      </c>
      <c r="H26" s="58"/>
      <c r="I26" s="61">
        <f>SUM(C26:H26)+'1월'!G26</f>
        <v>8</v>
      </c>
    </row>
    <row r="27" spans="1:9" ht="15.75" customHeight="1">
      <c r="A27" s="140"/>
      <c r="B27" s="57" t="s">
        <v>46</v>
      </c>
      <c r="C27" s="16"/>
      <c r="D27" s="16"/>
      <c r="E27" s="16">
        <v>1</v>
      </c>
      <c r="F27" s="17"/>
      <c r="G27" s="18">
        <v>5</v>
      </c>
      <c r="H27" s="17"/>
      <c r="I27" s="47">
        <f>SUM(C27:H27)+'1월'!G27</f>
        <v>11</v>
      </c>
    </row>
    <row r="28" spans="1:9" ht="15.75" customHeight="1">
      <c r="A28" s="140"/>
      <c r="B28" s="57" t="s">
        <v>20</v>
      </c>
      <c r="C28" s="60">
        <v>2</v>
      </c>
      <c r="D28" s="60"/>
      <c r="E28" s="60"/>
      <c r="F28" s="58">
        <v>1</v>
      </c>
      <c r="G28" s="59"/>
      <c r="H28" s="58">
        <v>1</v>
      </c>
      <c r="I28" s="61">
        <f>SUM(C28:H28)+'1월'!G28</f>
        <v>9</v>
      </c>
    </row>
    <row r="29" spans="1:9" ht="15.75" customHeight="1">
      <c r="A29" s="140"/>
      <c r="B29" s="57" t="s">
        <v>47</v>
      </c>
      <c r="C29" s="16"/>
      <c r="D29" s="16"/>
      <c r="E29" s="16">
        <v>3</v>
      </c>
      <c r="F29" s="17"/>
      <c r="G29" s="18"/>
      <c r="H29" s="17"/>
      <c r="I29" s="47">
        <f>SUM(C29:H29)+'1월'!G29</f>
        <v>9</v>
      </c>
    </row>
    <row r="30" spans="1:9" ht="15.75" customHeight="1">
      <c r="A30" s="140"/>
      <c r="B30" s="57" t="s">
        <v>48</v>
      </c>
      <c r="C30" s="60"/>
      <c r="D30" s="60"/>
      <c r="E30" s="60">
        <v>3</v>
      </c>
      <c r="F30" s="58"/>
      <c r="G30" s="59"/>
      <c r="H30" s="58"/>
      <c r="I30" s="62">
        <f>SUM(C30:H30)+'1월'!G30</f>
        <v>3</v>
      </c>
    </row>
    <row r="31" spans="1:9" ht="15.75" customHeight="1">
      <c r="A31" s="140"/>
      <c r="B31" s="57" t="s">
        <v>49</v>
      </c>
      <c r="C31" s="16"/>
      <c r="D31" s="16"/>
      <c r="E31" s="16">
        <v>3</v>
      </c>
      <c r="F31" s="17"/>
      <c r="G31" s="18">
        <v>5</v>
      </c>
      <c r="H31" s="17">
        <v>1</v>
      </c>
      <c r="I31" s="44">
        <f>SUM(C31:H31)+'1월'!G31</f>
        <v>14</v>
      </c>
    </row>
    <row r="32" spans="1:9" ht="15.75" customHeight="1">
      <c r="A32" s="143"/>
      <c r="B32" s="63" t="s">
        <v>50</v>
      </c>
      <c r="C32" s="64"/>
      <c r="D32" s="64"/>
      <c r="E32" s="64"/>
      <c r="F32" s="65"/>
      <c r="G32" s="66">
        <v>5</v>
      </c>
      <c r="H32" s="67"/>
      <c r="I32" s="68">
        <f>SUM(C32:H32)+'1월'!G32</f>
        <v>8</v>
      </c>
    </row>
    <row r="33" spans="1:9" ht="15.75" customHeight="1">
      <c r="A33" s="144" t="s">
        <v>51</v>
      </c>
      <c r="B33" s="145"/>
      <c r="C33" s="69">
        <f t="shared" ref="C33:H33" si="0">COUNT(C5:C32)</f>
        <v>2</v>
      </c>
      <c r="D33" s="69">
        <f t="shared" si="0"/>
        <v>4</v>
      </c>
      <c r="E33" s="70">
        <f t="shared" si="0"/>
        <v>16</v>
      </c>
      <c r="F33" s="69">
        <f t="shared" si="0"/>
        <v>3</v>
      </c>
      <c r="G33" s="69">
        <f t="shared" si="0"/>
        <v>13</v>
      </c>
      <c r="H33" s="70">
        <f t="shared" si="0"/>
        <v>10</v>
      </c>
      <c r="I33" s="71"/>
    </row>
    <row r="34" spans="1:9" ht="15.75" customHeight="1"/>
    <row r="35" spans="1:9" ht="15.75" customHeight="1"/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5">
    <mergeCell ref="A1:A4"/>
    <mergeCell ref="I1:I4"/>
    <mergeCell ref="A5:A9"/>
    <mergeCell ref="A10:A32"/>
    <mergeCell ref="A33:B33"/>
  </mergeCells>
  <phoneticPr fontId="6" type="noConversion"/>
  <pageMargins left="0.7" right="0.7" top="0.75" bottom="0.75" header="0" footer="0"/>
  <pageSetup orientation="landscape"/>
  <ignoredErrors>
    <ignoredError sqref="C1:H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C1" sqref="C1:F1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6" width="18.42578125" customWidth="1"/>
    <col min="7" max="7" width="11.140625" customWidth="1"/>
    <col min="8" max="26" width="8.7109375" customWidth="1"/>
  </cols>
  <sheetData>
    <row r="1" spans="1:7" ht="16.5">
      <c r="A1" s="137" t="s">
        <v>0</v>
      </c>
      <c r="B1" s="1" t="s">
        <v>1</v>
      </c>
      <c r="C1" s="3" t="s">
        <v>52</v>
      </c>
      <c r="D1" s="2" t="s">
        <v>53</v>
      </c>
      <c r="E1" s="2" t="s">
        <v>54</v>
      </c>
      <c r="F1" s="3" t="s">
        <v>55</v>
      </c>
      <c r="G1" s="146" t="s">
        <v>7</v>
      </c>
    </row>
    <row r="2" spans="1:7" ht="16.5">
      <c r="A2" s="140"/>
      <c r="B2" s="4" t="s">
        <v>8</v>
      </c>
      <c r="C2" s="5" t="s">
        <v>56</v>
      </c>
      <c r="D2" s="4" t="s">
        <v>9</v>
      </c>
      <c r="E2" s="4" t="s">
        <v>9</v>
      </c>
      <c r="F2" s="5" t="s">
        <v>57</v>
      </c>
      <c r="G2" s="147"/>
    </row>
    <row r="3" spans="1:7" ht="16.5">
      <c r="A3" s="140"/>
      <c r="B3" s="6" t="s">
        <v>12</v>
      </c>
      <c r="C3" s="7" t="s">
        <v>56</v>
      </c>
      <c r="D3" s="6" t="s">
        <v>16</v>
      </c>
      <c r="E3" s="6" t="s">
        <v>58</v>
      </c>
      <c r="F3" s="7" t="s">
        <v>59</v>
      </c>
      <c r="G3" s="147"/>
    </row>
    <row r="4" spans="1:7" ht="16.5">
      <c r="A4" s="141"/>
      <c r="B4" s="8" t="s">
        <v>19</v>
      </c>
      <c r="C4" s="8" t="s">
        <v>22</v>
      </c>
      <c r="D4" s="8" t="s">
        <v>36</v>
      </c>
      <c r="E4" s="8" t="s">
        <v>29</v>
      </c>
      <c r="F4" s="8" t="s">
        <v>22</v>
      </c>
      <c r="G4" s="148"/>
    </row>
    <row r="5" spans="1:7" ht="16.5">
      <c r="A5" s="142" t="s">
        <v>25</v>
      </c>
      <c r="B5" s="10" t="s">
        <v>24</v>
      </c>
      <c r="C5" s="11">
        <v>3</v>
      </c>
      <c r="D5" s="72">
        <v>1</v>
      </c>
      <c r="E5" s="72"/>
      <c r="F5" s="73">
        <v>1</v>
      </c>
      <c r="G5" s="74">
        <f t="shared" ref="G5:G32" si="0">SUM(C5:F5)</f>
        <v>5</v>
      </c>
    </row>
    <row r="6" spans="1:7" ht="16.5">
      <c r="A6" s="140"/>
      <c r="B6" s="15" t="s">
        <v>26</v>
      </c>
      <c r="C6" s="16">
        <v>3</v>
      </c>
      <c r="D6" s="75">
        <v>1</v>
      </c>
      <c r="E6" s="75"/>
      <c r="F6" s="76">
        <v>3</v>
      </c>
      <c r="G6" s="37">
        <f t="shared" si="0"/>
        <v>7</v>
      </c>
    </row>
    <row r="7" spans="1:7" ht="16.5">
      <c r="A7" s="140"/>
      <c r="B7" s="15" t="s">
        <v>21</v>
      </c>
      <c r="C7" s="20">
        <v>3</v>
      </c>
      <c r="D7" s="77">
        <v>1</v>
      </c>
      <c r="E7" s="77"/>
      <c r="F7" s="78">
        <v>1</v>
      </c>
      <c r="G7" s="79">
        <f t="shared" si="0"/>
        <v>5</v>
      </c>
    </row>
    <row r="8" spans="1:7" ht="16.5">
      <c r="A8" s="140"/>
      <c r="B8" s="15" t="s">
        <v>27</v>
      </c>
      <c r="C8" s="16">
        <v>3</v>
      </c>
      <c r="D8" s="75"/>
      <c r="E8" s="75"/>
      <c r="F8" s="76"/>
      <c r="G8" s="37">
        <f t="shared" si="0"/>
        <v>3</v>
      </c>
    </row>
    <row r="9" spans="1:7" ht="16.5">
      <c r="A9" s="143"/>
      <c r="B9" s="25" t="s">
        <v>23</v>
      </c>
      <c r="C9" s="26">
        <v>3</v>
      </c>
      <c r="D9" s="80">
        <v>1</v>
      </c>
      <c r="E9" s="80"/>
      <c r="F9" s="81">
        <v>1</v>
      </c>
      <c r="G9" s="82">
        <f t="shared" si="0"/>
        <v>5</v>
      </c>
    </row>
    <row r="10" spans="1:7" ht="16.5">
      <c r="A10" s="142" t="s">
        <v>28</v>
      </c>
      <c r="B10" s="30" t="s">
        <v>29</v>
      </c>
      <c r="C10" s="83"/>
      <c r="D10" s="83"/>
      <c r="E10" s="83">
        <v>2</v>
      </c>
      <c r="F10" s="84"/>
      <c r="G10" s="32">
        <f t="shared" si="0"/>
        <v>2</v>
      </c>
    </row>
    <row r="11" spans="1:7" ht="16.5">
      <c r="A11" s="140"/>
      <c r="B11" s="36" t="s">
        <v>30</v>
      </c>
      <c r="C11" s="16">
        <v>3</v>
      </c>
      <c r="D11" s="75"/>
      <c r="E11" s="75"/>
      <c r="F11" s="76">
        <v>1</v>
      </c>
      <c r="G11" s="37">
        <f t="shared" si="0"/>
        <v>4</v>
      </c>
    </row>
    <row r="12" spans="1:7" ht="16.5">
      <c r="A12" s="140"/>
      <c r="B12" s="36" t="s">
        <v>31</v>
      </c>
      <c r="C12" s="85">
        <v>3</v>
      </c>
      <c r="D12" s="85">
        <v>1</v>
      </c>
      <c r="E12" s="85">
        <v>1</v>
      </c>
      <c r="F12" s="86">
        <v>3</v>
      </c>
      <c r="G12" s="41">
        <f t="shared" si="0"/>
        <v>8</v>
      </c>
    </row>
    <row r="13" spans="1:7" ht="16.5">
      <c r="A13" s="140"/>
      <c r="B13" s="36" t="s">
        <v>32</v>
      </c>
      <c r="C13" s="16"/>
      <c r="D13" s="75"/>
      <c r="E13" s="75"/>
      <c r="F13" s="76"/>
      <c r="G13" s="37">
        <f t="shared" si="0"/>
        <v>0</v>
      </c>
    </row>
    <row r="14" spans="1:7" ht="16.5">
      <c r="A14" s="140"/>
      <c r="B14" s="36" t="s">
        <v>33</v>
      </c>
      <c r="C14" s="85">
        <v>3</v>
      </c>
      <c r="D14" s="85">
        <v>1</v>
      </c>
      <c r="E14" s="85"/>
      <c r="F14" s="86"/>
      <c r="G14" s="41">
        <f t="shared" si="0"/>
        <v>4</v>
      </c>
    </row>
    <row r="15" spans="1:7" ht="16.5">
      <c r="A15" s="140"/>
      <c r="B15" s="36" t="s">
        <v>34</v>
      </c>
      <c r="C15" s="16"/>
      <c r="D15" s="75"/>
      <c r="E15" s="75"/>
      <c r="F15" s="76">
        <v>3</v>
      </c>
      <c r="G15" s="37">
        <f t="shared" si="0"/>
        <v>3</v>
      </c>
    </row>
    <row r="16" spans="1:7" ht="16.5">
      <c r="A16" s="140"/>
      <c r="B16" s="36" t="s">
        <v>35</v>
      </c>
      <c r="C16" s="85"/>
      <c r="D16" s="85"/>
      <c r="E16" s="85"/>
      <c r="F16" s="86"/>
      <c r="G16" s="41">
        <f t="shared" si="0"/>
        <v>0</v>
      </c>
    </row>
    <row r="17" spans="1:7" ht="16.5">
      <c r="A17" s="140"/>
      <c r="B17" s="36" t="s">
        <v>36</v>
      </c>
      <c r="C17" s="16">
        <v>3</v>
      </c>
      <c r="D17" s="75">
        <v>2</v>
      </c>
      <c r="E17" s="75">
        <v>1</v>
      </c>
      <c r="F17" s="76">
        <v>3</v>
      </c>
      <c r="G17" s="37">
        <f t="shared" si="0"/>
        <v>9</v>
      </c>
    </row>
    <row r="18" spans="1:7" ht="16.5">
      <c r="A18" s="140"/>
      <c r="B18" s="36" t="s">
        <v>37</v>
      </c>
      <c r="C18" s="85">
        <v>3</v>
      </c>
      <c r="D18" s="85"/>
      <c r="E18" s="85"/>
      <c r="F18" s="86">
        <v>1</v>
      </c>
      <c r="G18" s="87">
        <f t="shared" si="0"/>
        <v>4</v>
      </c>
    </row>
    <row r="19" spans="1:7" ht="16.5">
      <c r="A19" s="140"/>
      <c r="B19" s="52" t="s">
        <v>38</v>
      </c>
      <c r="C19" s="55">
        <v>3</v>
      </c>
      <c r="D19" s="88"/>
      <c r="E19" s="88"/>
      <c r="F19" s="88"/>
      <c r="G19" s="89">
        <f t="shared" si="0"/>
        <v>3</v>
      </c>
    </row>
    <row r="20" spans="1:7" ht="16.5">
      <c r="A20" s="140"/>
      <c r="B20" s="57" t="s">
        <v>39</v>
      </c>
      <c r="C20" s="60">
        <v>3</v>
      </c>
      <c r="D20" s="90"/>
      <c r="E20" s="90">
        <v>1</v>
      </c>
      <c r="F20" s="90">
        <v>3</v>
      </c>
      <c r="G20" s="58">
        <f t="shared" si="0"/>
        <v>7</v>
      </c>
    </row>
    <row r="21" spans="1:7" ht="15.75" customHeight="1">
      <c r="A21" s="140"/>
      <c r="B21" s="57" t="s">
        <v>40</v>
      </c>
      <c r="C21" s="16">
        <v>3</v>
      </c>
      <c r="D21" s="75"/>
      <c r="E21" s="75"/>
      <c r="F21" s="75"/>
      <c r="G21" s="17">
        <f t="shared" si="0"/>
        <v>3</v>
      </c>
    </row>
    <row r="22" spans="1:7" ht="15.75" customHeight="1">
      <c r="A22" s="140"/>
      <c r="B22" s="57" t="s">
        <v>41</v>
      </c>
      <c r="C22" s="60">
        <v>3</v>
      </c>
      <c r="D22" s="90"/>
      <c r="E22" s="90"/>
      <c r="F22" s="90"/>
      <c r="G22" s="58">
        <f t="shared" si="0"/>
        <v>3</v>
      </c>
    </row>
    <row r="23" spans="1:7" ht="15.75" customHeight="1">
      <c r="A23" s="140"/>
      <c r="B23" s="57" t="s">
        <v>42</v>
      </c>
      <c r="C23" s="16"/>
      <c r="D23" s="75"/>
      <c r="E23" s="75"/>
      <c r="F23" s="75"/>
      <c r="G23" s="17">
        <f t="shared" si="0"/>
        <v>0</v>
      </c>
    </row>
    <row r="24" spans="1:7" ht="15.75" customHeight="1">
      <c r="A24" s="140"/>
      <c r="B24" s="57" t="s">
        <v>43</v>
      </c>
      <c r="C24" s="60">
        <v>3</v>
      </c>
      <c r="D24" s="90"/>
      <c r="E24" s="90">
        <v>1</v>
      </c>
      <c r="F24" s="90">
        <v>3</v>
      </c>
      <c r="G24" s="58">
        <f t="shared" si="0"/>
        <v>7</v>
      </c>
    </row>
    <row r="25" spans="1:7" ht="15.75" customHeight="1">
      <c r="A25" s="140"/>
      <c r="B25" s="57" t="s">
        <v>44</v>
      </c>
      <c r="C25" s="16"/>
      <c r="D25" s="75"/>
      <c r="E25" s="75">
        <v>1</v>
      </c>
      <c r="F25" s="75">
        <v>1</v>
      </c>
      <c r="G25" s="17">
        <f t="shared" si="0"/>
        <v>2</v>
      </c>
    </row>
    <row r="26" spans="1:7" ht="15.75" customHeight="1">
      <c r="A26" s="140"/>
      <c r="B26" s="57" t="s">
        <v>45</v>
      </c>
      <c r="C26" s="60">
        <v>3</v>
      </c>
      <c r="D26" s="90"/>
      <c r="E26" s="90"/>
      <c r="F26" s="90"/>
      <c r="G26" s="58">
        <f t="shared" si="0"/>
        <v>3</v>
      </c>
    </row>
    <row r="27" spans="1:7" ht="15.75" customHeight="1">
      <c r="A27" s="140"/>
      <c r="B27" s="57" t="s">
        <v>46</v>
      </c>
      <c r="C27" s="16">
        <v>3</v>
      </c>
      <c r="D27" s="75"/>
      <c r="E27" s="75">
        <v>1</v>
      </c>
      <c r="F27" s="75">
        <v>1</v>
      </c>
      <c r="G27" s="17">
        <f t="shared" si="0"/>
        <v>5</v>
      </c>
    </row>
    <row r="28" spans="1:7" ht="15.75" customHeight="1">
      <c r="A28" s="140"/>
      <c r="B28" s="57" t="s">
        <v>20</v>
      </c>
      <c r="C28" s="60">
        <v>3</v>
      </c>
      <c r="D28" s="90">
        <v>1</v>
      </c>
      <c r="E28" s="90">
        <v>1</v>
      </c>
      <c r="F28" s="90"/>
      <c r="G28" s="58">
        <f t="shared" si="0"/>
        <v>5</v>
      </c>
    </row>
    <row r="29" spans="1:7" ht="15.75" customHeight="1">
      <c r="A29" s="140"/>
      <c r="B29" s="57" t="s">
        <v>47</v>
      </c>
      <c r="C29" s="16">
        <v>3</v>
      </c>
      <c r="D29" s="75"/>
      <c r="E29" s="75"/>
      <c r="F29" s="75">
        <v>3</v>
      </c>
      <c r="G29" s="17">
        <f t="shared" si="0"/>
        <v>6</v>
      </c>
    </row>
    <row r="30" spans="1:7" ht="15.75" customHeight="1">
      <c r="A30" s="140"/>
      <c r="B30" s="57" t="s">
        <v>48</v>
      </c>
      <c r="C30" s="60"/>
      <c r="D30" s="90"/>
      <c r="E30" s="90"/>
      <c r="F30" s="90"/>
      <c r="G30" s="58">
        <f t="shared" si="0"/>
        <v>0</v>
      </c>
    </row>
    <row r="31" spans="1:7" ht="15.75" customHeight="1">
      <c r="A31" s="140"/>
      <c r="B31" s="57" t="s">
        <v>49</v>
      </c>
      <c r="C31" s="16">
        <v>3</v>
      </c>
      <c r="D31" s="75">
        <v>1</v>
      </c>
      <c r="E31" s="75"/>
      <c r="F31" s="75">
        <v>1</v>
      </c>
      <c r="G31" s="17">
        <f t="shared" si="0"/>
        <v>5</v>
      </c>
    </row>
    <row r="32" spans="1:7" ht="15.75" customHeight="1">
      <c r="A32" s="143"/>
      <c r="B32" s="63" t="s">
        <v>50</v>
      </c>
      <c r="C32" s="64">
        <v>3</v>
      </c>
      <c r="D32" s="91"/>
      <c r="E32" s="91"/>
      <c r="F32" s="91"/>
      <c r="G32" s="67">
        <f t="shared" si="0"/>
        <v>3</v>
      </c>
    </row>
    <row r="33" spans="1:6" ht="15.75" customHeight="1">
      <c r="A33" s="144" t="s">
        <v>60</v>
      </c>
      <c r="B33" s="145"/>
      <c r="C33" s="92">
        <f t="shared" ref="C33:F33" si="1">COUNT(C5:C32)</f>
        <v>21</v>
      </c>
      <c r="D33" s="93">
        <f t="shared" si="1"/>
        <v>9</v>
      </c>
      <c r="E33" s="93">
        <f t="shared" si="1"/>
        <v>8</v>
      </c>
      <c r="F33" s="94">
        <f t="shared" si="1"/>
        <v>15</v>
      </c>
    </row>
    <row r="34" spans="1:6" ht="15.75" customHeight="1"/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G1:G4"/>
    <mergeCell ref="A5:A9"/>
    <mergeCell ref="A10:A32"/>
    <mergeCell ref="A33:B33"/>
  </mergeCells>
  <phoneticPr fontId="6" type="noConversion"/>
  <pageMargins left="0.7" right="0.7" top="0.75" bottom="0.75" header="0" footer="0"/>
  <pageSetup paperSize="9" orientation="portrait"/>
  <ignoredErrors>
    <ignoredError sqref="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3월</vt:lpstr>
      <vt:lpstr>2월</vt:lpstr>
      <vt:lpstr>1월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2022-12-30T09:25:14Z</dcterms:created>
  <dcterms:modified xsi:type="dcterms:W3CDTF">2023-03-19T07:59:29Z</dcterms:modified>
</cp:coreProperties>
</file>