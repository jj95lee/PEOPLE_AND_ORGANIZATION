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규엽(회원관리부장)\참여점수표\"/>
    </mc:Choice>
  </mc:AlternateContent>
  <xr:revisionPtr revIDLastSave="0" documentId="13_ncr:1_{0D412727-131B-4027-AEA7-A4252D3D13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월" sheetId="2" r:id="rId1"/>
    <sheet name="7월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HjBbjNDKecBwhSrt6w8Mw8FtpsSkiJZ5o2yASB5fs="/>
    </ext>
  </extLst>
</workbook>
</file>

<file path=xl/calcChain.xml><?xml version="1.0" encoding="utf-8"?>
<calcChain xmlns="http://schemas.openxmlformats.org/spreadsheetml/2006/main">
  <c r="J42" i="2" l="1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43" i="2"/>
  <c r="H43" i="2"/>
  <c r="M35" i="2" l="1"/>
  <c r="L35" i="2"/>
  <c r="M19" i="2"/>
  <c r="L19" i="2"/>
  <c r="M39" i="2"/>
  <c r="L39" i="2"/>
  <c r="M23" i="2"/>
  <c r="L23" i="2"/>
  <c r="M6" i="2"/>
  <c r="L6" i="2"/>
  <c r="L25" i="2"/>
  <c r="M25" i="2"/>
  <c r="M41" i="2"/>
  <c r="L41" i="2"/>
  <c r="L21" i="2"/>
  <c r="M21" i="2"/>
  <c r="M26" i="2"/>
  <c r="L26" i="2"/>
  <c r="M42" i="2"/>
  <c r="L42" i="2"/>
  <c r="L43" i="2"/>
  <c r="M5" i="2"/>
  <c r="M43" i="2" s="1"/>
  <c r="L5" i="2"/>
  <c r="M24" i="2"/>
  <c r="L24" i="2"/>
  <c r="M10" i="2"/>
  <c r="L10" i="2"/>
  <c r="M11" i="2"/>
  <c r="L11" i="2"/>
  <c r="M27" i="2"/>
  <c r="L27" i="2"/>
  <c r="M22" i="2"/>
  <c r="L22" i="2"/>
  <c r="M28" i="2"/>
  <c r="L28" i="2"/>
  <c r="L37" i="2"/>
  <c r="M37" i="2"/>
  <c r="L13" i="2"/>
  <c r="M13" i="2"/>
  <c r="L29" i="2"/>
  <c r="M29" i="2"/>
  <c r="L40" i="2"/>
  <c r="M40" i="2"/>
  <c r="M9" i="2"/>
  <c r="L9" i="2"/>
  <c r="M14" i="2"/>
  <c r="L14" i="2"/>
  <c r="L30" i="2"/>
  <c r="M30" i="2"/>
  <c r="L38" i="2"/>
  <c r="M38" i="2"/>
  <c r="M15" i="2"/>
  <c r="L15" i="2"/>
  <c r="M31" i="2"/>
  <c r="L31" i="2"/>
  <c r="M7" i="2"/>
  <c r="L7" i="2"/>
  <c r="L12" i="2"/>
  <c r="M12" i="2"/>
  <c r="L16" i="2"/>
  <c r="M16" i="2"/>
  <c r="L32" i="2"/>
  <c r="M32" i="2"/>
  <c r="M36" i="2"/>
  <c r="L36" i="2"/>
  <c r="L17" i="2"/>
  <c r="M17" i="2"/>
  <c r="L33" i="2"/>
  <c r="M33" i="2"/>
  <c r="L20" i="2"/>
  <c r="M20" i="2"/>
  <c r="L8" i="2"/>
  <c r="M8" i="2"/>
  <c r="M18" i="2"/>
  <c r="L18" i="2"/>
  <c r="L34" i="2"/>
  <c r="M34" i="2"/>
  <c r="G43" i="2"/>
  <c r="F43" i="2"/>
  <c r="E43" i="2"/>
  <c r="D43" i="2"/>
  <c r="C43" i="2"/>
  <c r="D43" i="1"/>
  <c r="E43" i="1"/>
  <c r="F43" i="1"/>
  <c r="G4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5" i="1"/>
  <c r="C43" i="1"/>
</calcChain>
</file>

<file path=xl/sharedStrings.xml><?xml version="1.0" encoding="utf-8"?>
<sst xmlns="http://schemas.openxmlformats.org/spreadsheetml/2006/main" count="145" uniqueCount="88">
  <si>
    <t>날짜</t>
  </si>
  <si>
    <t>누적 점수</t>
  </si>
  <si>
    <t>구분</t>
  </si>
  <si>
    <t>활동</t>
  </si>
  <si>
    <t>-</t>
  </si>
  <si>
    <t>주최자</t>
  </si>
  <si>
    <t>이진진</t>
  </si>
  <si>
    <t>박서현</t>
  </si>
  <si>
    <t>임정연</t>
  </si>
  <si>
    <t>운영진</t>
  </si>
  <si>
    <t>이규엽</t>
  </si>
  <si>
    <t>윤민식</t>
  </si>
  <si>
    <t>활동회원</t>
  </si>
  <si>
    <t>황인우</t>
  </si>
  <si>
    <t>김해찬</t>
  </si>
  <si>
    <t>이원준</t>
  </si>
  <si>
    <t>하은희</t>
  </si>
  <si>
    <t>김주곤</t>
  </si>
  <si>
    <t>김태형</t>
  </si>
  <si>
    <t>이성현</t>
  </si>
  <si>
    <t>이수민</t>
  </si>
  <si>
    <t>이주희</t>
  </si>
  <si>
    <t>최지훈</t>
  </si>
  <si>
    <t>권제인</t>
  </si>
  <si>
    <t>김보라</t>
  </si>
  <si>
    <t>김세미</t>
  </si>
  <si>
    <t>김지우</t>
  </si>
  <si>
    <t>박도연</t>
  </si>
  <si>
    <t>신혜원</t>
  </si>
  <si>
    <t>오재민</t>
  </si>
  <si>
    <t>이다영</t>
  </si>
  <si>
    <t>이지원</t>
  </si>
  <si>
    <t>정하영</t>
  </si>
  <si>
    <t>참여 인원</t>
  </si>
  <si>
    <t>오리엔테이션</t>
  </si>
  <si>
    <t>김민구</t>
  </si>
  <si>
    <t>이광민</t>
  </si>
  <si>
    <t>강준</t>
    <phoneticPr fontId="5" type="noConversion"/>
  </si>
  <si>
    <t>김민지</t>
    <phoneticPr fontId="5" type="noConversion"/>
  </si>
  <si>
    <t>김채린</t>
    <phoneticPr fontId="5" type="noConversion"/>
  </si>
  <si>
    <t>박소현</t>
    <phoneticPr fontId="5" type="noConversion"/>
  </si>
  <si>
    <t>양진석</t>
    <phoneticPr fontId="5" type="noConversion"/>
  </si>
  <si>
    <t>이예림</t>
    <phoneticPr fontId="5" type="noConversion"/>
  </si>
  <si>
    <t>이종헌</t>
    <phoneticPr fontId="5" type="noConversion"/>
  </si>
  <si>
    <t>조은서</t>
    <phoneticPr fontId="5" type="noConversion"/>
  </si>
  <si>
    <t>조용근</t>
    <phoneticPr fontId="5" type="noConversion"/>
  </si>
  <si>
    <t>차은서</t>
    <phoneticPr fontId="5" type="noConversion"/>
  </si>
  <si>
    <t>홍채원</t>
    <phoneticPr fontId="5" type="noConversion"/>
  </si>
  <si>
    <t>07.08</t>
    <phoneticPr fontId="5" type="noConversion"/>
  </si>
  <si>
    <t>7월</t>
    <phoneticPr fontId="5" type="noConversion"/>
  </si>
  <si>
    <t>1차 정기모임</t>
    <phoneticPr fontId="5" type="noConversion"/>
  </si>
  <si>
    <t>-</t>
    <phoneticPr fontId="5" type="noConversion"/>
  </si>
  <si>
    <t>07.14</t>
    <phoneticPr fontId="5" type="noConversion"/>
  </si>
  <si>
    <t>07.22</t>
    <phoneticPr fontId="5" type="noConversion"/>
  </si>
  <si>
    <t>2차 정기모임</t>
    <phoneticPr fontId="5" type="noConversion"/>
  </si>
  <si>
    <t>대학로 연극</t>
    <phoneticPr fontId="5" type="noConversion"/>
  </si>
  <si>
    <t>07.18</t>
    <phoneticPr fontId="5" type="noConversion"/>
  </si>
  <si>
    <t>비정기모임</t>
    <phoneticPr fontId="5" type="noConversion"/>
  </si>
  <si>
    <t>합정 술</t>
    <phoneticPr fontId="5" type="noConversion"/>
  </si>
  <si>
    <t>이규엽</t>
    <phoneticPr fontId="5" type="noConversion"/>
  </si>
  <si>
    <t>07.29</t>
    <phoneticPr fontId="5" type="noConversion"/>
  </si>
  <si>
    <t>서울대 보드게임</t>
    <phoneticPr fontId="5" type="noConversion"/>
  </si>
  <si>
    <t>여름 엠티</t>
    <phoneticPr fontId="5" type="noConversion"/>
  </si>
  <si>
    <t>수상 레저</t>
    <phoneticPr fontId="5" type="noConversion"/>
  </si>
  <si>
    <t>08.04</t>
    <phoneticPr fontId="5" type="noConversion"/>
  </si>
  <si>
    <t>이대 볼링</t>
    <phoneticPr fontId="5" type="noConversion"/>
  </si>
  <si>
    <t>3차 정기모임</t>
    <phoneticPr fontId="5" type="noConversion"/>
  </si>
  <si>
    <t>08.12</t>
    <phoneticPr fontId="5" type="noConversion"/>
  </si>
  <si>
    <t>4차 정기모임</t>
    <phoneticPr fontId="5" type="noConversion"/>
  </si>
  <si>
    <t>강남 베이킹</t>
    <phoneticPr fontId="5" type="noConversion"/>
  </si>
  <si>
    <t>08.18</t>
    <phoneticPr fontId="5" type="noConversion"/>
  </si>
  <si>
    <t>5차 정기모임</t>
    <phoneticPr fontId="5" type="noConversion"/>
  </si>
  <si>
    <t>신촌 방탈출</t>
    <phoneticPr fontId="5" type="noConversion"/>
  </si>
  <si>
    <t>08.22</t>
    <phoneticPr fontId="5" type="noConversion"/>
  </si>
  <si>
    <t>08.23</t>
    <phoneticPr fontId="5" type="noConversion"/>
  </si>
  <si>
    <t>이진진</t>
    <phoneticPr fontId="5" type="noConversion"/>
  </si>
  <si>
    <t>강남 술</t>
    <phoneticPr fontId="5" type="noConversion"/>
  </si>
  <si>
    <t>08.25</t>
    <phoneticPr fontId="5" type="noConversion"/>
  </si>
  <si>
    <t>신촌 고기</t>
    <phoneticPr fontId="5" type="noConversion"/>
  </si>
  <si>
    <t>마곡나루 고기</t>
    <phoneticPr fontId="5" type="noConversion"/>
  </si>
  <si>
    <t>김지우</t>
    <phoneticPr fontId="5" type="noConversion"/>
  </si>
  <si>
    <t>6차 정기모임</t>
    <phoneticPr fontId="5" type="noConversion"/>
  </si>
  <si>
    <t>왕십리 개강파티</t>
    <phoneticPr fontId="5" type="noConversion"/>
  </si>
  <si>
    <t>08.26</t>
    <phoneticPr fontId="5" type="noConversion"/>
  </si>
  <si>
    <t>8월</t>
    <phoneticPr fontId="5" type="noConversion"/>
  </si>
  <si>
    <t>대상자 여부</t>
    <phoneticPr fontId="5" type="noConversion"/>
  </si>
  <si>
    <t>보증금 환급</t>
    <phoneticPr fontId="5" type="noConversion"/>
  </si>
  <si>
    <t>기수 연장제한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</si>
</sst>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rgb="FFBDD6EE"/>
      </patternFill>
    </fill>
    <fill>
      <patternFill patternType="solid">
        <fgColor rgb="FFECD1FB"/>
        <bgColor rgb="FFC5E0B3"/>
      </patternFill>
    </fill>
    <fill>
      <patternFill patternType="solid">
        <fgColor rgb="FFECD1FB"/>
        <bgColor rgb="FFBDD6EE"/>
      </patternFill>
    </fill>
    <fill>
      <patternFill patternType="solid">
        <fgColor rgb="FFECD1FB"/>
        <bgColor rgb="FFFFE598"/>
      </patternFill>
    </fill>
    <fill>
      <patternFill patternType="solid">
        <fgColor theme="8" tint="0.59999389629810485"/>
        <bgColor rgb="FFFFE59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D1FB"/>
        <bgColor indexed="64"/>
      </patternFill>
    </fill>
    <fill>
      <patternFill patternType="solid">
        <fgColor theme="6" tint="0.39997558519241921"/>
        <bgColor rgb="FFC8C8C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6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 style="thin">
        <color rgb="FF7B7B7B"/>
      </left>
      <right/>
      <top style="thin">
        <color rgb="FF7B7B7B"/>
      </top>
      <bottom style="thin">
        <color rgb="FFAEABAB"/>
      </bottom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5A5A5"/>
      </bottom>
      <diagonal/>
    </border>
    <border>
      <left style="thin">
        <color rgb="FF757070"/>
      </left>
      <right style="thin">
        <color rgb="FF75707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B7B7B"/>
      </left>
      <right/>
      <top style="thin">
        <color rgb="FFAEABAB"/>
      </top>
      <bottom style="thin">
        <color theme="0" tint="-0.499984740745262"/>
      </bottom>
      <diagonal/>
    </border>
    <border>
      <left/>
      <right style="thin">
        <color rgb="FF7B7B7B"/>
      </right>
      <top/>
      <bottom style="thin">
        <color rgb="FF757070"/>
      </bottom>
      <diagonal/>
    </border>
    <border>
      <left style="thin">
        <color rgb="FF7B7B7B"/>
      </left>
      <right/>
      <top/>
      <bottom/>
      <diagonal/>
    </border>
    <border>
      <left style="thin">
        <color rgb="FF757070"/>
      </left>
      <right style="thin">
        <color rgb="FF757070"/>
      </right>
      <top style="thin">
        <color theme="0" tint="-0.499984740745262"/>
      </top>
      <bottom/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F7F7F"/>
      </left>
      <right/>
      <top style="thin">
        <color rgb="FFAEABAB"/>
      </top>
      <bottom style="thin">
        <color theme="0" tint="-0.499984740745262"/>
      </bottom>
      <diagonal/>
    </border>
    <border>
      <left/>
      <right style="thin">
        <color rgb="FF757070"/>
      </right>
      <top/>
      <bottom style="thin">
        <color rgb="FF7B7B7B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B7B7B"/>
      </left>
      <right style="thin">
        <color rgb="FF7F7F7F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7B7B7B"/>
      </left>
      <right/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6" borderId="36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6" fillId="14" borderId="39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1" fillId="10" borderId="44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17" borderId="30" xfId="0" applyFont="1" applyFill="1" applyBorder="1" applyAlignment="1">
      <alignment horizontal="center" vertical="center"/>
    </xf>
    <xf numFmtId="0" fontId="1" fillId="17" borderId="31" xfId="0" applyFont="1" applyFill="1" applyBorder="1" applyAlignment="1">
      <alignment horizontal="center" vertical="center"/>
    </xf>
    <xf numFmtId="0" fontId="1" fillId="17" borderId="47" xfId="0" applyFont="1" applyFill="1" applyBorder="1" applyAlignment="1">
      <alignment horizontal="center" vertical="center"/>
    </xf>
    <xf numFmtId="0" fontId="1" fillId="17" borderId="4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1" fillId="15" borderId="53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" fillId="15" borderId="52" xfId="0" applyFont="1" applyFill="1" applyBorder="1" applyAlignment="1">
      <alignment horizontal="center" vertical="center"/>
    </xf>
    <xf numFmtId="0" fontId="7" fillId="15" borderId="53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7" fillId="15" borderId="52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7" fillId="15" borderId="54" xfId="0" applyFont="1" applyFill="1" applyBorder="1" applyAlignment="1">
      <alignment horizontal="center" vertical="center"/>
    </xf>
    <xf numFmtId="0" fontId="1" fillId="16" borderId="55" xfId="0" applyFont="1" applyFill="1" applyBorder="1" applyAlignment="1">
      <alignment horizontal="center" vertical="center"/>
    </xf>
    <xf numFmtId="0" fontId="1" fillId="16" borderId="51" xfId="0" applyFont="1" applyFill="1" applyBorder="1" applyAlignment="1">
      <alignment horizontal="center" vertical="center"/>
    </xf>
    <xf numFmtId="0" fontId="1" fillId="16" borderId="53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16" borderId="56" xfId="0" applyFont="1" applyFill="1" applyBorder="1" applyAlignment="1">
      <alignment horizontal="center" vertical="center"/>
    </xf>
    <xf numFmtId="0" fontId="1" fillId="18" borderId="53" xfId="0" applyFont="1" applyFill="1" applyBorder="1" applyAlignment="1">
      <alignment horizontal="center" vertical="center"/>
    </xf>
    <xf numFmtId="0" fontId="1" fillId="18" borderId="57" xfId="0" applyFont="1" applyFill="1" applyBorder="1" applyAlignment="1">
      <alignment horizontal="center" vertical="center"/>
    </xf>
    <xf numFmtId="0" fontId="1" fillId="19" borderId="51" xfId="0" applyFont="1" applyFill="1" applyBorder="1" applyAlignment="1">
      <alignment horizontal="center" vertical="center"/>
    </xf>
    <xf numFmtId="0" fontId="1" fillId="20" borderId="58" xfId="0" applyFont="1" applyFill="1" applyBorder="1" applyAlignment="1">
      <alignment horizontal="center" vertical="center"/>
    </xf>
    <xf numFmtId="0" fontId="1" fillId="20" borderId="51" xfId="0" applyFont="1" applyFill="1" applyBorder="1" applyAlignment="1">
      <alignment horizontal="center" vertical="center"/>
    </xf>
    <xf numFmtId="0" fontId="1" fillId="18" borderId="59" xfId="0" applyFont="1" applyFill="1" applyBorder="1" applyAlignment="1">
      <alignment horizontal="center" vertical="center"/>
    </xf>
    <xf numFmtId="0" fontId="1" fillId="18" borderId="5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vertical="center"/>
    </xf>
    <xf numFmtId="0" fontId="1" fillId="23" borderId="61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19" borderId="62" xfId="0" applyFont="1" applyFill="1" applyBorder="1" applyAlignment="1">
      <alignment horizontal="center" vertical="center"/>
    </xf>
    <xf numFmtId="0" fontId="1" fillId="19" borderId="63" xfId="0" applyFont="1" applyFill="1" applyBorder="1" applyAlignment="1">
      <alignment horizontal="center" vertical="center"/>
    </xf>
    <xf numFmtId="0" fontId="1" fillId="20" borderId="64" xfId="0" applyFont="1" applyFill="1" applyBorder="1" applyAlignment="1">
      <alignment horizontal="center" vertical="center"/>
    </xf>
    <xf numFmtId="0" fontId="1" fillId="20" borderId="62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18" borderId="62" xfId="0" applyFont="1" applyFill="1" applyBorder="1" applyAlignment="1">
      <alignment horizontal="center" vertical="center"/>
    </xf>
    <xf numFmtId="0" fontId="1" fillId="20" borderId="6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22" borderId="1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22" borderId="16" xfId="0" applyFont="1" applyFill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24" borderId="67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20" borderId="51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20" borderId="6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BF17-0475-4313-9D00-8A93B12B668A}">
  <dimension ref="A1:M1000"/>
  <sheetViews>
    <sheetView tabSelected="1" zoomScale="85" zoomScaleNormal="85" workbookViewId="0">
      <selection activeCell="P6" sqref="P6"/>
    </sheetView>
  </sheetViews>
  <sheetFormatPr defaultColWidth="14.42578125" defaultRowHeight="16.5"/>
  <cols>
    <col min="1" max="1" width="12.5703125" style="121" customWidth="1"/>
    <col min="2" max="2" width="15.5703125" style="121" customWidth="1"/>
    <col min="3" max="9" width="18.42578125" style="121" customWidth="1"/>
    <col min="10" max="10" width="11.140625" style="121" bestFit="1" customWidth="1"/>
    <col min="12" max="13" width="13.5703125" style="121" bestFit="1" customWidth="1"/>
    <col min="14" max="16384" width="14.42578125" style="121"/>
  </cols>
  <sheetData>
    <row r="1" spans="1:13">
      <c r="A1" s="94" t="s">
        <v>84</v>
      </c>
      <c r="B1" s="1" t="s">
        <v>0</v>
      </c>
      <c r="C1" s="3" t="s">
        <v>64</v>
      </c>
      <c r="D1" s="3" t="s">
        <v>67</v>
      </c>
      <c r="E1" s="3" t="s">
        <v>70</v>
      </c>
      <c r="F1" s="2" t="s">
        <v>73</v>
      </c>
      <c r="G1" s="2" t="s">
        <v>74</v>
      </c>
      <c r="H1" s="2" t="s">
        <v>77</v>
      </c>
      <c r="I1" s="3" t="s">
        <v>83</v>
      </c>
      <c r="J1" s="97" t="s">
        <v>1</v>
      </c>
      <c r="K1" s="121"/>
      <c r="L1" s="110"/>
      <c r="M1" s="110"/>
    </row>
    <row r="2" spans="1:13">
      <c r="A2" s="122"/>
      <c r="B2" s="4" t="s">
        <v>2</v>
      </c>
      <c r="C2" s="5" t="s">
        <v>66</v>
      </c>
      <c r="D2" s="5" t="s">
        <v>68</v>
      </c>
      <c r="E2" s="5" t="s">
        <v>71</v>
      </c>
      <c r="F2" s="4" t="s">
        <v>57</v>
      </c>
      <c r="G2" s="4" t="s">
        <v>57</v>
      </c>
      <c r="H2" s="4" t="s">
        <v>57</v>
      </c>
      <c r="I2" s="5" t="s">
        <v>81</v>
      </c>
      <c r="J2" s="108"/>
      <c r="K2" s="121"/>
      <c r="L2" s="123" t="s">
        <v>86</v>
      </c>
      <c r="M2" s="123" t="s">
        <v>87</v>
      </c>
    </row>
    <row r="3" spans="1:13">
      <c r="A3" s="122"/>
      <c r="B3" s="6" t="s">
        <v>3</v>
      </c>
      <c r="C3" s="7" t="s">
        <v>65</v>
      </c>
      <c r="D3" s="7" t="s">
        <v>69</v>
      </c>
      <c r="E3" s="7" t="s">
        <v>72</v>
      </c>
      <c r="F3" s="6" t="s">
        <v>79</v>
      </c>
      <c r="G3" s="6" t="s">
        <v>76</v>
      </c>
      <c r="H3" s="6" t="s">
        <v>78</v>
      </c>
      <c r="I3" s="7" t="s">
        <v>82</v>
      </c>
      <c r="J3" s="108"/>
      <c r="K3" s="121"/>
      <c r="L3" s="123" t="s">
        <v>85</v>
      </c>
      <c r="M3" s="123" t="s">
        <v>85</v>
      </c>
    </row>
    <row r="4" spans="1:13">
      <c r="A4" s="124"/>
      <c r="B4" s="8" t="s">
        <v>5</v>
      </c>
      <c r="C4" s="9" t="s">
        <v>4</v>
      </c>
      <c r="D4" s="9" t="s">
        <v>51</v>
      </c>
      <c r="E4" s="9" t="s">
        <v>51</v>
      </c>
      <c r="F4" s="8" t="s">
        <v>75</v>
      </c>
      <c r="G4" s="8" t="s">
        <v>75</v>
      </c>
      <c r="H4" s="8" t="s">
        <v>80</v>
      </c>
      <c r="I4" s="9" t="s">
        <v>51</v>
      </c>
      <c r="J4" s="109"/>
      <c r="K4" s="121"/>
      <c r="L4" s="125"/>
      <c r="M4" s="125"/>
    </row>
    <row r="5" spans="1:13">
      <c r="A5" s="100" t="s">
        <v>9</v>
      </c>
      <c r="B5" s="10" t="s">
        <v>6</v>
      </c>
      <c r="C5" s="11"/>
      <c r="D5" s="12">
        <v>5</v>
      </c>
      <c r="E5" s="11">
        <v>3</v>
      </c>
      <c r="F5" s="11">
        <v>2</v>
      </c>
      <c r="G5" s="11">
        <v>2</v>
      </c>
      <c r="H5" s="11"/>
      <c r="I5" s="11"/>
      <c r="J5" s="13">
        <f>SUM(C5:I5)+'7월'!H5</f>
        <v>26</v>
      </c>
      <c r="K5" s="121"/>
      <c r="L5" s="111" t="str">
        <f>IF(J5&gt;=15,"O","X")</f>
        <v>O</v>
      </c>
      <c r="M5" s="111" t="str">
        <f>IF(J5&lt;=0,"O","X")</f>
        <v>X</v>
      </c>
    </row>
    <row r="6" spans="1:13">
      <c r="A6" s="101"/>
      <c r="B6" s="14" t="s">
        <v>10</v>
      </c>
      <c r="C6" s="15">
        <v>3</v>
      </c>
      <c r="D6" s="16"/>
      <c r="E6" s="15">
        <v>3</v>
      </c>
      <c r="F6" s="15"/>
      <c r="G6" s="15"/>
      <c r="H6" s="15"/>
      <c r="I6" s="15">
        <v>3</v>
      </c>
      <c r="J6" s="70">
        <f>SUM(C6:I6)+'7월'!H6</f>
        <v>23</v>
      </c>
      <c r="K6" s="121"/>
      <c r="L6" s="112" t="str">
        <f>IF(J6&gt;=15,"O","X")</f>
        <v>O</v>
      </c>
      <c r="M6" s="112" t="str">
        <f>IF(J6&lt;=0,"O","X")</f>
        <v>X</v>
      </c>
    </row>
    <row r="7" spans="1:13">
      <c r="A7" s="101"/>
      <c r="B7" s="39" t="s">
        <v>11</v>
      </c>
      <c r="C7" s="17">
        <v>3</v>
      </c>
      <c r="D7" s="18">
        <v>1</v>
      </c>
      <c r="E7" s="17">
        <v>3</v>
      </c>
      <c r="F7" s="17"/>
      <c r="G7" s="17"/>
      <c r="H7" s="17">
        <v>1</v>
      </c>
      <c r="I7" s="17">
        <v>3</v>
      </c>
      <c r="J7" s="89">
        <f>SUM(C7:I7)+'7월'!H7</f>
        <v>24</v>
      </c>
      <c r="K7" s="121"/>
      <c r="L7" s="113" t="str">
        <f>IF(J7&gt;=15,"O","X")</f>
        <v>O</v>
      </c>
      <c r="M7" s="113" t="str">
        <f>IF(J7&lt;=0,"O","X")</f>
        <v>X</v>
      </c>
    </row>
    <row r="8" spans="1:13">
      <c r="A8" s="101"/>
      <c r="B8" s="40" t="s">
        <v>28</v>
      </c>
      <c r="C8" s="15">
        <v>1</v>
      </c>
      <c r="D8" s="16">
        <v>5</v>
      </c>
      <c r="E8" s="15"/>
      <c r="F8" s="15"/>
      <c r="G8" s="15"/>
      <c r="H8" s="15"/>
      <c r="I8" s="15">
        <v>3</v>
      </c>
      <c r="J8" s="70">
        <f>SUM(C8:I8)+'7월'!H8</f>
        <v>21</v>
      </c>
      <c r="K8" s="121"/>
      <c r="L8" s="112" t="str">
        <f>IF(J8&gt;=15,"O","X")</f>
        <v>O</v>
      </c>
      <c r="M8" s="112" t="str">
        <f>IF(J8&lt;=0,"O","X")</f>
        <v>X</v>
      </c>
    </row>
    <row r="9" spans="1:13">
      <c r="A9" s="102"/>
      <c r="B9" s="41" t="s">
        <v>25</v>
      </c>
      <c r="C9" s="19">
        <v>1</v>
      </c>
      <c r="D9" s="20"/>
      <c r="E9" s="19"/>
      <c r="F9" s="19"/>
      <c r="G9" s="19"/>
      <c r="H9" s="19"/>
      <c r="I9" s="19">
        <v>3</v>
      </c>
      <c r="J9" s="89">
        <f>SUM(C9:I9)+'7월'!H9</f>
        <v>15</v>
      </c>
      <c r="K9" s="121"/>
      <c r="L9" s="114" t="str">
        <f>IF(J9&gt;=15,"O","X")</f>
        <v>O</v>
      </c>
      <c r="M9" s="114" t="str">
        <f>IF(J9&lt;=0,"O","X")</f>
        <v>X</v>
      </c>
    </row>
    <row r="10" spans="1:13">
      <c r="A10" s="103" t="s">
        <v>12</v>
      </c>
      <c r="B10" s="21" t="s">
        <v>8</v>
      </c>
      <c r="C10" s="22"/>
      <c r="D10" s="23">
        <v>1</v>
      </c>
      <c r="E10" s="22"/>
      <c r="F10" s="22"/>
      <c r="G10" s="22">
        <v>1</v>
      </c>
      <c r="H10" s="22"/>
      <c r="I10" s="22">
        <v>3</v>
      </c>
      <c r="J10" s="90">
        <f>SUM(C10:I10)+'7월'!H10</f>
        <v>7</v>
      </c>
      <c r="K10" s="121"/>
      <c r="L10" s="115" t="str">
        <f>IF(J10&gt;=15,"O","X")</f>
        <v>X</v>
      </c>
      <c r="M10" s="115" t="str">
        <f>IF(J10&lt;=0,"O","X")</f>
        <v>X</v>
      </c>
    </row>
    <row r="11" spans="1:13">
      <c r="A11" s="104"/>
      <c r="B11" s="24" t="s">
        <v>13</v>
      </c>
      <c r="C11" s="25">
        <v>1</v>
      </c>
      <c r="D11" s="26"/>
      <c r="E11" s="25"/>
      <c r="F11" s="25"/>
      <c r="G11" s="25"/>
      <c r="H11" s="25"/>
      <c r="I11" s="25">
        <v>3</v>
      </c>
      <c r="J11" s="70">
        <f>SUM(C11:I11)+'7월'!H11</f>
        <v>4</v>
      </c>
      <c r="K11" s="121"/>
      <c r="L11" s="112" t="str">
        <f>IF(J11&gt;=15,"O","X")</f>
        <v>X</v>
      </c>
      <c r="M11" s="112" t="str">
        <f>IF(J11&lt;=0,"O","X")</f>
        <v>X</v>
      </c>
    </row>
    <row r="12" spans="1:13">
      <c r="A12" s="104"/>
      <c r="B12" s="24" t="s">
        <v>7</v>
      </c>
      <c r="C12" s="27"/>
      <c r="D12" s="28">
        <v>1</v>
      </c>
      <c r="E12" s="27"/>
      <c r="F12" s="27"/>
      <c r="G12" s="27">
        <v>1</v>
      </c>
      <c r="H12" s="27"/>
      <c r="I12" s="27">
        <v>3</v>
      </c>
      <c r="J12" s="91">
        <f>SUM(C12:I12)+'7월'!H12</f>
        <v>7</v>
      </c>
      <c r="K12" s="121"/>
      <c r="L12" s="116" t="str">
        <f>IF(J12&gt;=15,"O","X")</f>
        <v>X</v>
      </c>
      <c r="M12" s="116" t="str">
        <f>IF(J12&lt;=0,"O","X")</f>
        <v>X</v>
      </c>
    </row>
    <row r="13" spans="1:13">
      <c r="A13" s="104"/>
      <c r="B13" s="24" t="s">
        <v>14</v>
      </c>
      <c r="C13" s="25"/>
      <c r="D13" s="26"/>
      <c r="E13" s="25">
        <v>1</v>
      </c>
      <c r="F13" s="25"/>
      <c r="G13" s="25"/>
      <c r="H13" s="25"/>
      <c r="I13" s="25"/>
      <c r="J13" s="70">
        <f>SUM(C13:I13)+'7월'!H13</f>
        <v>1</v>
      </c>
      <c r="K13" s="121"/>
      <c r="L13" s="112" t="str">
        <f>IF(J13&gt;=15,"O","X")</f>
        <v>X</v>
      </c>
      <c r="M13" s="112" t="str">
        <f>IF(J13&lt;=0,"O","X")</f>
        <v>X</v>
      </c>
    </row>
    <row r="14" spans="1:13">
      <c r="A14" s="104"/>
      <c r="B14" s="24" t="s">
        <v>15</v>
      </c>
      <c r="C14" s="27">
        <v>1</v>
      </c>
      <c r="D14" s="28"/>
      <c r="E14" s="27"/>
      <c r="F14" s="27"/>
      <c r="G14" s="27"/>
      <c r="H14" s="27"/>
      <c r="I14" s="27">
        <v>3</v>
      </c>
      <c r="J14" s="91">
        <f>SUM(C14:I14)+'7월'!H14</f>
        <v>13</v>
      </c>
      <c r="K14" s="121"/>
      <c r="L14" s="116" t="str">
        <f>IF(J14&gt;=15,"O","X")</f>
        <v>X</v>
      </c>
      <c r="M14" s="116" t="str">
        <f>IF(J14&lt;=0,"O","X")</f>
        <v>X</v>
      </c>
    </row>
    <row r="15" spans="1:13">
      <c r="A15" s="104"/>
      <c r="B15" s="24" t="s">
        <v>16</v>
      </c>
      <c r="C15" s="25"/>
      <c r="D15" s="26"/>
      <c r="E15" s="25"/>
      <c r="F15" s="25"/>
      <c r="G15" s="25"/>
      <c r="H15" s="25"/>
      <c r="I15" s="25">
        <v>3</v>
      </c>
      <c r="J15" s="70">
        <f>SUM(C15:I15)+'7월'!H15</f>
        <v>3</v>
      </c>
      <c r="K15" s="121"/>
      <c r="L15" s="112" t="str">
        <f>IF(J15&gt;=15,"O","X")</f>
        <v>X</v>
      </c>
      <c r="M15" s="112" t="str">
        <f>IF(J15&lt;=0,"O","X")</f>
        <v>X</v>
      </c>
    </row>
    <row r="16" spans="1:13">
      <c r="A16" s="104"/>
      <c r="B16" s="42" t="s">
        <v>35</v>
      </c>
      <c r="C16" s="27"/>
      <c r="D16" s="28">
        <v>5</v>
      </c>
      <c r="E16" s="27"/>
      <c r="F16" s="27">
        <v>1</v>
      </c>
      <c r="G16" s="27"/>
      <c r="H16" s="27"/>
      <c r="I16" s="27"/>
      <c r="J16" s="91">
        <f>SUM(C16:I16)+'7월'!H16</f>
        <v>6</v>
      </c>
      <c r="K16" s="121"/>
      <c r="L16" s="116" t="str">
        <f>IF(J16&gt;=15,"O","X")</f>
        <v>X</v>
      </c>
      <c r="M16" s="116" t="str">
        <f>IF(J16&lt;=0,"O","X")</f>
        <v>X</v>
      </c>
    </row>
    <row r="17" spans="1:13">
      <c r="A17" s="104"/>
      <c r="B17" s="43" t="s">
        <v>36</v>
      </c>
      <c r="C17" s="25">
        <v>1</v>
      </c>
      <c r="D17" s="26"/>
      <c r="E17" s="25"/>
      <c r="F17" s="25"/>
      <c r="G17" s="25">
        <v>1</v>
      </c>
      <c r="H17" s="25"/>
      <c r="I17" s="25">
        <v>3</v>
      </c>
      <c r="J17" s="70">
        <f>SUM(C17:I17)+'7월'!H17</f>
        <v>16</v>
      </c>
      <c r="K17" s="121"/>
      <c r="L17" s="112" t="str">
        <f>IF(J17&gt;=15,"O","X")</f>
        <v>O</v>
      </c>
      <c r="M17" s="112" t="str">
        <f>IF(J17&lt;=0,"O","X")</f>
        <v>X</v>
      </c>
    </row>
    <row r="18" spans="1:13">
      <c r="A18" s="104"/>
      <c r="B18" s="44" t="s">
        <v>17</v>
      </c>
      <c r="C18" s="27">
        <v>3</v>
      </c>
      <c r="D18" s="29"/>
      <c r="E18" s="27"/>
      <c r="F18" s="27"/>
      <c r="G18" s="27"/>
      <c r="H18" s="27"/>
      <c r="I18" s="27">
        <v>3</v>
      </c>
      <c r="J18" s="91">
        <f>SUM(C18:I18)+'7월'!H18</f>
        <v>17</v>
      </c>
      <c r="K18" s="121"/>
      <c r="L18" s="116" t="str">
        <f>IF(J18&gt;=15,"O","X")</f>
        <v>O</v>
      </c>
      <c r="M18" s="116" t="str">
        <f>IF(J18&lt;=0,"O","X")</f>
        <v>X</v>
      </c>
    </row>
    <row r="19" spans="1:13">
      <c r="A19" s="104"/>
      <c r="B19" s="45" t="s">
        <v>18</v>
      </c>
      <c r="C19" s="25">
        <v>1</v>
      </c>
      <c r="D19" s="26"/>
      <c r="E19" s="25"/>
      <c r="F19" s="25"/>
      <c r="G19" s="25"/>
      <c r="H19" s="25"/>
      <c r="I19" s="25">
        <v>3</v>
      </c>
      <c r="J19" s="70">
        <f>SUM(C19:I19)+'7월'!H19</f>
        <v>12</v>
      </c>
      <c r="K19" s="121"/>
      <c r="L19" s="117" t="str">
        <f>IF(J19&gt;=15,"O","X")</f>
        <v>X</v>
      </c>
      <c r="M19" s="117" t="str">
        <f>IF(J19&lt;=0,"O","X")</f>
        <v>X</v>
      </c>
    </row>
    <row r="20" spans="1:13">
      <c r="A20" s="104"/>
      <c r="B20" s="46" t="s">
        <v>19</v>
      </c>
      <c r="C20" s="27"/>
      <c r="D20" s="28"/>
      <c r="E20" s="27"/>
      <c r="F20" s="27"/>
      <c r="G20" s="27"/>
      <c r="H20" s="27"/>
      <c r="I20" s="27"/>
      <c r="J20" s="91">
        <f>SUM(C20:I20)+'7월'!H20</f>
        <v>6</v>
      </c>
      <c r="K20" s="121"/>
      <c r="L20" s="116" t="str">
        <f>IF(J20&gt;=15,"O","X")</f>
        <v>X</v>
      </c>
      <c r="M20" s="116" t="str">
        <f>IF(J20&lt;=0,"O","X")</f>
        <v>X</v>
      </c>
    </row>
    <row r="21" spans="1:13" ht="15.75" customHeight="1">
      <c r="A21" s="104"/>
      <c r="B21" s="46" t="s">
        <v>20</v>
      </c>
      <c r="C21" s="25"/>
      <c r="D21" s="26">
        <v>1</v>
      </c>
      <c r="E21" s="25">
        <v>1</v>
      </c>
      <c r="F21" s="25"/>
      <c r="G21" s="25">
        <v>1</v>
      </c>
      <c r="H21" s="25"/>
      <c r="I21" s="25">
        <v>3</v>
      </c>
      <c r="J21" s="70">
        <f>SUM(C21:I21)+'7월'!H21</f>
        <v>13</v>
      </c>
      <c r="K21" s="121"/>
      <c r="L21" s="112" t="str">
        <f>IF(J21&gt;=15,"O","X")</f>
        <v>X</v>
      </c>
      <c r="M21" s="112" t="str">
        <f>IF(J21&lt;=0,"O","X")</f>
        <v>X</v>
      </c>
    </row>
    <row r="22" spans="1:13" ht="15.75" customHeight="1">
      <c r="A22" s="104"/>
      <c r="B22" s="46" t="s">
        <v>21</v>
      </c>
      <c r="C22" s="27"/>
      <c r="D22" s="28"/>
      <c r="E22" s="27"/>
      <c r="F22" s="27"/>
      <c r="G22" s="27"/>
      <c r="H22" s="27"/>
      <c r="I22" s="27"/>
      <c r="J22" s="91">
        <f>SUM(C22:I22)+'7월'!H22</f>
        <v>5</v>
      </c>
      <c r="K22" s="121"/>
      <c r="L22" s="116" t="str">
        <f>IF(J22&gt;=15,"O","X")</f>
        <v>X</v>
      </c>
      <c r="M22" s="116" t="str">
        <f>IF(J22&lt;=0,"O","X")</f>
        <v>X</v>
      </c>
    </row>
    <row r="23" spans="1:13" ht="15.75" customHeight="1">
      <c r="A23" s="104"/>
      <c r="B23" s="47" t="s">
        <v>22</v>
      </c>
      <c r="C23" s="30"/>
      <c r="D23" s="31"/>
      <c r="E23" s="30"/>
      <c r="F23" s="30"/>
      <c r="G23" s="30"/>
      <c r="H23" s="30"/>
      <c r="I23" s="30"/>
      <c r="J23" s="70">
        <f>SUM(C23:I23)+'7월'!H23</f>
        <v>9</v>
      </c>
      <c r="K23" s="121"/>
      <c r="L23" s="112" t="str">
        <f>IF(J23&gt;=15,"O","X")</f>
        <v>X</v>
      </c>
      <c r="M23" s="112" t="str">
        <f>IF(J23&lt;=0,"O","X")</f>
        <v>X</v>
      </c>
    </row>
    <row r="24" spans="1:13" ht="15.75" customHeight="1">
      <c r="A24" s="104"/>
      <c r="B24" s="48" t="s">
        <v>23</v>
      </c>
      <c r="C24" s="27"/>
      <c r="D24" s="28"/>
      <c r="E24" s="27"/>
      <c r="F24" s="27"/>
      <c r="G24" s="27"/>
      <c r="H24" s="27"/>
      <c r="I24" s="27"/>
      <c r="J24" s="130">
        <f>SUM(C24:I24)+'7월'!H24</f>
        <v>0</v>
      </c>
      <c r="K24" s="121"/>
      <c r="L24" s="116" t="str">
        <f>IF(J24&gt;=15,"O","X")</f>
        <v>X</v>
      </c>
      <c r="M24" s="132" t="str">
        <f>IF(J24&lt;=0,"O","X")</f>
        <v>O</v>
      </c>
    </row>
    <row r="25" spans="1:13" ht="15.75" customHeight="1">
      <c r="A25" s="104"/>
      <c r="B25" s="49" t="s">
        <v>24</v>
      </c>
      <c r="C25" s="30">
        <v>1</v>
      </c>
      <c r="D25" s="31"/>
      <c r="E25" s="30"/>
      <c r="F25" s="30"/>
      <c r="G25" s="30"/>
      <c r="H25" s="30"/>
      <c r="I25" s="30"/>
      <c r="J25" s="70">
        <f>SUM(C25:I25)+'7월'!H25</f>
        <v>1</v>
      </c>
      <c r="K25" s="121"/>
      <c r="L25" s="118" t="str">
        <f>IF(J25&gt;=15,"O","X")</f>
        <v>X</v>
      </c>
      <c r="M25" s="118" t="str">
        <f>IF(J25&lt;=0,"O","X")</f>
        <v>X</v>
      </c>
    </row>
    <row r="26" spans="1:13" ht="15.75" customHeight="1">
      <c r="A26" s="104"/>
      <c r="B26" s="50" t="s">
        <v>26</v>
      </c>
      <c r="C26" s="27"/>
      <c r="D26" s="28"/>
      <c r="E26" s="27"/>
      <c r="F26" s="27"/>
      <c r="G26" s="27"/>
      <c r="H26" s="27">
        <v>2</v>
      </c>
      <c r="I26" s="27"/>
      <c r="J26" s="91">
        <f>SUM(C26:I26)+'7월'!H26</f>
        <v>2</v>
      </c>
      <c r="K26" s="121"/>
      <c r="L26" s="120" t="str">
        <f>IF(J26&gt;=15,"O","X")</f>
        <v>X</v>
      </c>
      <c r="M26" s="120" t="str">
        <f>IF(J26&lt;=0,"O","X")</f>
        <v>X</v>
      </c>
    </row>
    <row r="27" spans="1:13" ht="15.75" customHeight="1">
      <c r="A27" s="104"/>
      <c r="B27" s="50" t="s">
        <v>27</v>
      </c>
      <c r="C27" s="30"/>
      <c r="D27" s="31"/>
      <c r="E27" s="30"/>
      <c r="F27" s="30"/>
      <c r="G27" s="30"/>
      <c r="H27" s="30"/>
      <c r="I27" s="30"/>
      <c r="J27" s="129">
        <f>SUM(C27:I27)+'7월'!H27</f>
        <v>0</v>
      </c>
      <c r="K27" s="121"/>
      <c r="L27" s="112" t="str">
        <f>IF(J27&gt;=15,"O","X")</f>
        <v>X</v>
      </c>
      <c r="M27" s="131" t="str">
        <f>IF(J27&lt;=0,"O","X")</f>
        <v>O</v>
      </c>
    </row>
    <row r="28" spans="1:13" ht="15.75" customHeight="1">
      <c r="A28" s="104"/>
      <c r="B28" s="50" t="s">
        <v>29</v>
      </c>
      <c r="C28" s="27"/>
      <c r="D28" s="28"/>
      <c r="E28" s="27"/>
      <c r="F28" s="27"/>
      <c r="G28" s="27"/>
      <c r="H28" s="27"/>
      <c r="I28" s="27"/>
      <c r="J28" s="130">
        <f>SUM(C28:I28)+'7월'!H28</f>
        <v>0</v>
      </c>
      <c r="K28" s="121"/>
      <c r="L28" s="116" t="str">
        <f>IF(J28&gt;=15,"O","X")</f>
        <v>X</v>
      </c>
      <c r="M28" s="132" t="str">
        <f>IF(J28&lt;=0,"O","X")</f>
        <v>O</v>
      </c>
    </row>
    <row r="29" spans="1:13" ht="15.75" customHeight="1">
      <c r="A29" s="104"/>
      <c r="B29" s="50" t="s">
        <v>30</v>
      </c>
      <c r="C29" s="30"/>
      <c r="D29" s="31"/>
      <c r="E29" s="30"/>
      <c r="F29" s="30"/>
      <c r="G29" s="30"/>
      <c r="H29" s="30"/>
      <c r="I29" s="30"/>
      <c r="J29" s="129">
        <f>SUM(C29:I29)+'7월'!H29</f>
        <v>0</v>
      </c>
      <c r="K29" s="121"/>
      <c r="L29" s="112" t="str">
        <f>IF(J29&gt;=15,"O","X")</f>
        <v>X</v>
      </c>
      <c r="M29" s="131" t="str">
        <f>IF(J29&lt;=0,"O","X")</f>
        <v>O</v>
      </c>
    </row>
    <row r="30" spans="1:13" ht="15.75" customHeight="1">
      <c r="A30" s="104"/>
      <c r="B30" s="50" t="s">
        <v>31</v>
      </c>
      <c r="C30" s="27"/>
      <c r="D30" s="28"/>
      <c r="E30" s="27"/>
      <c r="F30" s="27"/>
      <c r="G30" s="27"/>
      <c r="H30" s="27"/>
      <c r="I30" s="27">
        <v>3</v>
      </c>
      <c r="J30" s="91">
        <f>SUM(C30:I30)+'7월'!H30</f>
        <v>3</v>
      </c>
      <c r="K30" s="121"/>
      <c r="L30" s="116" t="str">
        <f>IF(J30&gt;=15,"O","X")</f>
        <v>X</v>
      </c>
      <c r="M30" s="116" t="str">
        <f>IF(J30&lt;=0,"O","X")</f>
        <v>X</v>
      </c>
    </row>
    <row r="31" spans="1:13" ht="15.75" customHeight="1">
      <c r="A31" s="104"/>
      <c r="B31" s="51" t="s">
        <v>32</v>
      </c>
      <c r="C31" s="54"/>
      <c r="D31" s="55"/>
      <c r="E31" s="54"/>
      <c r="F31" s="54"/>
      <c r="G31" s="54"/>
      <c r="H31" s="54"/>
      <c r="I31" s="54"/>
      <c r="J31" s="129">
        <f>SUM(C31:I31)+'7월'!H31</f>
        <v>0</v>
      </c>
      <c r="K31" s="121"/>
      <c r="L31" s="112" t="str">
        <f>IF(J31&gt;=15,"O","X")</f>
        <v>X</v>
      </c>
      <c r="M31" s="131" t="str">
        <f>IF(J31&lt;=0,"O","X")</f>
        <v>O</v>
      </c>
    </row>
    <row r="32" spans="1:13" ht="15.75" customHeight="1">
      <c r="A32" s="104"/>
      <c r="B32" s="57" t="s">
        <v>37</v>
      </c>
      <c r="C32" s="58">
        <v>3</v>
      </c>
      <c r="D32" s="59"/>
      <c r="E32" s="58"/>
      <c r="F32" s="58"/>
      <c r="G32" s="58"/>
      <c r="H32" s="58"/>
      <c r="I32" s="58">
        <v>3</v>
      </c>
      <c r="J32" s="92">
        <f>SUM(C32:I32)+'7월'!H32</f>
        <v>20</v>
      </c>
      <c r="K32" s="121"/>
      <c r="L32" s="119" t="str">
        <f>IF(J32&gt;=15,"O","X")</f>
        <v>O</v>
      </c>
      <c r="M32" s="119" t="str">
        <f>IF(J32&lt;=0,"O","X")</f>
        <v>X</v>
      </c>
    </row>
    <row r="33" spans="1:13" ht="15.75" customHeight="1">
      <c r="A33" s="104"/>
      <c r="B33" s="52" t="s">
        <v>38</v>
      </c>
      <c r="C33" s="32"/>
      <c r="D33" s="60"/>
      <c r="E33" s="32"/>
      <c r="F33" s="32"/>
      <c r="G33" s="32"/>
      <c r="H33" s="32"/>
      <c r="I33" s="32"/>
      <c r="J33" s="70">
        <f>SUM(C33:I33)+'7월'!H33</f>
        <v>8</v>
      </c>
      <c r="K33" s="121"/>
      <c r="L33" s="112" t="str">
        <f>IF(J33&gt;=15,"O","X")</f>
        <v>X</v>
      </c>
      <c r="M33" s="112" t="str">
        <f>IF(J33&lt;=0,"O","X")</f>
        <v>X</v>
      </c>
    </row>
    <row r="34" spans="1:13" ht="15.75" customHeight="1">
      <c r="A34" s="104"/>
      <c r="B34" s="52" t="s">
        <v>39</v>
      </c>
      <c r="C34" s="33"/>
      <c r="D34" s="34"/>
      <c r="E34" s="33"/>
      <c r="F34" s="33"/>
      <c r="G34" s="33"/>
      <c r="H34" s="33"/>
      <c r="I34" s="33"/>
      <c r="J34" s="93">
        <f>SUM(C34:I34)+'7월'!H34</f>
        <v>6</v>
      </c>
      <c r="K34" s="121"/>
      <c r="L34" s="119" t="str">
        <f>IF(J34&gt;=15,"O","X")</f>
        <v>X</v>
      </c>
      <c r="M34" s="119" t="str">
        <f>IF(J34&lt;=0,"O","X")</f>
        <v>X</v>
      </c>
    </row>
    <row r="35" spans="1:13" ht="15.75" customHeight="1">
      <c r="A35" s="104"/>
      <c r="B35" s="52" t="s">
        <v>40</v>
      </c>
      <c r="C35" s="32"/>
      <c r="D35" s="60">
        <v>5</v>
      </c>
      <c r="E35" s="32"/>
      <c r="F35" s="32">
        <v>1</v>
      </c>
      <c r="G35" s="32"/>
      <c r="H35" s="32">
        <v>1</v>
      </c>
      <c r="I35" s="32"/>
      <c r="J35" s="70">
        <f>SUM(C35:I35)+'7월'!H35</f>
        <v>19</v>
      </c>
      <c r="K35" s="121"/>
      <c r="L35" s="112" t="str">
        <f>IF(J35&gt;=15,"O","X")</f>
        <v>O</v>
      </c>
      <c r="M35" s="112" t="str">
        <f>IF(J35&lt;=0,"O","X")</f>
        <v>X</v>
      </c>
    </row>
    <row r="36" spans="1:13" ht="15.75" customHeight="1">
      <c r="A36" s="104"/>
      <c r="B36" s="52" t="s">
        <v>41</v>
      </c>
      <c r="C36" s="33"/>
      <c r="D36" s="34">
        <v>5</v>
      </c>
      <c r="E36" s="33"/>
      <c r="F36" s="33"/>
      <c r="G36" s="33"/>
      <c r="H36" s="33"/>
      <c r="I36" s="33"/>
      <c r="J36" s="93">
        <f>SUM(C36:I36)+'7월'!H36</f>
        <v>13</v>
      </c>
      <c r="K36" s="121"/>
      <c r="L36" s="119" t="str">
        <f>IF(J36&gt;=15,"O","X")</f>
        <v>X</v>
      </c>
      <c r="M36" s="119" t="str">
        <f>IF(J36&lt;=0,"O","X")</f>
        <v>X</v>
      </c>
    </row>
    <row r="37" spans="1:13" ht="15.75" customHeight="1">
      <c r="A37" s="104"/>
      <c r="B37" s="52" t="s">
        <v>42</v>
      </c>
      <c r="C37" s="32">
        <v>1</v>
      </c>
      <c r="D37" s="60"/>
      <c r="E37" s="32"/>
      <c r="F37" s="32"/>
      <c r="G37" s="32">
        <v>1</v>
      </c>
      <c r="H37" s="32"/>
      <c r="I37" s="32"/>
      <c r="J37" s="70">
        <f>SUM(C37:I37)+'7월'!H37</f>
        <v>9</v>
      </c>
      <c r="K37" s="121"/>
      <c r="L37" s="112" t="str">
        <f>IF(J37&gt;=15,"O","X")</f>
        <v>X</v>
      </c>
      <c r="M37" s="112" t="str">
        <f>IF(J37&lt;=0,"O","X")</f>
        <v>X</v>
      </c>
    </row>
    <row r="38" spans="1:13" ht="15.75" customHeight="1">
      <c r="A38" s="104"/>
      <c r="B38" s="53" t="s">
        <v>43</v>
      </c>
      <c r="C38" s="35"/>
      <c r="D38" s="36"/>
      <c r="E38" s="35"/>
      <c r="F38" s="35"/>
      <c r="G38" s="35"/>
      <c r="H38" s="35"/>
      <c r="I38" s="35"/>
      <c r="J38" s="93">
        <f>SUM(C38:I38)+'7월'!H38</f>
        <v>8</v>
      </c>
      <c r="K38" s="121"/>
      <c r="L38" s="119" t="str">
        <f>IF(J38&gt;=15,"O","X")</f>
        <v>X</v>
      </c>
      <c r="M38" s="119" t="str">
        <f>IF(J38&lt;=0,"O","X")</f>
        <v>X</v>
      </c>
    </row>
    <row r="39" spans="1:13" ht="15.75" customHeight="1">
      <c r="A39" s="104"/>
      <c r="B39" s="52" t="s">
        <v>45</v>
      </c>
      <c r="C39" s="32">
        <v>1</v>
      </c>
      <c r="D39" s="60"/>
      <c r="E39" s="32"/>
      <c r="F39" s="32"/>
      <c r="G39" s="32">
        <v>1</v>
      </c>
      <c r="H39" s="32"/>
      <c r="I39" s="32">
        <v>3</v>
      </c>
      <c r="J39" s="70">
        <f>SUM(C39:I39)+'7월'!H39</f>
        <v>15</v>
      </c>
      <c r="K39" s="121"/>
      <c r="L39" s="112" t="str">
        <f>IF(J39&gt;=15,"O","X")</f>
        <v>O</v>
      </c>
      <c r="M39" s="112" t="str">
        <f>IF(J39&lt;=0,"O","X")</f>
        <v>X</v>
      </c>
    </row>
    <row r="40" spans="1:13" ht="15.75" customHeight="1">
      <c r="A40" s="104"/>
      <c r="B40" s="52" t="s">
        <v>44</v>
      </c>
      <c r="C40" s="65"/>
      <c r="D40" s="66"/>
      <c r="E40" s="65"/>
      <c r="F40" s="65"/>
      <c r="G40" s="65"/>
      <c r="H40" s="65"/>
      <c r="I40" s="65"/>
      <c r="J40" s="93">
        <f>SUM(C40:I40)+'7월'!H40</f>
        <v>5</v>
      </c>
      <c r="K40" s="121"/>
      <c r="L40" s="119" t="str">
        <f>IF(J40&gt;=15,"O","X")</f>
        <v>X</v>
      </c>
      <c r="M40" s="119" t="str">
        <f>IF(J40&lt;=0,"O","X")</f>
        <v>X</v>
      </c>
    </row>
    <row r="41" spans="1:13" ht="15.75" customHeight="1">
      <c r="A41" s="104"/>
      <c r="B41" s="52" t="s">
        <v>46</v>
      </c>
      <c r="C41" s="64"/>
      <c r="D41" s="63"/>
      <c r="E41" s="64"/>
      <c r="F41" s="64"/>
      <c r="G41" s="64"/>
      <c r="H41" s="64"/>
      <c r="I41" s="64"/>
      <c r="J41" s="70">
        <f>SUM(C41:I41)+'7월'!H41</f>
        <v>5</v>
      </c>
      <c r="K41" s="121"/>
      <c r="L41" s="112" t="str">
        <f>IF(J41&gt;=15,"O","X")</f>
        <v>X</v>
      </c>
      <c r="M41" s="112" t="str">
        <f>IF(J41&lt;=0,"O","X")</f>
        <v>X</v>
      </c>
    </row>
    <row r="42" spans="1:13" ht="15.75" customHeight="1">
      <c r="A42" s="105"/>
      <c r="B42" s="61" t="s">
        <v>47</v>
      </c>
      <c r="C42" s="67">
        <v>1</v>
      </c>
      <c r="D42" s="68"/>
      <c r="E42" s="67"/>
      <c r="F42" s="67">
        <v>1</v>
      </c>
      <c r="G42" s="67"/>
      <c r="H42" s="67"/>
      <c r="I42" s="67"/>
      <c r="J42" s="93">
        <f>SUM(C42:I42)+'7월'!H42</f>
        <v>7</v>
      </c>
      <c r="K42" s="121"/>
      <c r="L42" s="119" t="str">
        <f>IF(J42&gt;=15,"O","X")</f>
        <v>X</v>
      </c>
      <c r="M42" s="119" t="str">
        <f>IF(J42&lt;=0,"O","X")</f>
        <v>X</v>
      </c>
    </row>
    <row r="43" spans="1:13" ht="15.75" customHeight="1">
      <c r="A43" s="106" t="s">
        <v>33</v>
      </c>
      <c r="B43" s="126"/>
      <c r="C43" s="37">
        <f>COUNT(C5:C42)</f>
        <v>14</v>
      </c>
      <c r="D43" s="37">
        <f t="shared" ref="D43:G43" si="0">COUNT(D5:D42)</f>
        <v>9</v>
      </c>
      <c r="E43" s="37">
        <f t="shared" si="0"/>
        <v>5</v>
      </c>
      <c r="F43" s="37">
        <f t="shared" si="0"/>
        <v>4</v>
      </c>
      <c r="G43" s="37">
        <f t="shared" si="0"/>
        <v>7</v>
      </c>
      <c r="H43" s="37">
        <f t="shared" ref="H43:I43" si="1">COUNT(H5:H42)</f>
        <v>3</v>
      </c>
      <c r="I43" s="37">
        <f t="shared" si="1"/>
        <v>16</v>
      </c>
      <c r="J43" s="127"/>
      <c r="K43" s="121"/>
      <c r="L43" s="128">
        <f>COUNTIF(L5:L42,"O")</f>
        <v>10</v>
      </c>
      <c r="M43" s="128">
        <f>COUNTIF(M5:M42,"O")</f>
        <v>5</v>
      </c>
    </row>
    <row r="44" spans="1:13" ht="15.75" customHeight="1">
      <c r="K44" s="121"/>
    </row>
    <row r="45" spans="1:13" ht="15.75" customHeight="1">
      <c r="K45" s="121"/>
    </row>
    <row r="46" spans="1:13" ht="15.75" customHeight="1">
      <c r="K46" s="121"/>
    </row>
    <row r="47" spans="1:13" ht="15.75" customHeight="1">
      <c r="K47" s="121"/>
    </row>
    <row r="48" spans="1:13" ht="15.75" customHeight="1">
      <c r="K48" s="121"/>
    </row>
    <row r="49" spans="11:11" ht="15.75" customHeight="1">
      <c r="K49" s="121"/>
    </row>
    <row r="50" spans="11:11" ht="15.75" customHeight="1">
      <c r="K50" s="121"/>
    </row>
    <row r="51" spans="11:11" ht="15.75" customHeight="1">
      <c r="K51" s="121"/>
    </row>
    <row r="52" spans="11:11" ht="15.75" customHeight="1">
      <c r="K52" s="121"/>
    </row>
    <row r="53" spans="11:11" ht="15.75" customHeight="1">
      <c r="K53" s="121"/>
    </row>
    <row r="54" spans="11:11" ht="15.75" customHeight="1">
      <c r="K54" s="121"/>
    </row>
    <row r="55" spans="11:11" ht="15.75" customHeight="1">
      <c r="K55" s="121"/>
    </row>
    <row r="56" spans="11:11" ht="15.75" customHeight="1">
      <c r="K56" s="121"/>
    </row>
    <row r="57" spans="11:11" ht="15.75" customHeight="1">
      <c r="K57" s="121"/>
    </row>
    <row r="58" spans="11:11" ht="15.75" customHeight="1">
      <c r="K58" s="121"/>
    </row>
    <row r="59" spans="11:11" ht="15.75" customHeight="1">
      <c r="K59" s="121"/>
    </row>
    <row r="60" spans="11:11" ht="15.75" customHeight="1">
      <c r="K60" s="121"/>
    </row>
    <row r="61" spans="11:11" ht="15.75" customHeight="1">
      <c r="K61" s="121"/>
    </row>
    <row r="62" spans="11:11" ht="15.75" customHeight="1">
      <c r="K62" s="121"/>
    </row>
    <row r="63" spans="11:11" ht="15.75" customHeight="1">
      <c r="K63" s="121"/>
    </row>
    <row r="64" spans="11:11" ht="15.75" customHeight="1">
      <c r="K64" s="121"/>
    </row>
    <row r="65" spans="11:11" ht="15.75" customHeight="1">
      <c r="K65" s="121"/>
    </row>
    <row r="66" spans="11:11" ht="15.75" customHeight="1">
      <c r="K66" s="121"/>
    </row>
    <row r="67" spans="11:11" ht="15.75" customHeight="1">
      <c r="K67" s="121"/>
    </row>
    <row r="68" spans="11:11" ht="15.75" customHeight="1">
      <c r="K68" s="121"/>
    </row>
    <row r="69" spans="11:11" ht="15.75" customHeight="1">
      <c r="K69" s="121"/>
    </row>
    <row r="70" spans="11:11" ht="15.75" customHeight="1">
      <c r="K70" s="121"/>
    </row>
    <row r="71" spans="11:11" ht="15.75" customHeight="1">
      <c r="K71" s="121"/>
    </row>
    <row r="72" spans="11:11" ht="15.75" customHeight="1">
      <c r="K72" s="121"/>
    </row>
    <row r="73" spans="11:11" ht="15.75" customHeight="1">
      <c r="K73" s="121"/>
    </row>
    <row r="74" spans="11:11" ht="15.75" customHeight="1">
      <c r="K74" s="121"/>
    </row>
    <row r="75" spans="11:11" ht="15.75" customHeight="1">
      <c r="K75" s="121"/>
    </row>
    <row r="76" spans="11:11" ht="15.75" customHeight="1">
      <c r="K76" s="121"/>
    </row>
    <row r="77" spans="11:11" ht="15.75" customHeight="1">
      <c r="K77" s="121"/>
    </row>
    <row r="78" spans="11:11" ht="15.75" customHeight="1">
      <c r="K78" s="121"/>
    </row>
    <row r="79" spans="11:11" ht="15.75" customHeight="1">
      <c r="K79" s="121"/>
    </row>
    <row r="80" spans="11:11" ht="15.75" customHeight="1">
      <c r="K80" s="121"/>
    </row>
    <row r="81" spans="11:11" ht="15.75" customHeight="1">
      <c r="K81" s="121"/>
    </row>
    <row r="82" spans="11:11" ht="15.75" customHeight="1">
      <c r="K82" s="121"/>
    </row>
    <row r="83" spans="11:11" ht="15.75" customHeight="1">
      <c r="K83" s="121"/>
    </row>
    <row r="84" spans="11:11" ht="15.75" customHeight="1">
      <c r="K84" s="121"/>
    </row>
    <row r="85" spans="11:11" ht="15.75" customHeight="1">
      <c r="K85" s="121"/>
    </row>
    <row r="86" spans="11:11" ht="15.75" customHeight="1">
      <c r="K86" s="121"/>
    </row>
    <row r="87" spans="11:11" ht="15.75" customHeight="1">
      <c r="K87" s="121"/>
    </row>
    <row r="88" spans="11:11" ht="15.75" customHeight="1">
      <c r="K88" s="121"/>
    </row>
    <row r="89" spans="11:11" ht="15.75" customHeight="1">
      <c r="K89" s="121"/>
    </row>
    <row r="90" spans="11:11" ht="15.75" customHeight="1">
      <c r="K90" s="121"/>
    </row>
    <row r="91" spans="11:11" ht="15.75" customHeight="1">
      <c r="K91" s="121"/>
    </row>
    <row r="92" spans="11:11" ht="15.75" customHeight="1">
      <c r="K92" s="121"/>
    </row>
    <row r="93" spans="11:11" ht="15.75" customHeight="1">
      <c r="K93" s="121"/>
    </row>
    <row r="94" spans="11:11" ht="15.75" customHeight="1">
      <c r="K94" s="121"/>
    </row>
    <row r="95" spans="11:11" ht="15.75" customHeight="1">
      <c r="K95" s="121"/>
    </row>
    <row r="96" spans="11:11" ht="15.75" customHeight="1">
      <c r="K96" s="121"/>
    </row>
    <row r="97" spans="11:11" ht="15.75" customHeight="1">
      <c r="K97" s="121"/>
    </row>
    <row r="98" spans="11:11" ht="15.75" customHeight="1">
      <c r="K98" s="121"/>
    </row>
    <row r="99" spans="11:11" ht="15.75" customHeight="1">
      <c r="K99" s="121"/>
    </row>
    <row r="100" spans="11:11" ht="15.75" customHeight="1">
      <c r="K100" s="121"/>
    </row>
    <row r="101" spans="11:11" ht="15.75" customHeight="1">
      <c r="K101" s="121"/>
    </row>
    <row r="102" spans="11:11" ht="15.75" customHeight="1">
      <c r="K102" s="121"/>
    </row>
    <row r="103" spans="11:11" ht="15.75" customHeight="1">
      <c r="K103" s="121"/>
    </row>
    <row r="104" spans="11:11" ht="15.75" customHeight="1">
      <c r="K104" s="121"/>
    </row>
    <row r="105" spans="11:11" ht="15.75" customHeight="1">
      <c r="K105" s="121"/>
    </row>
    <row r="106" spans="11:11" ht="15.75" customHeight="1">
      <c r="K106" s="121"/>
    </row>
    <row r="107" spans="11:11" ht="15.75" customHeight="1">
      <c r="K107" s="121"/>
    </row>
    <row r="108" spans="11:11" ht="15.75" customHeight="1">
      <c r="K108" s="121"/>
    </row>
    <row r="109" spans="11:11" ht="15.75" customHeight="1">
      <c r="K109" s="121"/>
    </row>
    <row r="110" spans="11:11" ht="15.75" customHeight="1">
      <c r="K110" s="121"/>
    </row>
    <row r="111" spans="11:11" ht="15.75" customHeight="1">
      <c r="K111" s="121"/>
    </row>
    <row r="112" spans="11:11" ht="15.75" customHeight="1">
      <c r="K112" s="121"/>
    </row>
    <row r="113" spans="11:11" ht="15.75" customHeight="1">
      <c r="K113" s="121"/>
    </row>
    <row r="114" spans="11:11" ht="15.75" customHeight="1">
      <c r="K114" s="121"/>
    </row>
    <row r="115" spans="11:11" ht="15.75" customHeight="1">
      <c r="K115" s="121"/>
    </row>
    <row r="116" spans="11:11" ht="15.75" customHeight="1">
      <c r="K116" s="121"/>
    </row>
    <row r="117" spans="11:11" ht="15.75" customHeight="1">
      <c r="K117" s="121"/>
    </row>
    <row r="118" spans="11:11" ht="15.75" customHeight="1">
      <c r="K118" s="121"/>
    </row>
    <row r="119" spans="11:11" ht="15.75" customHeight="1">
      <c r="K119" s="121"/>
    </row>
    <row r="120" spans="11:11" ht="15.75" customHeight="1">
      <c r="K120" s="121"/>
    </row>
    <row r="121" spans="11:11" ht="15.75" customHeight="1">
      <c r="K121" s="121"/>
    </row>
    <row r="122" spans="11:11" ht="15.75" customHeight="1">
      <c r="K122" s="121"/>
    </row>
    <row r="123" spans="11:11" ht="15.75" customHeight="1">
      <c r="K123" s="121"/>
    </row>
    <row r="124" spans="11:11" ht="15.75" customHeight="1">
      <c r="K124" s="121"/>
    </row>
    <row r="125" spans="11:11" ht="15.75" customHeight="1">
      <c r="K125" s="121"/>
    </row>
    <row r="126" spans="11:11" ht="15.75" customHeight="1">
      <c r="K126" s="121"/>
    </row>
    <row r="127" spans="11:11" ht="15.75" customHeight="1">
      <c r="K127" s="121"/>
    </row>
    <row r="128" spans="11:11" ht="15.75" customHeight="1">
      <c r="K128" s="121"/>
    </row>
    <row r="129" spans="11:11" ht="15.75" customHeight="1">
      <c r="K129" s="121"/>
    </row>
    <row r="130" spans="11:11" ht="15.75" customHeight="1">
      <c r="K130" s="121"/>
    </row>
    <row r="131" spans="11:11" ht="15.75" customHeight="1">
      <c r="K131" s="121"/>
    </row>
    <row r="132" spans="11:11" ht="15.75" customHeight="1">
      <c r="K132" s="121"/>
    </row>
    <row r="133" spans="11:11" ht="15.75" customHeight="1">
      <c r="K133" s="121"/>
    </row>
    <row r="134" spans="11:11" ht="15.75" customHeight="1">
      <c r="K134" s="121"/>
    </row>
    <row r="135" spans="11:11" ht="15.75" customHeight="1">
      <c r="K135" s="121"/>
    </row>
    <row r="136" spans="11:11" ht="15.75" customHeight="1">
      <c r="K136" s="121"/>
    </row>
    <row r="137" spans="11:11" ht="15.75" customHeight="1">
      <c r="K137" s="121"/>
    </row>
    <row r="138" spans="11:11" ht="15.75" customHeight="1">
      <c r="K138" s="121"/>
    </row>
    <row r="139" spans="11:11" ht="15.75" customHeight="1">
      <c r="K139" s="121"/>
    </row>
    <row r="140" spans="11:11" ht="15.75" customHeight="1">
      <c r="K140" s="121"/>
    </row>
    <row r="141" spans="11:11" ht="15.75" customHeight="1">
      <c r="K141" s="121"/>
    </row>
    <row r="142" spans="11:11" ht="15.75" customHeight="1">
      <c r="K142" s="121"/>
    </row>
    <row r="143" spans="11:11" ht="15.75" customHeight="1">
      <c r="K143" s="121"/>
    </row>
    <row r="144" spans="11:11" ht="15.75" customHeight="1">
      <c r="K144" s="121"/>
    </row>
    <row r="145" spans="11:11" ht="15.75" customHeight="1">
      <c r="K145" s="121"/>
    </row>
    <row r="146" spans="11:11" ht="15.75" customHeight="1">
      <c r="K146" s="121"/>
    </row>
    <row r="147" spans="11:11" ht="15.75" customHeight="1">
      <c r="K147" s="121"/>
    </row>
    <row r="148" spans="11:11" ht="15.75" customHeight="1">
      <c r="K148" s="121"/>
    </row>
    <row r="149" spans="11:11" ht="15.75" customHeight="1">
      <c r="K149" s="121"/>
    </row>
    <row r="150" spans="11:11" ht="15.75" customHeight="1">
      <c r="K150" s="121"/>
    </row>
    <row r="151" spans="11:11" ht="15.75" customHeight="1">
      <c r="K151" s="121"/>
    </row>
    <row r="152" spans="11:11" ht="15.75" customHeight="1">
      <c r="K152" s="121"/>
    </row>
    <row r="153" spans="11:11" ht="15.75" customHeight="1">
      <c r="K153" s="121"/>
    </row>
    <row r="154" spans="11:11" ht="15.75" customHeight="1">
      <c r="K154" s="121"/>
    </row>
    <row r="155" spans="11:11" ht="15.75" customHeight="1">
      <c r="K155" s="121"/>
    </row>
    <row r="156" spans="11:11" ht="15.75" customHeight="1">
      <c r="K156" s="121"/>
    </row>
    <row r="157" spans="11:11" ht="15.75" customHeight="1">
      <c r="K157" s="121"/>
    </row>
    <row r="158" spans="11:11" ht="15.75" customHeight="1">
      <c r="K158" s="121"/>
    </row>
    <row r="159" spans="11:11" ht="15.75" customHeight="1">
      <c r="K159" s="121"/>
    </row>
    <row r="160" spans="11:11" ht="15.75" customHeight="1">
      <c r="K160" s="121"/>
    </row>
    <row r="161" spans="11:11" ht="15.75" customHeight="1">
      <c r="K161" s="121"/>
    </row>
    <row r="162" spans="11:11" ht="15.75" customHeight="1">
      <c r="K162" s="121"/>
    </row>
    <row r="163" spans="11:11" ht="15.75" customHeight="1">
      <c r="K163" s="121"/>
    </row>
    <row r="164" spans="11:11" ht="15.75" customHeight="1">
      <c r="K164" s="121"/>
    </row>
    <row r="165" spans="11:11" ht="15.75" customHeight="1">
      <c r="K165" s="121"/>
    </row>
    <row r="166" spans="11:11" ht="15.75" customHeight="1">
      <c r="K166" s="121"/>
    </row>
    <row r="167" spans="11:11" ht="15.75" customHeight="1">
      <c r="K167" s="121"/>
    </row>
    <row r="168" spans="11:11" ht="15.75" customHeight="1">
      <c r="K168" s="121"/>
    </row>
    <row r="169" spans="11:11" ht="15.75" customHeight="1">
      <c r="K169" s="121"/>
    </row>
    <row r="170" spans="11:11" ht="15.75" customHeight="1">
      <c r="K170" s="121"/>
    </row>
    <row r="171" spans="11:11" ht="15.75" customHeight="1">
      <c r="K171" s="121"/>
    </row>
    <row r="172" spans="11:11" ht="15.75" customHeight="1">
      <c r="K172" s="121"/>
    </row>
    <row r="173" spans="11:11" ht="15.75" customHeight="1">
      <c r="K173" s="121"/>
    </row>
    <row r="174" spans="11:11" ht="15.75" customHeight="1">
      <c r="K174" s="121"/>
    </row>
    <row r="175" spans="11:11" ht="15.75" customHeight="1">
      <c r="K175" s="121"/>
    </row>
    <row r="176" spans="11:11" ht="15.75" customHeight="1">
      <c r="K176" s="121"/>
    </row>
    <row r="177" spans="11:11" ht="15.75" customHeight="1">
      <c r="K177" s="121"/>
    </row>
    <row r="178" spans="11:11" ht="15.75" customHeight="1">
      <c r="K178" s="121"/>
    </row>
    <row r="179" spans="11:11" ht="15.75" customHeight="1">
      <c r="K179" s="121"/>
    </row>
    <row r="180" spans="11:11" ht="15.75" customHeight="1">
      <c r="K180" s="121"/>
    </row>
    <row r="181" spans="11:11" ht="15.75" customHeight="1">
      <c r="K181" s="121"/>
    </row>
    <row r="182" spans="11:11" ht="15.75" customHeight="1">
      <c r="K182" s="121"/>
    </row>
    <row r="183" spans="11:11" ht="15.75" customHeight="1">
      <c r="K183" s="121"/>
    </row>
    <row r="184" spans="11:11" ht="15.75" customHeight="1">
      <c r="K184" s="121"/>
    </row>
    <row r="185" spans="11:11" ht="15.75" customHeight="1">
      <c r="K185" s="121"/>
    </row>
    <row r="186" spans="11:11" ht="15.75" customHeight="1">
      <c r="K186" s="121"/>
    </row>
    <row r="187" spans="11:11" ht="15.75" customHeight="1">
      <c r="K187" s="121"/>
    </row>
    <row r="188" spans="11:11" ht="15.75" customHeight="1">
      <c r="K188" s="121"/>
    </row>
    <row r="189" spans="11:11" ht="15.75" customHeight="1">
      <c r="K189" s="121"/>
    </row>
    <row r="190" spans="11:11" ht="15.75" customHeight="1">
      <c r="K190" s="121"/>
    </row>
    <row r="191" spans="11:11" ht="15.75" customHeight="1">
      <c r="K191" s="121"/>
    </row>
    <row r="192" spans="11:11" ht="15.75" customHeight="1">
      <c r="K192" s="121"/>
    </row>
    <row r="193" spans="11:11" ht="15.75" customHeight="1">
      <c r="K193" s="121"/>
    </row>
    <row r="194" spans="11:11" ht="15.75" customHeight="1">
      <c r="K194" s="121"/>
    </row>
    <row r="195" spans="11:11" ht="15.75" customHeight="1">
      <c r="K195" s="121"/>
    </row>
    <row r="196" spans="11:11" ht="15.75" customHeight="1">
      <c r="K196" s="121"/>
    </row>
    <row r="197" spans="11:11" ht="15.75" customHeight="1">
      <c r="K197" s="121"/>
    </row>
    <row r="198" spans="11:11" ht="15.75" customHeight="1">
      <c r="K198" s="121"/>
    </row>
    <row r="199" spans="11:11" ht="15.75" customHeight="1">
      <c r="K199" s="121"/>
    </row>
    <row r="200" spans="11:11" ht="15.75" customHeight="1">
      <c r="K200" s="121"/>
    </row>
    <row r="201" spans="11:11" ht="15.75" customHeight="1">
      <c r="K201" s="121"/>
    </row>
    <row r="202" spans="11:11" ht="15.75" customHeight="1">
      <c r="K202" s="121"/>
    </row>
    <row r="203" spans="11:11" ht="15.75" customHeight="1">
      <c r="K203" s="121"/>
    </row>
    <row r="204" spans="11:11" ht="15.75" customHeight="1">
      <c r="K204" s="121"/>
    </row>
    <row r="205" spans="11:11" ht="15.75" customHeight="1">
      <c r="K205" s="121"/>
    </row>
    <row r="206" spans="11:11" ht="15.75" customHeight="1">
      <c r="K206" s="121"/>
    </row>
    <row r="207" spans="11:11" ht="15.75" customHeight="1">
      <c r="K207" s="121"/>
    </row>
    <row r="208" spans="11:11" ht="15.75" customHeight="1">
      <c r="K208" s="121"/>
    </row>
    <row r="209" spans="11:11" ht="15.75" customHeight="1">
      <c r="K209" s="121"/>
    </row>
    <row r="210" spans="11:11" ht="15.75" customHeight="1">
      <c r="K210" s="121"/>
    </row>
    <row r="211" spans="11:11" ht="15.75" customHeight="1">
      <c r="K211" s="121"/>
    </row>
    <row r="212" spans="11:11" ht="15.75" customHeight="1">
      <c r="K212" s="121"/>
    </row>
    <row r="213" spans="11:11" ht="15.75" customHeight="1">
      <c r="K213" s="121"/>
    </row>
    <row r="214" spans="11:11" ht="15.75" customHeight="1">
      <c r="K214" s="121"/>
    </row>
    <row r="215" spans="11:11" ht="15.75" customHeight="1">
      <c r="K215" s="121"/>
    </row>
    <row r="216" spans="11:11" ht="15.75" customHeight="1">
      <c r="K216" s="121"/>
    </row>
    <row r="217" spans="11:11" ht="15.75" customHeight="1">
      <c r="K217" s="121"/>
    </row>
    <row r="218" spans="11:11" ht="15.75" customHeight="1">
      <c r="K218" s="121"/>
    </row>
    <row r="219" spans="11:11" ht="15.75" customHeight="1">
      <c r="K219" s="121"/>
    </row>
    <row r="220" spans="11:11" ht="15.75" customHeight="1">
      <c r="K220" s="121"/>
    </row>
    <row r="221" spans="11:11" ht="15.75" customHeight="1">
      <c r="K221" s="121"/>
    </row>
    <row r="222" spans="11:11" ht="15.75" customHeight="1">
      <c r="K222" s="121"/>
    </row>
    <row r="223" spans="11:11" ht="15.75" customHeight="1">
      <c r="K223" s="121"/>
    </row>
    <row r="224" spans="11:11" ht="15.75" customHeight="1">
      <c r="K224" s="121"/>
    </row>
    <row r="225" spans="11:11" ht="15.75" customHeight="1">
      <c r="K225" s="121"/>
    </row>
    <row r="226" spans="11:11" ht="15.75" customHeight="1">
      <c r="K226" s="121"/>
    </row>
    <row r="227" spans="11:11" ht="15.75" customHeight="1">
      <c r="K227" s="121"/>
    </row>
    <row r="228" spans="11:11" ht="15.75" customHeight="1">
      <c r="K228" s="121"/>
    </row>
    <row r="229" spans="11:11" ht="15.75" customHeight="1">
      <c r="K229" s="121"/>
    </row>
    <row r="230" spans="11:11" ht="15.75" customHeight="1">
      <c r="K230" s="121"/>
    </row>
    <row r="231" spans="11:11" ht="15.75" customHeight="1">
      <c r="K231" s="121"/>
    </row>
    <row r="232" spans="11:11" ht="15.75" customHeight="1">
      <c r="K232" s="121"/>
    </row>
    <row r="233" spans="11:11" ht="15.75" customHeight="1">
      <c r="K233" s="121"/>
    </row>
    <row r="234" spans="11:11" ht="15.75" customHeight="1">
      <c r="K234" s="121"/>
    </row>
    <row r="235" spans="11:11" ht="15.75" customHeight="1">
      <c r="K235" s="121"/>
    </row>
    <row r="236" spans="11:11" ht="15.75" customHeight="1">
      <c r="K236" s="121"/>
    </row>
    <row r="237" spans="11:11" ht="15.75" customHeight="1">
      <c r="K237" s="121"/>
    </row>
    <row r="238" spans="11:11" ht="15.75" customHeight="1">
      <c r="K238" s="121"/>
    </row>
    <row r="239" spans="11:11" ht="15.75" customHeight="1">
      <c r="K239" s="121"/>
    </row>
    <row r="240" spans="11:11" ht="15.75" customHeight="1">
      <c r="K240" s="121"/>
    </row>
    <row r="241" spans="11:11" ht="15.75" customHeight="1">
      <c r="K241" s="121"/>
    </row>
    <row r="242" spans="11:11" ht="15.75" customHeight="1">
      <c r="K242" s="121"/>
    </row>
    <row r="243" spans="11:11" ht="15.75" customHeight="1">
      <c r="K243" s="121"/>
    </row>
    <row r="244" spans="11:11" ht="15.75" customHeight="1">
      <c r="K244" s="121"/>
    </row>
    <row r="245" spans="11:11" ht="15.75" customHeight="1">
      <c r="K245" s="121"/>
    </row>
    <row r="246" spans="11:11" ht="15.75" customHeight="1">
      <c r="K246" s="121"/>
    </row>
    <row r="247" spans="11:11" ht="15.75" customHeight="1">
      <c r="K247" s="121"/>
    </row>
    <row r="248" spans="11:11" ht="15.75" customHeight="1">
      <c r="K248" s="121"/>
    </row>
    <row r="249" spans="11:11" ht="15.75" customHeight="1">
      <c r="K249" s="121"/>
    </row>
    <row r="250" spans="11:11" ht="15.75" customHeight="1">
      <c r="K250" s="121"/>
    </row>
    <row r="251" spans="11:11" ht="15.75" customHeight="1">
      <c r="K251" s="121"/>
    </row>
    <row r="252" spans="11:11" ht="15.75" customHeight="1">
      <c r="K252" s="121"/>
    </row>
    <row r="253" spans="11:11" ht="15.75" customHeight="1">
      <c r="K253" s="121"/>
    </row>
    <row r="254" spans="11:11" ht="15.75" customHeight="1">
      <c r="K254" s="121"/>
    </row>
    <row r="255" spans="11:11" ht="15.75" customHeight="1">
      <c r="K255" s="121"/>
    </row>
    <row r="256" spans="11:11" ht="15.75" customHeight="1">
      <c r="K256" s="121"/>
    </row>
    <row r="257" spans="11:11" ht="15.75" customHeight="1">
      <c r="K257" s="121"/>
    </row>
    <row r="258" spans="11:11" ht="15.75" customHeight="1">
      <c r="K258" s="121"/>
    </row>
    <row r="259" spans="11:11" ht="15.75" customHeight="1">
      <c r="K259" s="121"/>
    </row>
    <row r="260" spans="11:11" ht="15.75" customHeight="1">
      <c r="K260" s="121"/>
    </row>
    <row r="261" spans="11:11" ht="15.75" customHeight="1">
      <c r="K261" s="121"/>
    </row>
    <row r="262" spans="11:11" ht="15.75" customHeight="1">
      <c r="K262" s="121"/>
    </row>
    <row r="263" spans="11:11" ht="15.75" customHeight="1">
      <c r="K263" s="121"/>
    </row>
    <row r="264" spans="11:11" ht="15.75" customHeight="1">
      <c r="K264" s="121"/>
    </row>
    <row r="265" spans="11:11" ht="15.75" customHeight="1">
      <c r="K265" s="121"/>
    </row>
    <row r="266" spans="11:11" ht="15.75" customHeight="1">
      <c r="K266" s="121"/>
    </row>
    <row r="267" spans="11:11" ht="15.75" customHeight="1">
      <c r="K267" s="121"/>
    </row>
    <row r="268" spans="11:11" ht="15.75" customHeight="1">
      <c r="K268" s="121"/>
    </row>
    <row r="269" spans="11:11" ht="15.75" customHeight="1">
      <c r="K269" s="121"/>
    </row>
    <row r="270" spans="11:11" ht="15.75" customHeight="1">
      <c r="K270" s="121"/>
    </row>
    <row r="271" spans="11:11" ht="15.75" customHeight="1">
      <c r="K271" s="121"/>
    </row>
    <row r="272" spans="11:11" ht="15.75" customHeight="1">
      <c r="K272" s="121"/>
    </row>
    <row r="273" spans="11:11" ht="15.75" customHeight="1">
      <c r="K273" s="121"/>
    </row>
    <row r="274" spans="11:11" ht="15.75" customHeight="1">
      <c r="K274" s="121"/>
    </row>
    <row r="275" spans="11:11" ht="15.75" customHeight="1">
      <c r="K275" s="121"/>
    </row>
    <row r="276" spans="11:11" ht="15.75" customHeight="1">
      <c r="K276" s="121"/>
    </row>
    <row r="277" spans="11:11" ht="15.75" customHeight="1">
      <c r="K277" s="121"/>
    </row>
    <row r="278" spans="11:11" ht="15.75" customHeight="1">
      <c r="K278" s="121"/>
    </row>
    <row r="279" spans="11:11" ht="15.75" customHeight="1">
      <c r="K279" s="121"/>
    </row>
    <row r="280" spans="11:11" ht="15.75" customHeight="1">
      <c r="K280" s="121"/>
    </row>
    <row r="281" spans="11:11" ht="15.75" customHeight="1">
      <c r="K281" s="121"/>
    </row>
    <row r="282" spans="11:11" ht="15.75" customHeight="1">
      <c r="K282" s="121"/>
    </row>
    <row r="283" spans="11:11" ht="15.75" customHeight="1">
      <c r="K283" s="121"/>
    </row>
    <row r="284" spans="11:11" ht="15.75" customHeight="1">
      <c r="K284" s="121"/>
    </row>
    <row r="285" spans="11:11" ht="15.75" customHeight="1">
      <c r="K285" s="121"/>
    </row>
    <row r="286" spans="11:11" ht="15.75" customHeight="1">
      <c r="K286" s="121"/>
    </row>
    <row r="287" spans="11:11" ht="15.75" customHeight="1">
      <c r="K287" s="121"/>
    </row>
    <row r="288" spans="11:11" ht="15.75" customHeight="1">
      <c r="K288" s="121"/>
    </row>
    <row r="289" spans="11:11" ht="15.75" customHeight="1">
      <c r="K289" s="121"/>
    </row>
    <row r="290" spans="11:11" ht="15.75" customHeight="1">
      <c r="K290" s="121"/>
    </row>
    <row r="291" spans="11:11" ht="15.75" customHeight="1">
      <c r="K291" s="121"/>
    </row>
    <row r="292" spans="11:11" ht="15.75" customHeight="1">
      <c r="K292" s="121"/>
    </row>
    <row r="293" spans="11:11" ht="15.75" customHeight="1">
      <c r="K293" s="121"/>
    </row>
    <row r="294" spans="11:11" ht="15.75" customHeight="1">
      <c r="K294" s="121"/>
    </row>
    <row r="295" spans="11:11" ht="15.75" customHeight="1">
      <c r="K295" s="121"/>
    </row>
    <row r="296" spans="11:11" ht="15.75" customHeight="1">
      <c r="K296" s="121"/>
    </row>
    <row r="297" spans="11:11" ht="15.75" customHeight="1">
      <c r="K297" s="121"/>
    </row>
    <row r="298" spans="11:11" ht="15.75" customHeight="1">
      <c r="K298" s="121"/>
    </row>
    <row r="299" spans="11:11" ht="15.75" customHeight="1">
      <c r="K299" s="121"/>
    </row>
    <row r="300" spans="11:11" ht="15.75" customHeight="1">
      <c r="K300" s="121"/>
    </row>
    <row r="301" spans="11:11" ht="15.75" customHeight="1">
      <c r="K301" s="121"/>
    </row>
    <row r="302" spans="11:11" ht="15.75" customHeight="1">
      <c r="K302" s="121"/>
    </row>
    <row r="303" spans="11:11" ht="15.75" customHeight="1">
      <c r="K303" s="121"/>
    </row>
    <row r="304" spans="11:11" ht="15.75" customHeight="1">
      <c r="K304" s="121"/>
    </row>
    <row r="305" spans="11:11" ht="15.75" customHeight="1">
      <c r="K305" s="121"/>
    </row>
    <row r="306" spans="11:11" ht="15.75" customHeight="1">
      <c r="K306" s="121"/>
    </row>
    <row r="307" spans="11:11" ht="15.75" customHeight="1">
      <c r="K307" s="121"/>
    </row>
    <row r="308" spans="11:11" ht="15.75" customHeight="1">
      <c r="K308" s="121"/>
    </row>
    <row r="309" spans="11:11" ht="15.75" customHeight="1">
      <c r="K309" s="121"/>
    </row>
    <row r="310" spans="11:11" ht="15.75" customHeight="1">
      <c r="K310" s="121"/>
    </row>
    <row r="311" spans="11:11" ht="15.75" customHeight="1">
      <c r="K311" s="121"/>
    </row>
    <row r="312" spans="11:11" ht="15.75" customHeight="1">
      <c r="K312" s="121"/>
    </row>
    <row r="313" spans="11:11" ht="15.75" customHeight="1">
      <c r="K313" s="121"/>
    </row>
    <row r="314" spans="11:11" ht="15.75" customHeight="1">
      <c r="K314" s="121"/>
    </row>
    <row r="315" spans="11:11" ht="15.75" customHeight="1">
      <c r="K315" s="121"/>
    </row>
    <row r="316" spans="11:11" ht="15.75" customHeight="1">
      <c r="K316" s="121"/>
    </row>
    <row r="317" spans="11:11" ht="15.75" customHeight="1">
      <c r="K317" s="121"/>
    </row>
    <row r="318" spans="11:11" ht="15.75" customHeight="1">
      <c r="K318" s="121"/>
    </row>
    <row r="319" spans="11:11" ht="15.75" customHeight="1">
      <c r="K319" s="121"/>
    </row>
    <row r="320" spans="11:11" ht="15.75" customHeight="1">
      <c r="K320" s="121"/>
    </row>
    <row r="321" spans="11:11" ht="15.75" customHeight="1">
      <c r="K321" s="121"/>
    </row>
    <row r="322" spans="11:11" ht="15.75" customHeight="1">
      <c r="K322" s="121"/>
    </row>
    <row r="323" spans="11:11" ht="15.75" customHeight="1">
      <c r="K323" s="121"/>
    </row>
    <row r="324" spans="11:11" ht="15.75" customHeight="1">
      <c r="K324" s="121"/>
    </row>
    <row r="325" spans="11:11" ht="15.75" customHeight="1">
      <c r="K325" s="121"/>
    </row>
    <row r="326" spans="11:11" ht="15.75" customHeight="1">
      <c r="K326" s="121"/>
    </row>
    <row r="327" spans="11:11" ht="15.75" customHeight="1">
      <c r="K327" s="121"/>
    </row>
    <row r="328" spans="11:11" ht="15.75" customHeight="1">
      <c r="K328" s="121"/>
    </row>
    <row r="329" spans="11:11" ht="15.75" customHeight="1">
      <c r="K329" s="121"/>
    </row>
    <row r="330" spans="11:11" ht="15.75" customHeight="1">
      <c r="K330" s="121"/>
    </row>
    <row r="331" spans="11:11" ht="15.75" customHeight="1">
      <c r="K331" s="121"/>
    </row>
    <row r="332" spans="11:11" ht="15.75" customHeight="1">
      <c r="K332" s="121"/>
    </row>
    <row r="333" spans="11:11" ht="15.75" customHeight="1">
      <c r="K333" s="121"/>
    </row>
    <row r="334" spans="11:11" ht="15.75" customHeight="1">
      <c r="K334" s="121"/>
    </row>
    <row r="335" spans="11:11" ht="15.75" customHeight="1">
      <c r="K335" s="121"/>
    </row>
    <row r="336" spans="11:11" ht="15.75" customHeight="1">
      <c r="K336" s="121"/>
    </row>
    <row r="337" spans="11:11" ht="15.75" customHeight="1">
      <c r="K337" s="121"/>
    </row>
    <row r="338" spans="11:11" ht="15.75" customHeight="1">
      <c r="K338" s="121"/>
    </row>
    <row r="339" spans="11:11" ht="15.75" customHeight="1">
      <c r="K339" s="121"/>
    </row>
    <row r="340" spans="11:11" ht="15.75" customHeight="1">
      <c r="K340" s="121"/>
    </row>
    <row r="341" spans="11:11" ht="15.75" customHeight="1">
      <c r="K341" s="121"/>
    </row>
    <row r="342" spans="11:11" ht="15.75" customHeight="1">
      <c r="K342" s="121"/>
    </row>
    <row r="343" spans="11:11" ht="15.75" customHeight="1">
      <c r="K343" s="121"/>
    </row>
    <row r="344" spans="11:11" ht="15.75" customHeight="1">
      <c r="K344" s="121"/>
    </row>
    <row r="345" spans="11:11" ht="15.75" customHeight="1">
      <c r="K345" s="121"/>
    </row>
    <row r="346" spans="11:11" ht="15.75" customHeight="1">
      <c r="K346" s="121"/>
    </row>
    <row r="347" spans="11:11" ht="15.75" customHeight="1">
      <c r="K347" s="121"/>
    </row>
    <row r="348" spans="11:11" ht="15.75" customHeight="1">
      <c r="K348" s="121"/>
    </row>
    <row r="349" spans="11:11" ht="15.75" customHeight="1">
      <c r="K349" s="121"/>
    </row>
    <row r="350" spans="11:11" ht="15.75" customHeight="1">
      <c r="K350" s="121"/>
    </row>
    <row r="351" spans="11:11" ht="15.75" customHeight="1">
      <c r="K351" s="121"/>
    </row>
    <row r="352" spans="11:11" ht="15.75" customHeight="1">
      <c r="K352" s="121"/>
    </row>
    <row r="353" spans="11:11" ht="15.75" customHeight="1">
      <c r="K353" s="121"/>
    </row>
    <row r="354" spans="11:11" ht="15.75" customHeight="1">
      <c r="K354" s="121"/>
    </row>
    <row r="355" spans="11:11" ht="15.75" customHeight="1">
      <c r="K355" s="121"/>
    </row>
    <row r="356" spans="11:11" ht="15.75" customHeight="1">
      <c r="K356" s="121"/>
    </row>
    <row r="357" spans="11:11" ht="15.75" customHeight="1">
      <c r="K357" s="121"/>
    </row>
    <row r="358" spans="11:11" ht="15.75" customHeight="1">
      <c r="K358" s="121"/>
    </row>
    <row r="359" spans="11:11" ht="15.75" customHeight="1">
      <c r="K359" s="121"/>
    </row>
    <row r="360" spans="11:11" ht="15.75" customHeight="1">
      <c r="K360" s="121"/>
    </row>
    <row r="361" spans="11:11" ht="15.75" customHeight="1">
      <c r="K361" s="121"/>
    </row>
    <row r="362" spans="11:11" ht="15.75" customHeight="1">
      <c r="K362" s="121"/>
    </row>
    <row r="363" spans="11:11" ht="15.75" customHeight="1">
      <c r="K363" s="121"/>
    </row>
    <row r="364" spans="11:11" ht="15.75" customHeight="1">
      <c r="K364" s="121"/>
    </row>
    <row r="365" spans="11:11" ht="15.75" customHeight="1">
      <c r="K365" s="121"/>
    </row>
    <row r="366" spans="11:11" ht="15.75" customHeight="1">
      <c r="K366" s="121"/>
    </row>
    <row r="367" spans="11:11" ht="15.75" customHeight="1">
      <c r="K367" s="121"/>
    </row>
    <row r="368" spans="11:11" ht="15.75" customHeight="1">
      <c r="K368" s="121"/>
    </row>
    <row r="369" spans="11:11" ht="15.75" customHeight="1">
      <c r="K369" s="121"/>
    </row>
    <row r="370" spans="11:11" ht="15.75" customHeight="1">
      <c r="K370" s="121"/>
    </row>
    <row r="371" spans="11:11" ht="15.75" customHeight="1">
      <c r="K371" s="121"/>
    </row>
    <row r="372" spans="11:11" ht="15.75" customHeight="1">
      <c r="K372" s="121"/>
    </row>
    <row r="373" spans="11:11" ht="15.75" customHeight="1">
      <c r="K373" s="121"/>
    </row>
    <row r="374" spans="11:11" ht="15.75" customHeight="1">
      <c r="K374" s="121"/>
    </row>
    <row r="375" spans="11:11" ht="15.75" customHeight="1">
      <c r="K375" s="121"/>
    </row>
    <row r="376" spans="11:11" ht="15.75" customHeight="1">
      <c r="K376" s="121"/>
    </row>
    <row r="377" spans="11:11" ht="15.75" customHeight="1">
      <c r="K377" s="121"/>
    </row>
    <row r="378" spans="11:11" ht="15.75" customHeight="1">
      <c r="K378" s="121"/>
    </row>
    <row r="379" spans="11:11" ht="15.75" customHeight="1">
      <c r="K379" s="121"/>
    </row>
    <row r="380" spans="11:11" ht="15.75" customHeight="1">
      <c r="K380" s="121"/>
    </row>
    <row r="381" spans="11:11" ht="15.75" customHeight="1">
      <c r="K381" s="121"/>
    </row>
    <row r="382" spans="11:11" ht="15.75" customHeight="1">
      <c r="K382" s="121"/>
    </row>
    <row r="383" spans="11:11" ht="15.75" customHeight="1">
      <c r="K383" s="121"/>
    </row>
    <row r="384" spans="11:11" ht="15.75" customHeight="1">
      <c r="K384" s="121"/>
    </row>
    <row r="385" spans="11:11" ht="15.75" customHeight="1">
      <c r="K385" s="121"/>
    </row>
    <row r="386" spans="11:11" ht="15.75" customHeight="1">
      <c r="K386" s="121"/>
    </row>
    <row r="387" spans="11:11" ht="15.75" customHeight="1">
      <c r="K387" s="121"/>
    </row>
    <row r="388" spans="11:11" ht="15.75" customHeight="1">
      <c r="K388" s="121"/>
    </row>
    <row r="389" spans="11:11" ht="15.75" customHeight="1">
      <c r="K389" s="121"/>
    </row>
    <row r="390" spans="11:11" ht="15.75" customHeight="1">
      <c r="K390" s="121"/>
    </row>
    <row r="391" spans="11:11" ht="15.75" customHeight="1">
      <c r="K391" s="121"/>
    </row>
    <row r="392" spans="11:11" ht="15.75" customHeight="1">
      <c r="K392" s="121"/>
    </row>
    <row r="393" spans="11:11" ht="15.75" customHeight="1">
      <c r="K393" s="121"/>
    </row>
    <row r="394" spans="11:11" ht="15.75" customHeight="1">
      <c r="K394" s="121"/>
    </row>
    <row r="395" spans="11:11" ht="15.75" customHeight="1">
      <c r="K395" s="121"/>
    </row>
    <row r="396" spans="11:11" ht="15.75" customHeight="1">
      <c r="K396" s="121"/>
    </row>
    <row r="397" spans="11:11" ht="15.75" customHeight="1">
      <c r="K397" s="121"/>
    </row>
    <row r="398" spans="11:11" ht="15.75" customHeight="1">
      <c r="K398" s="121"/>
    </row>
    <row r="399" spans="11:11" ht="15.75" customHeight="1">
      <c r="K399" s="121"/>
    </row>
    <row r="400" spans="11:11" ht="15.75" customHeight="1">
      <c r="K400" s="121"/>
    </row>
    <row r="401" spans="11:11" ht="15.75" customHeight="1">
      <c r="K401" s="121"/>
    </row>
    <row r="402" spans="11:11" ht="15.75" customHeight="1">
      <c r="K402" s="121"/>
    </row>
    <row r="403" spans="11:11" ht="15.75" customHeight="1">
      <c r="K403" s="121"/>
    </row>
    <row r="404" spans="11:11" ht="15.75" customHeight="1">
      <c r="K404" s="121"/>
    </row>
    <row r="405" spans="11:11" ht="15.75" customHeight="1">
      <c r="K405" s="121"/>
    </row>
    <row r="406" spans="11:11" ht="15.75" customHeight="1">
      <c r="K406" s="121"/>
    </row>
    <row r="407" spans="11:11" ht="15.75" customHeight="1">
      <c r="K407" s="121"/>
    </row>
    <row r="408" spans="11:11" ht="15.75" customHeight="1">
      <c r="K408" s="121"/>
    </row>
    <row r="409" spans="11:11" ht="15.75" customHeight="1">
      <c r="K409" s="121"/>
    </row>
    <row r="410" spans="11:11" ht="15.75" customHeight="1">
      <c r="K410" s="121"/>
    </row>
    <row r="411" spans="11:11" ht="15.75" customHeight="1">
      <c r="K411" s="121"/>
    </row>
    <row r="412" spans="11:11" ht="15.75" customHeight="1">
      <c r="K412" s="121"/>
    </row>
    <row r="413" spans="11:11" ht="15.75" customHeight="1">
      <c r="K413" s="121"/>
    </row>
    <row r="414" spans="11:11" ht="15.75" customHeight="1">
      <c r="K414" s="121"/>
    </row>
    <row r="415" spans="11:11" ht="15.75" customHeight="1">
      <c r="K415" s="121"/>
    </row>
    <row r="416" spans="11:11" ht="15.75" customHeight="1">
      <c r="K416" s="121"/>
    </row>
    <row r="417" spans="11:11" ht="15.75" customHeight="1">
      <c r="K417" s="121"/>
    </row>
    <row r="418" spans="11:11" ht="15.75" customHeight="1">
      <c r="K418" s="121"/>
    </row>
    <row r="419" spans="11:11" ht="15.75" customHeight="1">
      <c r="K419" s="121"/>
    </row>
    <row r="420" spans="11:11" ht="15.75" customHeight="1">
      <c r="K420" s="121"/>
    </row>
    <row r="421" spans="11:11" ht="15.75" customHeight="1">
      <c r="K421" s="121"/>
    </row>
    <row r="422" spans="11:11" ht="15.75" customHeight="1">
      <c r="K422" s="121"/>
    </row>
    <row r="423" spans="11:11" ht="15.75" customHeight="1">
      <c r="K423" s="121"/>
    </row>
    <row r="424" spans="11:11" ht="15.75" customHeight="1">
      <c r="K424" s="121"/>
    </row>
    <row r="425" spans="11:11" ht="15.75" customHeight="1">
      <c r="K425" s="121"/>
    </row>
    <row r="426" spans="11:11" ht="15.75" customHeight="1">
      <c r="K426" s="121"/>
    </row>
    <row r="427" spans="11:11" ht="15.75" customHeight="1">
      <c r="K427" s="121"/>
    </row>
    <row r="428" spans="11:11" ht="15.75" customHeight="1">
      <c r="K428" s="121"/>
    </row>
    <row r="429" spans="11:11" ht="15.75" customHeight="1">
      <c r="K429" s="121"/>
    </row>
    <row r="430" spans="11:11" ht="15.75" customHeight="1">
      <c r="K430" s="121"/>
    </row>
    <row r="431" spans="11:11" ht="15.75" customHeight="1">
      <c r="K431" s="121"/>
    </row>
    <row r="432" spans="11:11" ht="15.75" customHeight="1">
      <c r="K432" s="121"/>
    </row>
    <row r="433" spans="11:11" ht="15.75" customHeight="1">
      <c r="K433" s="121"/>
    </row>
    <row r="434" spans="11:11" ht="15.75" customHeight="1">
      <c r="K434" s="121"/>
    </row>
    <row r="435" spans="11:11" ht="15.75" customHeight="1">
      <c r="K435" s="121"/>
    </row>
    <row r="436" spans="11:11" ht="15.75" customHeight="1">
      <c r="K436" s="121"/>
    </row>
    <row r="437" spans="11:11" ht="15.75" customHeight="1">
      <c r="K437" s="121"/>
    </row>
    <row r="438" spans="11:11" ht="15.75" customHeight="1">
      <c r="K438" s="121"/>
    </row>
    <row r="439" spans="11:11" ht="15.75" customHeight="1">
      <c r="K439" s="121"/>
    </row>
    <row r="440" spans="11:11" ht="15.75" customHeight="1">
      <c r="K440" s="121"/>
    </row>
    <row r="441" spans="11:11" ht="15.75" customHeight="1">
      <c r="K441" s="121"/>
    </row>
    <row r="442" spans="11:11" ht="15.75" customHeight="1">
      <c r="K442" s="121"/>
    </row>
    <row r="443" spans="11:11" ht="15.75" customHeight="1">
      <c r="K443" s="121"/>
    </row>
    <row r="444" spans="11:11" ht="15.75" customHeight="1">
      <c r="K444" s="121"/>
    </row>
    <row r="445" spans="11:11" ht="15.75" customHeight="1">
      <c r="K445" s="121"/>
    </row>
    <row r="446" spans="11:11" ht="15.75" customHeight="1">
      <c r="K446" s="121"/>
    </row>
    <row r="447" spans="11:11" ht="15.75" customHeight="1">
      <c r="K447" s="121"/>
    </row>
    <row r="448" spans="11:11" ht="15.75" customHeight="1">
      <c r="K448" s="121"/>
    </row>
    <row r="449" spans="11:11" ht="15.75" customHeight="1">
      <c r="K449" s="121"/>
    </row>
    <row r="450" spans="11:11" ht="15.75" customHeight="1">
      <c r="K450" s="121"/>
    </row>
    <row r="451" spans="11:11" ht="15.75" customHeight="1">
      <c r="K451" s="121"/>
    </row>
    <row r="452" spans="11:11" ht="15.75" customHeight="1">
      <c r="K452" s="121"/>
    </row>
    <row r="453" spans="11:11" ht="15.75" customHeight="1">
      <c r="K453" s="121"/>
    </row>
    <row r="454" spans="11:11" ht="15.75" customHeight="1">
      <c r="K454" s="121"/>
    </row>
    <row r="455" spans="11:11" ht="15.75" customHeight="1">
      <c r="K455" s="121"/>
    </row>
    <row r="456" spans="11:11" ht="15.75" customHeight="1">
      <c r="K456" s="121"/>
    </row>
    <row r="457" spans="11:11" ht="15.75" customHeight="1">
      <c r="K457" s="121"/>
    </row>
    <row r="458" spans="11:11" ht="15.75" customHeight="1">
      <c r="K458" s="121"/>
    </row>
    <row r="459" spans="11:11" ht="15.75" customHeight="1">
      <c r="K459" s="121"/>
    </row>
    <row r="460" spans="11:11" ht="15.75" customHeight="1">
      <c r="K460" s="121"/>
    </row>
    <row r="461" spans="11:11" ht="15.75" customHeight="1">
      <c r="K461" s="121"/>
    </row>
    <row r="462" spans="11:11" ht="15.75" customHeight="1">
      <c r="K462" s="121"/>
    </row>
    <row r="463" spans="11:11" ht="15.75" customHeight="1">
      <c r="K463" s="121"/>
    </row>
    <row r="464" spans="11:11" ht="15.75" customHeight="1">
      <c r="K464" s="121"/>
    </row>
    <row r="465" spans="11:11" ht="15.75" customHeight="1">
      <c r="K465" s="121"/>
    </row>
    <row r="466" spans="11:11" ht="15.75" customHeight="1">
      <c r="K466" s="121"/>
    </row>
    <row r="467" spans="11:11" ht="15.75" customHeight="1">
      <c r="K467" s="121"/>
    </row>
    <row r="468" spans="11:11" ht="15.75" customHeight="1">
      <c r="K468" s="121"/>
    </row>
    <row r="469" spans="11:11" ht="15.75" customHeight="1">
      <c r="K469" s="121"/>
    </row>
    <row r="470" spans="11:11" ht="15.75" customHeight="1">
      <c r="K470" s="121"/>
    </row>
    <row r="471" spans="11:11" ht="15.75" customHeight="1">
      <c r="K471" s="121"/>
    </row>
    <row r="472" spans="11:11" ht="15.75" customHeight="1">
      <c r="K472" s="121"/>
    </row>
    <row r="473" spans="11:11" ht="15.75" customHeight="1">
      <c r="K473" s="121"/>
    </row>
    <row r="474" spans="11:11" ht="15.75" customHeight="1">
      <c r="K474" s="121"/>
    </row>
    <row r="475" spans="11:11" ht="15.75" customHeight="1">
      <c r="K475" s="121"/>
    </row>
    <row r="476" spans="11:11" ht="15.75" customHeight="1">
      <c r="K476" s="121"/>
    </row>
    <row r="477" spans="11:11" ht="15.75" customHeight="1">
      <c r="K477" s="121"/>
    </row>
    <row r="478" spans="11:11" ht="15.75" customHeight="1">
      <c r="K478" s="121"/>
    </row>
    <row r="479" spans="11:11" ht="15.75" customHeight="1">
      <c r="K479" s="121"/>
    </row>
    <row r="480" spans="11:11" ht="15.75" customHeight="1">
      <c r="K480" s="121"/>
    </row>
    <row r="481" spans="11:11" ht="15.75" customHeight="1">
      <c r="K481" s="121"/>
    </row>
    <row r="482" spans="11:11" ht="15.75" customHeight="1">
      <c r="K482" s="121"/>
    </row>
    <row r="483" spans="11:11" ht="15.75" customHeight="1">
      <c r="K483" s="121"/>
    </row>
    <row r="484" spans="11:11" ht="15.75" customHeight="1">
      <c r="K484" s="121"/>
    </row>
    <row r="485" spans="11:11" ht="15.75" customHeight="1">
      <c r="K485" s="121"/>
    </row>
    <row r="486" spans="11:11" ht="15.75" customHeight="1">
      <c r="K486" s="121"/>
    </row>
    <row r="487" spans="11:11" ht="15.75" customHeight="1">
      <c r="K487" s="121"/>
    </row>
    <row r="488" spans="11:11" ht="15.75" customHeight="1">
      <c r="K488" s="121"/>
    </row>
    <row r="489" spans="11:11" ht="15.75" customHeight="1">
      <c r="K489" s="121"/>
    </row>
    <row r="490" spans="11:11" ht="15.75" customHeight="1">
      <c r="K490" s="121"/>
    </row>
    <row r="491" spans="11:11" ht="15.75" customHeight="1">
      <c r="K491" s="121"/>
    </row>
    <row r="492" spans="11:11" ht="15.75" customHeight="1">
      <c r="K492" s="121"/>
    </row>
    <row r="493" spans="11:11" ht="15.75" customHeight="1">
      <c r="K493" s="121"/>
    </row>
    <row r="494" spans="11:11" ht="15.75" customHeight="1">
      <c r="K494" s="121"/>
    </row>
    <row r="495" spans="11:11" ht="15.75" customHeight="1">
      <c r="K495" s="121"/>
    </row>
    <row r="496" spans="11:11" ht="15.75" customHeight="1">
      <c r="K496" s="121"/>
    </row>
    <row r="497" spans="11:11" ht="15.75" customHeight="1">
      <c r="K497" s="121"/>
    </row>
    <row r="498" spans="11:11" ht="15.75" customHeight="1">
      <c r="K498" s="121"/>
    </row>
    <row r="499" spans="11:11" ht="15.75" customHeight="1">
      <c r="K499" s="121"/>
    </row>
    <row r="500" spans="11:11" ht="15.75" customHeight="1">
      <c r="K500" s="121"/>
    </row>
    <row r="501" spans="11:11" ht="15.75" customHeight="1">
      <c r="K501" s="121"/>
    </row>
    <row r="502" spans="11:11" ht="15.75" customHeight="1">
      <c r="K502" s="121"/>
    </row>
    <row r="503" spans="11:11" ht="15.75" customHeight="1">
      <c r="K503" s="121"/>
    </row>
    <row r="504" spans="11:11" ht="15.75" customHeight="1">
      <c r="K504" s="121"/>
    </row>
    <row r="505" spans="11:11" ht="15.75" customHeight="1">
      <c r="K505" s="121"/>
    </row>
    <row r="506" spans="11:11" ht="15.75" customHeight="1">
      <c r="K506" s="121"/>
    </row>
    <row r="507" spans="11:11" ht="15.75" customHeight="1">
      <c r="K507" s="121"/>
    </row>
    <row r="508" spans="11:11" ht="15.75" customHeight="1">
      <c r="K508" s="121"/>
    </row>
    <row r="509" spans="11:11" ht="15.75" customHeight="1">
      <c r="K509" s="121"/>
    </row>
    <row r="510" spans="11:11" ht="15.75" customHeight="1">
      <c r="K510" s="121"/>
    </row>
    <row r="511" spans="11:11" ht="15.75" customHeight="1">
      <c r="K511" s="121"/>
    </row>
    <row r="512" spans="11:11" ht="15.75" customHeight="1">
      <c r="K512" s="121"/>
    </row>
    <row r="513" spans="11:11" ht="15.75" customHeight="1">
      <c r="K513" s="121"/>
    </row>
    <row r="514" spans="11:11" ht="15.75" customHeight="1">
      <c r="K514" s="121"/>
    </row>
    <row r="515" spans="11:11" ht="15.75" customHeight="1">
      <c r="K515" s="121"/>
    </row>
    <row r="516" spans="11:11" ht="15.75" customHeight="1">
      <c r="K516" s="121"/>
    </row>
    <row r="517" spans="11:11" ht="15.75" customHeight="1">
      <c r="K517" s="121"/>
    </row>
    <row r="518" spans="11:11" ht="15.75" customHeight="1">
      <c r="K518" s="121"/>
    </row>
    <row r="519" spans="11:11" ht="15.75" customHeight="1">
      <c r="K519" s="121"/>
    </row>
    <row r="520" spans="11:11" ht="15.75" customHeight="1">
      <c r="K520" s="121"/>
    </row>
    <row r="521" spans="11:11" ht="15.75" customHeight="1">
      <c r="K521" s="121"/>
    </row>
    <row r="522" spans="11:11" ht="15.75" customHeight="1">
      <c r="K522" s="121"/>
    </row>
    <row r="523" spans="11:11" ht="15.75" customHeight="1">
      <c r="K523" s="121"/>
    </row>
    <row r="524" spans="11:11" ht="15.75" customHeight="1">
      <c r="K524" s="121"/>
    </row>
    <row r="525" spans="11:11" ht="15.75" customHeight="1">
      <c r="K525" s="121"/>
    </row>
    <row r="526" spans="11:11" ht="15.75" customHeight="1">
      <c r="K526" s="121"/>
    </row>
    <row r="527" spans="11:11" ht="15.75" customHeight="1">
      <c r="K527" s="121"/>
    </row>
    <row r="528" spans="11:11" ht="15.75" customHeight="1">
      <c r="K528" s="121"/>
    </row>
    <row r="529" spans="11:11" ht="15.75" customHeight="1">
      <c r="K529" s="121"/>
    </row>
    <row r="530" spans="11:11" ht="15.75" customHeight="1">
      <c r="K530" s="121"/>
    </row>
    <row r="531" spans="11:11" ht="15.75" customHeight="1">
      <c r="K531" s="121"/>
    </row>
    <row r="532" spans="11:11" ht="15.75" customHeight="1">
      <c r="K532" s="121"/>
    </row>
    <row r="533" spans="11:11" ht="15.75" customHeight="1">
      <c r="K533" s="121"/>
    </row>
    <row r="534" spans="11:11" ht="15.75" customHeight="1">
      <c r="K534" s="121"/>
    </row>
    <row r="535" spans="11:11" ht="15.75" customHeight="1">
      <c r="K535" s="121"/>
    </row>
    <row r="536" spans="11:11" ht="15.75" customHeight="1">
      <c r="K536" s="121"/>
    </row>
    <row r="537" spans="11:11" ht="15.75" customHeight="1">
      <c r="K537" s="121"/>
    </row>
    <row r="538" spans="11:11" ht="15.75" customHeight="1">
      <c r="K538" s="121"/>
    </row>
    <row r="539" spans="11:11" ht="15.75" customHeight="1">
      <c r="K539" s="121"/>
    </row>
    <row r="540" spans="11:11" ht="15.75" customHeight="1">
      <c r="K540" s="121"/>
    </row>
    <row r="541" spans="11:11" ht="15.75" customHeight="1">
      <c r="K541" s="121"/>
    </row>
    <row r="542" spans="11:11" ht="15.75" customHeight="1">
      <c r="K542" s="121"/>
    </row>
    <row r="543" spans="11:11" ht="15.75" customHeight="1">
      <c r="K543" s="121"/>
    </row>
    <row r="544" spans="11:11" ht="15.75" customHeight="1">
      <c r="K544" s="121"/>
    </row>
    <row r="545" spans="11:11" ht="15.75" customHeight="1">
      <c r="K545" s="121"/>
    </row>
    <row r="546" spans="11:11" ht="15.75" customHeight="1">
      <c r="K546" s="121"/>
    </row>
    <row r="547" spans="11:11" ht="15.75" customHeight="1">
      <c r="K547" s="121"/>
    </row>
    <row r="548" spans="11:11" ht="15.75" customHeight="1">
      <c r="K548" s="121"/>
    </row>
    <row r="549" spans="11:11" ht="15.75" customHeight="1">
      <c r="K549" s="121"/>
    </row>
    <row r="550" spans="11:11" ht="15.75" customHeight="1">
      <c r="K550" s="121"/>
    </row>
    <row r="551" spans="11:11" ht="15.75" customHeight="1">
      <c r="K551" s="121"/>
    </row>
    <row r="552" spans="11:11" ht="15.75" customHeight="1">
      <c r="K552" s="121"/>
    </row>
    <row r="553" spans="11:11" ht="15.75" customHeight="1">
      <c r="K553" s="121"/>
    </row>
    <row r="554" spans="11:11" ht="15.75" customHeight="1">
      <c r="K554" s="121"/>
    </row>
    <row r="555" spans="11:11" ht="15.75" customHeight="1">
      <c r="K555" s="121"/>
    </row>
    <row r="556" spans="11:11" ht="15.75" customHeight="1">
      <c r="K556" s="121"/>
    </row>
    <row r="557" spans="11:11" ht="15.75" customHeight="1">
      <c r="K557" s="121"/>
    </row>
    <row r="558" spans="11:11" ht="15.75" customHeight="1">
      <c r="K558" s="121"/>
    </row>
    <row r="559" spans="11:11" ht="15.75" customHeight="1">
      <c r="K559" s="121"/>
    </row>
    <row r="560" spans="11:11" ht="15.75" customHeight="1">
      <c r="K560" s="121"/>
    </row>
    <row r="561" spans="11:11" ht="15.75" customHeight="1">
      <c r="K561" s="121"/>
    </row>
    <row r="562" spans="11:11" ht="15.75" customHeight="1">
      <c r="K562" s="121"/>
    </row>
    <row r="563" spans="11:11" ht="15.75" customHeight="1">
      <c r="K563" s="121"/>
    </row>
    <row r="564" spans="11:11" ht="15.75" customHeight="1">
      <c r="K564" s="121"/>
    </row>
    <row r="565" spans="11:11" ht="15.75" customHeight="1">
      <c r="K565" s="121"/>
    </row>
    <row r="566" spans="11:11" ht="15.75" customHeight="1">
      <c r="K566" s="121"/>
    </row>
    <row r="567" spans="11:11" ht="15.75" customHeight="1">
      <c r="K567" s="121"/>
    </row>
    <row r="568" spans="11:11" ht="15.75" customHeight="1">
      <c r="K568" s="121"/>
    </row>
    <row r="569" spans="11:11" ht="15.75" customHeight="1">
      <c r="K569" s="121"/>
    </row>
    <row r="570" spans="11:11" ht="15.75" customHeight="1">
      <c r="K570" s="121"/>
    </row>
    <row r="571" spans="11:11" ht="15.75" customHeight="1">
      <c r="K571" s="121"/>
    </row>
    <row r="572" spans="11:11" ht="15.75" customHeight="1">
      <c r="K572" s="121"/>
    </row>
    <row r="573" spans="11:11" ht="15.75" customHeight="1">
      <c r="K573" s="121"/>
    </row>
    <row r="574" spans="11:11" ht="15.75" customHeight="1">
      <c r="K574" s="121"/>
    </row>
    <row r="575" spans="11:11" ht="15.75" customHeight="1">
      <c r="K575" s="121"/>
    </row>
    <row r="576" spans="11:11" ht="15.75" customHeight="1">
      <c r="K576" s="121"/>
    </row>
    <row r="577" spans="11:11" ht="15.75" customHeight="1">
      <c r="K577" s="121"/>
    </row>
    <row r="578" spans="11:11" ht="15.75" customHeight="1">
      <c r="K578" s="121"/>
    </row>
    <row r="579" spans="11:11" ht="15.75" customHeight="1">
      <c r="K579" s="121"/>
    </row>
    <row r="580" spans="11:11" ht="15.75" customHeight="1">
      <c r="K580" s="121"/>
    </row>
    <row r="581" spans="11:11" ht="15.75" customHeight="1">
      <c r="K581" s="121"/>
    </row>
    <row r="582" spans="11:11" ht="15.75" customHeight="1">
      <c r="K582" s="121"/>
    </row>
    <row r="583" spans="11:11" ht="15.75" customHeight="1">
      <c r="K583" s="121"/>
    </row>
    <row r="584" spans="11:11" ht="15.75" customHeight="1">
      <c r="K584" s="121"/>
    </row>
    <row r="585" spans="11:11" ht="15.75" customHeight="1">
      <c r="K585" s="121"/>
    </row>
    <row r="586" spans="11:11" ht="15.75" customHeight="1">
      <c r="K586" s="121"/>
    </row>
    <row r="587" spans="11:11" ht="15.75" customHeight="1">
      <c r="K587" s="121"/>
    </row>
    <row r="588" spans="11:11" ht="15.75" customHeight="1">
      <c r="K588" s="121"/>
    </row>
    <row r="589" spans="11:11" ht="15.75" customHeight="1">
      <c r="K589" s="121"/>
    </row>
    <row r="590" spans="11:11" ht="15.75" customHeight="1">
      <c r="K590" s="121"/>
    </row>
    <row r="591" spans="11:11" ht="15.75" customHeight="1">
      <c r="K591" s="121"/>
    </row>
    <row r="592" spans="11:11" ht="15.75" customHeight="1">
      <c r="K592" s="121"/>
    </row>
    <row r="593" spans="11:11" ht="15.75" customHeight="1">
      <c r="K593" s="121"/>
    </row>
    <row r="594" spans="11:11" ht="15.75" customHeight="1">
      <c r="K594" s="121"/>
    </row>
    <row r="595" spans="11:11" ht="15.75" customHeight="1">
      <c r="K595" s="121"/>
    </row>
    <row r="596" spans="11:11" ht="15.75" customHeight="1">
      <c r="K596" s="121"/>
    </row>
    <row r="597" spans="11:11" ht="15.75" customHeight="1">
      <c r="K597" s="121"/>
    </row>
    <row r="598" spans="11:11" ht="15.75" customHeight="1">
      <c r="K598" s="121"/>
    </row>
    <row r="599" spans="11:11" ht="15.75" customHeight="1">
      <c r="K599" s="121"/>
    </row>
    <row r="600" spans="11:11" ht="15.75" customHeight="1">
      <c r="K600" s="121"/>
    </row>
    <row r="601" spans="11:11" ht="15.75" customHeight="1">
      <c r="K601" s="121"/>
    </row>
    <row r="602" spans="11:11" ht="15.75" customHeight="1">
      <c r="K602" s="121"/>
    </row>
    <row r="603" spans="11:11" ht="15.75" customHeight="1">
      <c r="K603" s="121"/>
    </row>
    <row r="604" spans="11:11" ht="15.75" customHeight="1">
      <c r="K604" s="121"/>
    </row>
    <row r="605" spans="11:11" ht="15.75" customHeight="1">
      <c r="K605" s="121"/>
    </row>
    <row r="606" spans="11:11" ht="15.75" customHeight="1">
      <c r="K606" s="121"/>
    </row>
    <row r="607" spans="11:11" ht="15.75" customHeight="1">
      <c r="K607" s="121"/>
    </row>
    <row r="608" spans="11:11" ht="15.75" customHeight="1">
      <c r="K608" s="121"/>
    </row>
    <row r="609" spans="11:11" ht="15.75" customHeight="1">
      <c r="K609" s="121"/>
    </row>
    <row r="610" spans="11:11" ht="15.75" customHeight="1">
      <c r="K610" s="121"/>
    </row>
    <row r="611" spans="11:11" ht="15.75" customHeight="1">
      <c r="K611" s="121"/>
    </row>
    <row r="612" spans="11:11" ht="15.75" customHeight="1">
      <c r="K612" s="121"/>
    </row>
    <row r="613" spans="11:11" ht="15.75" customHeight="1">
      <c r="K613" s="121"/>
    </row>
    <row r="614" spans="11:11" ht="15.75" customHeight="1">
      <c r="K614" s="121"/>
    </row>
    <row r="615" spans="11:11" ht="15.75" customHeight="1">
      <c r="K615" s="121"/>
    </row>
    <row r="616" spans="11:11" ht="15.75" customHeight="1">
      <c r="K616" s="121"/>
    </row>
    <row r="617" spans="11:11" ht="15.75" customHeight="1">
      <c r="K617" s="121"/>
    </row>
    <row r="618" spans="11:11" ht="15.75" customHeight="1">
      <c r="K618" s="121"/>
    </row>
    <row r="619" spans="11:11" ht="15.75" customHeight="1">
      <c r="K619" s="121"/>
    </row>
    <row r="620" spans="11:11" ht="15.75" customHeight="1">
      <c r="K620" s="121"/>
    </row>
    <row r="621" spans="11:11" ht="15.75" customHeight="1">
      <c r="K621" s="121"/>
    </row>
    <row r="622" spans="11:11" ht="15.75" customHeight="1">
      <c r="K622" s="121"/>
    </row>
    <row r="623" spans="11:11" ht="15.75" customHeight="1">
      <c r="K623" s="121"/>
    </row>
    <row r="624" spans="11:11" ht="15.75" customHeight="1">
      <c r="K624" s="121"/>
    </row>
    <row r="625" spans="11:11" ht="15.75" customHeight="1">
      <c r="K625" s="121"/>
    </row>
    <row r="626" spans="11:11" ht="15.75" customHeight="1">
      <c r="K626" s="121"/>
    </row>
    <row r="627" spans="11:11" ht="15.75" customHeight="1">
      <c r="K627" s="121"/>
    </row>
    <row r="628" spans="11:11" ht="15.75" customHeight="1">
      <c r="K628" s="121"/>
    </row>
    <row r="629" spans="11:11" ht="15.75" customHeight="1">
      <c r="K629" s="121"/>
    </row>
    <row r="630" spans="11:11" ht="15.75" customHeight="1">
      <c r="K630" s="121"/>
    </row>
    <row r="631" spans="11:11" ht="15.75" customHeight="1">
      <c r="K631" s="121"/>
    </row>
    <row r="632" spans="11:11" ht="15.75" customHeight="1">
      <c r="K632" s="121"/>
    </row>
    <row r="633" spans="11:11" ht="15.75" customHeight="1">
      <c r="K633" s="121"/>
    </row>
    <row r="634" spans="11:11" ht="15.75" customHeight="1">
      <c r="K634" s="121"/>
    </row>
    <row r="635" spans="11:11" ht="15.75" customHeight="1">
      <c r="K635" s="121"/>
    </row>
    <row r="636" spans="11:11" ht="15.75" customHeight="1">
      <c r="K636" s="121"/>
    </row>
    <row r="637" spans="11:11" ht="15.75" customHeight="1">
      <c r="K637" s="121"/>
    </row>
    <row r="638" spans="11:11" ht="15.75" customHeight="1">
      <c r="K638" s="121"/>
    </row>
    <row r="639" spans="11:11" ht="15.75" customHeight="1">
      <c r="K639" s="121"/>
    </row>
    <row r="640" spans="11:11" ht="15.75" customHeight="1">
      <c r="K640" s="121"/>
    </row>
    <row r="641" spans="11:11" ht="15.75" customHeight="1">
      <c r="K641" s="121"/>
    </row>
    <row r="642" spans="11:11" ht="15.75" customHeight="1">
      <c r="K642" s="121"/>
    </row>
    <row r="643" spans="11:11" ht="15.75" customHeight="1">
      <c r="K643" s="121"/>
    </row>
    <row r="644" spans="11:11" ht="15.75" customHeight="1">
      <c r="K644" s="121"/>
    </row>
    <row r="645" spans="11:11" ht="15.75" customHeight="1">
      <c r="K645" s="121"/>
    </row>
    <row r="646" spans="11:11" ht="15.75" customHeight="1">
      <c r="K646" s="121"/>
    </row>
    <row r="647" spans="11:11" ht="15.75" customHeight="1">
      <c r="K647" s="121"/>
    </row>
    <row r="648" spans="11:11" ht="15.75" customHeight="1">
      <c r="K648" s="121"/>
    </row>
    <row r="649" spans="11:11" ht="15.75" customHeight="1">
      <c r="K649" s="121"/>
    </row>
    <row r="650" spans="11:11" ht="15.75" customHeight="1">
      <c r="K650" s="121"/>
    </row>
    <row r="651" spans="11:11" ht="15.75" customHeight="1">
      <c r="K651" s="121"/>
    </row>
    <row r="652" spans="11:11" ht="15.75" customHeight="1">
      <c r="K652" s="121"/>
    </row>
    <row r="653" spans="11:11" ht="15.75" customHeight="1">
      <c r="K653" s="121"/>
    </row>
    <row r="654" spans="11:11" ht="15.75" customHeight="1">
      <c r="K654" s="121"/>
    </row>
    <row r="655" spans="11:11" ht="15.75" customHeight="1">
      <c r="K655" s="121"/>
    </row>
    <row r="656" spans="11:11" ht="15.75" customHeight="1">
      <c r="K656" s="121"/>
    </row>
    <row r="657" spans="11:11" ht="15.75" customHeight="1">
      <c r="K657" s="121"/>
    </row>
    <row r="658" spans="11:11" ht="15.75" customHeight="1">
      <c r="K658" s="121"/>
    </row>
    <row r="659" spans="11:11" ht="15.75" customHeight="1">
      <c r="K659" s="121"/>
    </row>
    <row r="660" spans="11:11" ht="15.75" customHeight="1">
      <c r="K660" s="121"/>
    </row>
    <row r="661" spans="11:11" ht="15.75" customHeight="1">
      <c r="K661" s="121"/>
    </row>
    <row r="662" spans="11:11" ht="15.75" customHeight="1">
      <c r="K662" s="121"/>
    </row>
    <row r="663" spans="11:11" ht="15.75" customHeight="1">
      <c r="K663" s="121"/>
    </row>
    <row r="664" spans="11:11" ht="15.75" customHeight="1">
      <c r="K664" s="121"/>
    </row>
    <row r="665" spans="11:11" ht="15.75" customHeight="1">
      <c r="K665" s="121"/>
    </row>
    <row r="666" spans="11:11" ht="15.75" customHeight="1">
      <c r="K666" s="121"/>
    </row>
    <row r="667" spans="11:11" ht="15.75" customHeight="1">
      <c r="K667" s="121"/>
    </row>
    <row r="668" spans="11:11" ht="15.75" customHeight="1">
      <c r="K668" s="121"/>
    </row>
    <row r="669" spans="11:11" ht="15.75" customHeight="1">
      <c r="K669" s="121"/>
    </row>
    <row r="670" spans="11:11" ht="15.75" customHeight="1">
      <c r="K670" s="121"/>
    </row>
    <row r="671" spans="11:11" ht="15.75" customHeight="1">
      <c r="K671" s="121"/>
    </row>
    <row r="672" spans="11:11" ht="15.75" customHeight="1">
      <c r="K672" s="121"/>
    </row>
    <row r="673" spans="11:11" ht="15.75" customHeight="1">
      <c r="K673" s="121"/>
    </row>
    <row r="674" spans="11:11" ht="15.75" customHeight="1">
      <c r="K674" s="121"/>
    </row>
    <row r="675" spans="11:11" ht="15.75" customHeight="1">
      <c r="K675" s="121"/>
    </row>
    <row r="676" spans="11:11" ht="15.75" customHeight="1">
      <c r="K676" s="121"/>
    </row>
    <row r="677" spans="11:11" ht="15.75" customHeight="1">
      <c r="K677" s="121"/>
    </row>
    <row r="678" spans="11:11" ht="15.75" customHeight="1">
      <c r="K678" s="121"/>
    </row>
    <row r="679" spans="11:11" ht="15.75" customHeight="1">
      <c r="K679" s="121"/>
    </row>
    <row r="680" spans="11:11" ht="15.75" customHeight="1">
      <c r="K680" s="121"/>
    </row>
    <row r="681" spans="11:11" ht="15.75" customHeight="1">
      <c r="K681" s="121"/>
    </row>
    <row r="682" spans="11:11" ht="15.75" customHeight="1">
      <c r="K682" s="121"/>
    </row>
    <row r="683" spans="11:11" ht="15.75" customHeight="1">
      <c r="K683" s="121"/>
    </row>
    <row r="684" spans="11:11" ht="15.75" customHeight="1">
      <c r="K684" s="121"/>
    </row>
    <row r="685" spans="11:11" ht="15.75" customHeight="1">
      <c r="K685" s="121"/>
    </row>
    <row r="686" spans="11:11" ht="15.75" customHeight="1">
      <c r="K686" s="121"/>
    </row>
    <row r="687" spans="11:11" ht="15.75" customHeight="1">
      <c r="K687" s="121"/>
    </row>
    <row r="688" spans="11:11" ht="15.75" customHeight="1">
      <c r="K688" s="121"/>
    </row>
    <row r="689" spans="11:11" ht="15.75" customHeight="1">
      <c r="K689" s="121"/>
    </row>
    <row r="690" spans="11:11" ht="15.75" customHeight="1">
      <c r="K690" s="121"/>
    </row>
    <row r="691" spans="11:11" ht="15.75" customHeight="1">
      <c r="K691" s="121"/>
    </row>
    <row r="692" spans="11:11" ht="15.75" customHeight="1">
      <c r="K692" s="121"/>
    </row>
    <row r="693" spans="11:11" ht="15.75" customHeight="1">
      <c r="K693" s="121"/>
    </row>
    <row r="694" spans="11:11" ht="15.75" customHeight="1">
      <c r="K694" s="121"/>
    </row>
    <row r="695" spans="11:11" ht="15.75" customHeight="1">
      <c r="K695" s="121"/>
    </row>
    <row r="696" spans="11:11" ht="15.75" customHeight="1">
      <c r="K696" s="121"/>
    </row>
    <row r="697" spans="11:11" ht="15.75" customHeight="1">
      <c r="K697" s="121"/>
    </row>
    <row r="698" spans="11:11" ht="15.75" customHeight="1">
      <c r="K698" s="121"/>
    </row>
    <row r="699" spans="11:11" ht="15.75" customHeight="1">
      <c r="K699" s="121"/>
    </row>
    <row r="700" spans="11:11" ht="15.75" customHeight="1">
      <c r="K700" s="121"/>
    </row>
    <row r="701" spans="11:11" ht="15.75" customHeight="1">
      <c r="K701" s="121"/>
    </row>
    <row r="702" spans="11:11" ht="15.75" customHeight="1">
      <c r="K702" s="121"/>
    </row>
    <row r="703" spans="11:11" ht="15.75" customHeight="1">
      <c r="K703" s="121"/>
    </row>
    <row r="704" spans="11:11" ht="15.75" customHeight="1">
      <c r="K704" s="121"/>
    </row>
    <row r="705" spans="11:11" ht="15.75" customHeight="1">
      <c r="K705" s="121"/>
    </row>
    <row r="706" spans="11:11" ht="15.75" customHeight="1">
      <c r="K706" s="121"/>
    </row>
    <row r="707" spans="11:11" ht="15.75" customHeight="1">
      <c r="K707" s="121"/>
    </row>
    <row r="708" spans="11:11" ht="15.75" customHeight="1">
      <c r="K708" s="121"/>
    </row>
    <row r="709" spans="11:11" ht="15.75" customHeight="1">
      <c r="K709" s="121"/>
    </row>
    <row r="710" spans="11:11" ht="15.75" customHeight="1">
      <c r="K710" s="121"/>
    </row>
    <row r="711" spans="11:11" ht="15.75" customHeight="1">
      <c r="K711" s="121"/>
    </row>
    <row r="712" spans="11:11" ht="15.75" customHeight="1">
      <c r="K712" s="121"/>
    </row>
    <row r="713" spans="11:11" ht="15.75" customHeight="1">
      <c r="K713" s="121"/>
    </row>
    <row r="714" spans="11:11" ht="15.75" customHeight="1">
      <c r="K714" s="121"/>
    </row>
    <row r="715" spans="11:11" ht="15.75" customHeight="1">
      <c r="K715" s="121"/>
    </row>
    <row r="716" spans="11:11" ht="15.75" customHeight="1">
      <c r="K716" s="121"/>
    </row>
    <row r="717" spans="11:11" ht="15.75" customHeight="1">
      <c r="K717" s="121"/>
    </row>
    <row r="718" spans="11:11" ht="15.75" customHeight="1">
      <c r="K718" s="121"/>
    </row>
    <row r="719" spans="11:11" ht="15.75" customHeight="1">
      <c r="K719" s="121"/>
    </row>
    <row r="720" spans="11:11" ht="15.75" customHeight="1">
      <c r="K720" s="121"/>
    </row>
    <row r="721" spans="11:11" ht="15.75" customHeight="1">
      <c r="K721" s="121"/>
    </row>
    <row r="722" spans="11:11" ht="15.75" customHeight="1">
      <c r="K722" s="121"/>
    </row>
    <row r="723" spans="11:11" ht="15.75" customHeight="1">
      <c r="K723" s="121"/>
    </row>
    <row r="724" spans="11:11" ht="15.75" customHeight="1">
      <c r="K724" s="121"/>
    </row>
    <row r="725" spans="11:11" ht="15.75" customHeight="1">
      <c r="K725" s="121"/>
    </row>
    <row r="726" spans="11:11" ht="15.75" customHeight="1">
      <c r="K726" s="121"/>
    </row>
    <row r="727" spans="11:11" ht="15.75" customHeight="1">
      <c r="K727" s="121"/>
    </row>
    <row r="728" spans="11:11" ht="15.75" customHeight="1">
      <c r="K728" s="121"/>
    </row>
    <row r="729" spans="11:11" ht="15.75" customHeight="1">
      <c r="K729" s="121"/>
    </row>
    <row r="730" spans="11:11" ht="15.75" customHeight="1">
      <c r="K730" s="121"/>
    </row>
    <row r="731" spans="11:11" ht="15.75" customHeight="1">
      <c r="K731" s="121"/>
    </row>
    <row r="732" spans="11:11" ht="15.75" customHeight="1">
      <c r="K732" s="121"/>
    </row>
    <row r="733" spans="11:11" ht="15.75" customHeight="1">
      <c r="K733" s="121"/>
    </row>
    <row r="734" spans="11:11" ht="15.75" customHeight="1">
      <c r="K734" s="121"/>
    </row>
    <row r="735" spans="11:11" ht="15.75" customHeight="1">
      <c r="K735" s="121"/>
    </row>
    <row r="736" spans="11:11" ht="15.75" customHeight="1">
      <c r="K736" s="121"/>
    </row>
    <row r="737" spans="11:11" ht="15.75" customHeight="1">
      <c r="K737" s="121"/>
    </row>
    <row r="738" spans="11:11" ht="15.75" customHeight="1">
      <c r="K738" s="121"/>
    </row>
    <row r="739" spans="11:11" ht="15.75" customHeight="1">
      <c r="K739" s="121"/>
    </row>
    <row r="740" spans="11:11" ht="15.75" customHeight="1">
      <c r="K740" s="121"/>
    </row>
    <row r="741" spans="11:11" ht="15.75" customHeight="1">
      <c r="K741" s="121"/>
    </row>
    <row r="742" spans="11:11" ht="15.75" customHeight="1">
      <c r="K742" s="121"/>
    </row>
    <row r="743" spans="11:11" ht="15.75" customHeight="1">
      <c r="K743" s="121"/>
    </row>
    <row r="744" spans="11:11" ht="15.75" customHeight="1">
      <c r="K744" s="121"/>
    </row>
    <row r="745" spans="11:11" ht="15.75" customHeight="1">
      <c r="K745" s="121"/>
    </row>
    <row r="746" spans="11:11" ht="15.75" customHeight="1">
      <c r="K746" s="121"/>
    </row>
    <row r="747" spans="11:11" ht="15.75" customHeight="1">
      <c r="K747" s="121"/>
    </row>
    <row r="748" spans="11:11" ht="15.75" customHeight="1">
      <c r="K748" s="121"/>
    </row>
    <row r="749" spans="11:11" ht="15.75" customHeight="1">
      <c r="K749" s="121"/>
    </row>
    <row r="750" spans="11:11" ht="15.75" customHeight="1">
      <c r="K750" s="121"/>
    </row>
    <row r="751" spans="11:11" ht="15.75" customHeight="1">
      <c r="K751" s="121"/>
    </row>
    <row r="752" spans="11:11" ht="15.75" customHeight="1">
      <c r="K752" s="121"/>
    </row>
    <row r="753" spans="11:11" ht="15.75" customHeight="1">
      <c r="K753" s="121"/>
    </row>
    <row r="754" spans="11:11" ht="15.75" customHeight="1">
      <c r="K754" s="121"/>
    </row>
    <row r="755" spans="11:11" ht="15.75" customHeight="1">
      <c r="K755" s="121"/>
    </row>
    <row r="756" spans="11:11" ht="15.75" customHeight="1">
      <c r="K756" s="121"/>
    </row>
    <row r="757" spans="11:11" ht="15.75" customHeight="1">
      <c r="K757" s="121"/>
    </row>
    <row r="758" spans="11:11" ht="15.75" customHeight="1">
      <c r="K758" s="121"/>
    </row>
    <row r="759" spans="11:11" ht="15.75" customHeight="1">
      <c r="K759" s="121"/>
    </row>
    <row r="760" spans="11:11" ht="15.75" customHeight="1">
      <c r="K760" s="121"/>
    </row>
    <row r="761" spans="11:11" ht="15.75" customHeight="1">
      <c r="K761" s="121"/>
    </row>
    <row r="762" spans="11:11" ht="15.75" customHeight="1">
      <c r="K762" s="121"/>
    </row>
    <row r="763" spans="11:11" ht="15.75" customHeight="1">
      <c r="K763" s="121"/>
    </row>
    <row r="764" spans="11:11" ht="15.75" customHeight="1">
      <c r="K764" s="121"/>
    </row>
    <row r="765" spans="11:11" ht="15.75" customHeight="1">
      <c r="K765" s="121"/>
    </row>
    <row r="766" spans="11:11" ht="15.75" customHeight="1">
      <c r="K766" s="121"/>
    </row>
    <row r="767" spans="11:11" ht="15.75" customHeight="1">
      <c r="K767" s="121"/>
    </row>
    <row r="768" spans="11:11" ht="15.75" customHeight="1">
      <c r="K768" s="121"/>
    </row>
    <row r="769" spans="11:11" ht="15.75" customHeight="1">
      <c r="K769" s="121"/>
    </row>
    <row r="770" spans="11:11" ht="15.75" customHeight="1">
      <c r="K770" s="121"/>
    </row>
    <row r="771" spans="11:11" ht="15.75" customHeight="1">
      <c r="K771" s="121"/>
    </row>
    <row r="772" spans="11:11" ht="15.75" customHeight="1">
      <c r="K772" s="121"/>
    </row>
    <row r="773" spans="11:11" ht="15.75" customHeight="1">
      <c r="K773" s="121"/>
    </row>
    <row r="774" spans="11:11" ht="15.75" customHeight="1">
      <c r="K774" s="121"/>
    </row>
    <row r="775" spans="11:11" ht="15.75" customHeight="1">
      <c r="K775" s="121"/>
    </row>
    <row r="776" spans="11:11" ht="15.75" customHeight="1">
      <c r="K776" s="121"/>
    </row>
    <row r="777" spans="11:11" ht="15.75" customHeight="1">
      <c r="K777" s="121"/>
    </row>
    <row r="778" spans="11:11" ht="15.75" customHeight="1">
      <c r="K778" s="121"/>
    </row>
    <row r="779" spans="11:11" ht="15.75" customHeight="1">
      <c r="K779" s="121"/>
    </row>
    <row r="780" spans="11:11" ht="15.75" customHeight="1">
      <c r="K780" s="121"/>
    </row>
    <row r="781" spans="11:11" ht="15.75" customHeight="1">
      <c r="K781" s="121"/>
    </row>
    <row r="782" spans="11:11" ht="15.75" customHeight="1">
      <c r="K782" s="121"/>
    </row>
    <row r="783" spans="11:11" ht="15.75" customHeight="1">
      <c r="K783" s="121"/>
    </row>
    <row r="784" spans="11:11" ht="15.75" customHeight="1">
      <c r="K784" s="121"/>
    </row>
    <row r="785" spans="11:11" ht="15.75" customHeight="1">
      <c r="K785" s="121"/>
    </row>
    <row r="786" spans="11:11" ht="15.75" customHeight="1">
      <c r="K786" s="121"/>
    </row>
    <row r="787" spans="11:11" ht="15.75" customHeight="1">
      <c r="K787" s="121"/>
    </row>
    <row r="788" spans="11:11" ht="15.75" customHeight="1">
      <c r="K788" s="121"/>
    </row>
    <row r="789" spans="11:11" ht="15.75" customHeight="1">
      <c r="K789" s="121"/>
    </row>
    <row r="790" spans="11:11" ht="15.75" customHeight="1">
      <c r="K790" s="121"/>
    </row>
    <row r="791" spans="11:11" ht="15.75" customHeight="1">
      <c r="K791" s="121"/>
    </row>
    <row r="792" spans="11:11" ht="15.75" customHeight="1">
      <c r="K792" s="121"/>
    </row>
    <row r="793" spans="11:11" ht="15.75" customHeight="1">
      <c r="K793" s="121"/>
    </row>
    <row r="794" spans="11:11" ht="15.75" customHeight="1">
      <c r="K794" s="121"/>
    </row>
    <row r="795" spans="11:11" ht="15.75" customHeight="1">
      <c r="K795" s="121"/>
    </row>
    <row r="796" spans="11:11" ht="15.75" customHeight="1">
      <c r="K796" s="121"/>
    </row>
    <row r="797" spans="11:11" ht="15.75" customHeight="1">
      <c r="K797" s="121"/>
    </row>
    <row r="798" spans="11:11" ht="15.75" customHeight="1">
      <c r="K798" s="121"/>
    </row>
    <row r="799" spans="11:11" ht="15.75" customHeight="1">
      <c r="K799" s="121"/>
    </row>
    <row r="800" spans="11:11" ht="15.75" customHeight="1">
      <c r="K800" s="121"/>
    </row>
    <row r="801" spans="11:11" ht="15.75" customHeight="1">
      <c r="K801" s="121"/>
    </row>
    <row r="802" spans="11:11" ht="15.75" customHeight="1">
      <c r="K802" s="121"/>
    </row>
    <row r="803" spans="11:11" ht="15.75" customHeight="1">
      <c r="K803" s="121"/>
    </row>
    <row r="804" spans="11:11" ht="15.75" customHeight="1">
      <c r="K804" s="121"/>
    </row>
    <row r="805" spans="11:11" ht="15.75" customHeight="1">
      <c r="K805" s="121"/>
    </row>
    <row r="806" spans="11:11" ht="15.75" customHeight="1">
      <c r="K806" s="121"/>
    </row>
    <row r="807" spans="11:11" ht="15.75" customHeight="1">
      <c r="K807" s="121"/>
    </row>
    <row r="808" spans="11:11" ht="15.75" customHeight="1">
      <c r="K808" s="121"/>
    </row>
    <row r="809" spans="11:11" ht="15.75" customHeight="1">
      <c r="K809" s="121"/>
    </row>
    <row r="810" spans="11:11" ht="15.75" customHeight="1">
      <c r="K810" s="121"/>
    </row>
    <row r="811" spans="11:11" ht="15.75" customHeight="1">
      <c r="K811" s="121"/>
    </row>
    <row r="812" spans="11:11" ht="15.75" customHeight="1">
      <c r="K812" s="121"/>
    </row>
    <row r="813" spans="11:11" ht="15.75" customHeight="1">
      <c r="K813" s="121"/>
    </row>
    <row r="814" spans="11:11" ht="15.75" customHeight="1">
      <c r="K814" s="121"/>
    </row>
    <row r="815" spans="11:11" ht="15.75" customHeight="1">
      <c r="K815" s="121"/>
    </row>
    <row r="816" spans="11:11" ht="15.75" customHeight="1">
      <c r="K816" s="121"/>
    </row>
    <row r="817" spans="11:11" ht="15.75" customHeight="1">
      <c r="K817" s="121"/>
    </row>
    <row r="818" spans="11:11" ht="15.75" customHeight="1">
      <c r="K818" s="121"/>
    </row>
    <row r="819" spans="11:11" ht="15.75" customHeight="1">
      <c r="K819" s="121"/>
    </row>
    <row r="820" spans="11:11" ht="15.75" customHeight="1">
      <c r="K820" s="121"/>
    </row>
    <row r="821" spans="11:11" ht="15.75" customHeight="1">
      <c r="K821" s="121"/>
    </row>
    <row r="822" spans="11:11" ht="15.75" customHeight="1">
      <c r="K822" s="121"/>
    </row>
    <row r="823" spans="11:11" ht="15.75" customHeight="1">
      <c r="K823" s="121"/>
    </row>
    <row r="824" spans="11:11" ht="15.75" customHeight="1">
      <c r="K824" s="121"/>
    </row>
    <row r="825" spans="11:11" ht="15.75" customHeight="1">
      <c r="K825" s="121"/>
    </row>
    <row r="826" spans="11:11" ht="15.75" customHeight="1">
      <c r="K826" s="121"/>
    </row>
    <row r="827" spans="11:11" ht="15.75" customHeight="1">
      <c r="K827" s="121"/>
    </row>
    <row r="828" spans="11:11" ht="15.75" customHeight="1">
      <c r="K828" s="121"/>
    </row>
    <row r="829" spans="11:11" ht="15.75" customHeight="1">
      <c r="K829" s="121"/>
    </row>
    <row r="830" spans="11:11" ht="15.75" customHeight="1">
      <c r="K830" s="121"/>
    </row>
    <row r="831" spans="11:11" ht="15.75" customHeight="1">
      <c r="K831" s="121"/>
    </row>
    <row r="832" spans="11:11" ht="15.75" customHeight="1">
      <c r="K832" s="121"/>
    </row>
    <row r="833" spans="11:11" ht="15.75" customHeight="1">
      <c r="K833" s="121"/>
    </row>
    <row r="834" spans="11:11" ht="15.75" customHeight="1">
      <c r="K834" s="121"/>
    </row>
    <row r="835" spans="11:11" ht="15.75" customHeight="1">
      <c r="K835" s="121"/>
    </row>
    <row r="836" spans="11:11" ht="15.75" customHeight="1">
      <c r="K836" s="121"/>
    </row>
    <row r="837" spans="11:11" ht="15.75" customHeight="1">
      <c r="K837" s="121"/>
    </row>
    <row r="838" spans="11:11" ht="15.75" customHeight="1">
      <c r="K838" s="121"/>
    </row>
    <row r="839" spans="11:11" ht="15.75" customHeight="1">
      <c r="K839" s="121"/>
    </row>
    <row r="840" spans="11:11" ht="15.75" customHeight="1">
      <c r="K840" s="121"/>
    </row>
    <row r="841" spans="11:11" ht="15.75" customHeight="1">
      <c r="K841" s="121"/>
    </row>
    <row r="842" spans="11:11" ht="15.75" customHeight="1">
      <c r="K842" s="121"/>
    </row>
    <row r="843" spans="11:11" ht="15.75" customHeight="1">
      <c r="K843" s="121"/>
    </row>
    <row r="844" spans="11:11" ht="15.75" customHeight="1">
      <c r="K844" s="121"/>
    </row>
    <row r="845" spans="11:11" ht="15.75" customHeight="1">
      <c r="K845" s="121"/>
    </row>
    <row r="846" spans="11:11" ht="15.75" customHeight="1">
      <c r="K846" s="121"/>
    </row>
    <row r="847" spans="11:11" ht="15.75" customHeight="1">
      <c r="K847" s="121"/>
    </row>
    <row r="848" spans="11:11" ht="15.75" customHeight="1">
      <c r="K848" s="121"/>
    </row>
    <row r="849" spans="11:11" ht="15.75" customHeight="1">
      <c r="K849" s="121"/>
    </row>
    <row r="850" spans="11:11" ht="15.75" customHeight="1">
      <c r="K850" s="121"/>
    </row>
    <row r="851" spans="11:11" ht="15.75" customHeight="1">
      <c r="K851" s="121"/>
    </row>
    <row r="852" spans="11:11" ht="15.75" customHeight="1">
      <c r="K852" s="121"/>
    </row>
    <row r="853" spans="11:11" ht="15.75" customHeight="1">
      <c r="K853" s="121"/>
    </row>
    <row r="854" spans="11:11" ht="15.75" customHeight="1">
      <c r="K854" s="121"/>
    </row>
    <row r="855" spans="11:11" ht="15.75" customHeight="1">
      <c r="K855" s="121"/>
    </row>
    <row r="856" spans="11:11" ht="15.75" customHeight="1">
      <c r="K856" s="121"/>
    </row>
    <row r="857" spans="11:11" ht="15.75" customHeight="1">
      <c r="K857" s="121"/>
    </row>
    <row r="858" spans="11:11" ht="15.75" customHeight="1">
      <c r="K858" s="121"/>
    </row>
    <row r="859" spans="11:11" ht="15.75" customHeight="1">
      <c r="K859" s="121"/>
    </row>
    <row r="860" spans="11:11" ht="15.75" customHeight="1">
      <c r="K860" s="121"/>
    </row>
    <row r="861" spans="11:11" ht="15.75" customHeight="1">
      <c r="K861" s="121"/>
    </row>
    <row r="862" spans="11:11" ht="15.75" customHeight="1">
      <c r="K862" s="121"/>
    </row>
    <row r="863" spans="11:11" ht="15.75" customHeight="1">
      <c r="K863" s="121"/>
    </row>
    <row r="864" spans="11:11" ht="15.75" customHeight="1">
      <c r="K864" s="121"/>
    </row>
    <row r="865" spans="11:11" ht="15.75" customHeight="1">
      <c r="K865" s="121"/>
    </row>
    <row r="866" spans="11:11" ht="15.75" customHeight="1">
      <c r="K866" s="121"/>
    </row>
    <row r="867" spans="11:11" ht="15.75" customHeight="1">
      <c r="K867" s="121"/>
    </row>
    <row r="868" spans="11:11" ht="15.75" customHeight="1">
      <c r="K868" s="121"/>
    </row>
    <row r="869" spans="11:11" ht="15.75" customHeight="1">
      <c r="K869" s="121"/>
    </row>
    <row r="870" spans="11:11" ht="15.75" customHeight="1">
      <c r="K870" s="121"/>
    </row>
    <row r="871" spans="11:11" ht="15.75" customHeight="1">
      <c r="K871" s="121"/>
    </row>
    <row r="872" spans="11:11" ht="15.75" customHeight="1">
      <c r="K872" s="121"/>
    </row>
    <row r="873" spans="11:11" ht="15.75" customHeight="1">
      <c r="K873" s="121"/>
    </row>
    <row r="874" spans="11:11" ht="15.75" customHeight="1">
      <c r="K874" s="121"/>
    </row>
    <row r="875" spans="11:11" ht="15.75" customHeight="1">
      <c r="K875" s="121"/>
    </row>
    <row r="876" spans="11:11" ht="15.75" customHeight="1">
      <c r="K876" s="121"/>
    </row>
    <row r="877" spans="11:11" ht="15.75" customHeight="1">
      <c r="K877" s="121"/>
    </row>
    <row r="878" spans="11:11" ht="15.75" customHeight="1">
      <c r="K878" s="121"/>
    </row>
    <row r="879" spans="11:11" ht="15.75" customHeight="1">
      <c r="K879" s="121"/>
    </row>
    <row r="880" spans="11:11" ht="15.75" customHeight="1">
      <c r="K880" s="121"/>
    </row>
    <row r="881" spans="11:11" ht="15.75" customHeight="1">
      <c r="K881" s="121"/>
    </row>
    <row r="882" spans="11:11" ht="15.75" customHeight="1">
      <c r="K882" s="121"/>
    </row>
    <row r="883" spans="11:11" ht="15.75" customHeight="1">
      <c r="K883" s="121"/>
    </row>
    <row r="884" spans="11:11" ht="15.75" customHeight="1">
      <c r="K884" s="121"/>
    </row>
    <row r="885" spans="11:11" ht="15.75" customHeight="1">
      <c r="K885" s="121"/>
    </row>
    <row r="886" spans="11:11" ht="15.75" customHeight="1">
      <c r="K886" s="121"/>
    </row>
    <row r="887" spans="11:11" ht="15.75" customHeight="1">
      <c r="K887" s="121"/>
    </row>
    <row r="888" spans="11:11" ht="15.75" customHeight="1">
      <c r="K888" s="121"/>
    </row>
    <row r="889" spans="11:11" ht="15.75" customHeight="1">
      <c r="K889" s="121"/>
    </row>
    <row r="890" spans="11:11" ht="15.75" customHeight="1">
      <c r="K890" s="121"/>
    </row>
    <row r="891" spans="11:11" ht="15.75" customHeight="1">
      <c r="K891" s="121"/>
    </row>
    <row r="892" spans="11:11" ht="15.75" customHeight="1">
      <c r="K892" s="121"/>
    </row>
    <row r="893" spans="11:11" ht="15.75" customHeight="1">
      <c r="K893" s="121"/>
    </row>
    <row r="894" spans="11:11" ht="15.75" customHeight="1">
      <c r="K894" s="121"/>
    </row>
    <row r="895" spans="11:11" ht="15.75" customHeight="1">
      <c r="K895" s="121"/>
    </row>
    <row r="896" spans="11:11" ht="15.75" customHeight="1">
      <c r="K896" s="121"/>
    </row>
    <row r="897" spans="11:11" ht="15.75" customHeight="1">
      <c r="K897" s="121"/>
    </row>
    <row r="898" spans="11:11" ht="15.75" customHeight="1">
      <c r="K898" s="121"/>
    </row>
    <row r="899" spans="11:11" ht="15.75" customHeight="1">
      <c r="K899" s="121"/>
    </row>
    <row r="900" spans="11:11" ht="15.75" customHeight="1">
      <c r="K900" s="121"/>
    </row>
    <row r="901" spans="11:11" ht="15.75" customHeight="1">
      <c r="K901" s="121"/>
    </row>
    <row r="902" spans="11:11" ht="15.75" customHeight="1">
      <c r="K902" s="121"/>
    </row>
    <row r="903" spans="11:11" ht="15.75" customHeight="1">
      <c r="K903" s="121"/>
    </row>
    <row r="904" spans="11:11" ht="15.75" customHeight="1">
      <c r="K904" s="121"/>
    </row>
    <row r="905" spans="11:11" ht="15.75" customHeight="1">
      <c r="K905" s="121"/>
    </row>
    <row r="906" spans="11:11" ht="15.75" customHeight="1">
      <c r="K906" s="121"/>
    </row>
    <row r="907" spans="11:11" ht="15.75" customHeight="1">
      <c r="K907" s="121"/>
    </row>
    <row r="908" spans="11:11" ht="15.75" customHeight="1">
      <c r="K908" s="121"/>
    </row>
    <row r="909" spans="11:11" ht="15.75" customHeight="1">
      <c r="K909" s="121"/>
    </row>
    <row r="910" spans="11:11" ht="15.75" customHeight="1">
      <c r="K910" s="121"/>
    </row>
    <row r="911" spans="11:11" ht="15.75" customHeight="1">
      <c r="K911" s="121"/>
    </row>
    <row r="912" spans="11:11" ht="15.75" customHeight="1">
      <c r="K912" s="121"/>
    </row>
    <row r="913" spans="11:11" ht="15.75" customHeight="1">
      <c r="K913" s="121"/>
    </row>
    <row r="914" spans="11:11" ht="15.75" customHeight="1">
      <c r="K914" s="121"/>
    </row>
    <row r="915" spans="11:11" ht="15.75" customHeight="1">
      <c r="K915" s="121"/>
    </row>
    <row r="916" spans="11:11" ht="15.75" customHeight="1">
      <c r="K916" s="121"/>
    </row>
    <row r="917" spans="11:11" ht="15.75" customHeight="1">
      <c r="K917" s="121"/>
    </row>
    <row r="918" spans="11:11" ht="15.75" customHeight="1">
      <c r="K918" s="121"/>
    </row>
    <row r="919" spans="11:11" ht="15.75" customHeight="1">
      <c r="K919" s="121"/>
    </row>
    <row r="920" spans="11:11" ht="15.75" customHeight="1">
      <c r="K920" s="121"/>
    </row>
    <row r="921" spans="11:11" ht="15.75" customHeight="1">
      <c r="K921" s="121"/>
    </row>
    <row r="922" spans="11:11" ht="15.75" customHeight="1">
      <c r="K922" s="121"/>
    </row>
    <row r="923" spans="11:11" ht="15.75" customHeight="1">
      <c r="K923" s="121"/>
    </row>
    <row r="924" spans="11:11" ht="15.75" customHeight="1">
      <c r="K924" s="121"/>
    </row>
    <row r="925" spans="11:11" ht="15.75" customHeight="1">
      <c r="K925" s="121"/>
    </row>
    <row r="926" spans="11:11" ht="15.75" customHeight="1">
      <c r="K926" s="121"/>
    </row>
    <row r="927" spans="11:11" ht="15.75" customHeight="1">
      <c r="K927" s="121"/>
    </row>
    <row r="928" spans="11:11" ht="15.75" customHeight="1">
      <c r="K928" s="121"/>
    </row>
    <row r="929" spans="11:11" ht="15.75" customHeight="1">
      <c r="K929" s="121"/>
    </row>
    <row r="930" spans="11:11" ht="15.75" customHeight="1">
      <c r="K930" s="121"/>
    </row>
    <row r="931" spans="11:11" ht="15.75" customHeight="1">
      <c r="K931" s="121"/>
    </row>
    <row r="932" spans="11:11" ht="15.75" customHeight="1">
      <c r="K932" s="121"/>
    </row>
    <row r="933" spans="11:11" ht="15.75" customHeight="1">
      <c r="K933" s="121"/>
    </row>
    <row r="934" spans="11:11" ht="15.75" customHeight="1">
      <c r="K934" s="121"/>
    </row>
    <row r="935" spans="11:11" ht="15.75" customHeight="1">
      <c r="K935" s="121"/>
    </row>
    <row r="936" spans="11:11" ht="15.75" customHeight="1">
      <c r="K936" s="121"/>
    </row>
    <row r="937" spans="11:11" ht="15.75" customHeight="1">
      <c r="K937" s="121"/>
    </row>
    <row r="938" spans="11:11" ht="15.75" customHeight="1">
      <c r="K938" s="121"/>
    </row>
    <row r="939" spans="11:11" ht="15.75" customHeight="1">
      <c r="K939" s="121"/>
    </row>
    <row r="940" spans="11:11" ht="15.75" customHeight="1">
      <c r="K940" s="121"/>
    </row>
    <row r="941" spans="11:11" ht="15.75" customHeight="1">
      <c r="K941" s="121"/>
    </row>
    <row r="942" spans="11:11" ht="15.75" customHeight="1">
      <c r="K942" s="121"/>
    </row>
    <row r="943" spans="11:11" ht="15.75" customHeight="1">
      <c r="K943" s="121"/>
    </row>
    <row r="944" spans="11:11" ht="15.75" customHeight="1">
      <c r="K944" s="121"/>
    </row>
    <row r="945" spans="11:11" ht="15.75" customHeight="1">
      <c r="K945" s="121"/>
    </row>
    <row r="946" spans="11:11" ht="15.75" customHeight="1">
      <c r="K946" s="121"/>
    </row>
    <row r="947" spans="11:11" ht="15.75" customHeight="1">
      <c r="K947" s="121"/>
    </row>
    <row r="948" spans="11:11" ht="15.75" customHeight="1">
      <c r="K948" s="121"/>
    </row>
    <row r="949" spans="11:11" ht="15.75" customHeight="1">
      <c r="K949" s="121"/>
    </row>
    <row r="950" spans="11:11" ht="15.75" customHeight="1">
      <c r="K950" s="121"/>
    </row>
    <row r="951" spans="11:11" ht="15.75" customHeight="1">
      <c r="K951" s="121"/>
    </row>
    <row r="952" spans="11:11" ht="15.75" customHeight="1">
      <c r="K952" s="121"/>
    </row>
    <row r="953" spans="11:11" ht="15.75" customHeight="1">
      <c r="K953" s="121"/>
    </row>
    <row r="954" spans="11:11" ht="15.75" customHeight="1">
      <c r="K954" s="121"/>
    </row>
    <row r="955" spans="11:11" ht="15.75" customHeight="1">
      <c r="K955" s="121"/>
    </row>
    <row r="956" spans="11:11" ht="15.75" customHeight="1">
      <c r="K956" s="121"/>
    </row>
    <row r="957" spans="11:11" ht="15.75" customHeight="1">
      <c r="K957" s="121"/>
    </row>
    <row r="958" spans="11:11" ht="15.75" customHeight="1">
      <c r="K958" s="121"/>
    </row>
    <row r="959" spans="11:11" ht="15.75" customHeight="1">
      <c r="K959" s="121"/>
    </row>
    <row r="960" spans="11:11" ht="15.75" customHeight="1">
      <c r="K960" s="121"/>
    </row>
    <row r="961" spans="11:11" ht="15.75" customHeight="1">
      <c r="K961" s="121"/>
    </row>
    <row r="962" spans="11:11" ht="15.75" customHeight="1">
      <c r="K962" s="121"/>
    </row>
    <row r="963" spans="11:11" ht="15.75" customHeight="1">
      <c r="K963" s="121"/>
    </row>
    <row r="964" spans="11:11" ht="15.75" customHeight="1">
      <c r="K964" s="121"/>
    </row>
    <row r="965" spans="11:11" ht="15.75" customHeight="1">
      <c r="K965" s="121"/>
    </row>
    <row r="966" spans="11:11" ht="15.75" customHeight="1">
      <c r="K966" s="121"/>
    </row>
    <row r="967" spans="11:11" ht="15.75" customHeight="1">
      <c r="K967" s="121"/>
    </row>
    <row r="968" spans="11:11" ht="15.75" customHeight="1">
      <c r="K968" s="121"/>
    </row>
    <row r="969" spans="11:11" ht="15.75" customHeight="1">
      <c r="K969" s="121"/>
    </row>
    <row r="970" spans="11:11" ht="15.75" customHeight="1">
      <c r="K970" s="121"/>
    </row>
    <row r="971" spans="11:11" ht="15.75" customHeight="1">
      <c r="K971" s="121"/>
    </row>
    <row r="972" spans="11:11" ht="15.75" customHeight="1">
      <c r="K972" s="121"/>
    </row>
    <row r="973" spans="11:11" ht="15.75" customHeight="1">
      <c r="K973" s="121"/>
    </row>
    <row r="974" spans="11:11" ht="15.75" customHeight="1">
      <c r="K974" s="121"/>
    </row>
    <row r="975" spans="11:11" ht="15.75" customHeight="1">
      <c r="K975" s="121"/>
    </row>
    <row r="976" spans="11:11" ht="15.75" customHeight="1">
      <c r="K976" s="121"/>
    </row>
    <row r="977" spans="11:11" ht="15.75" customHeight="1">
      <c r="K977" s="121"/>
    </row>
    <row r="978" spans="11:11" ht="15.75" customHeight="1">
      <c r="K978" s="121"/>
    </row>
    <row r="979" spans="11:11" ht="15.75" customHeight="1">
      <c r="K979" s="121"/>
    </row>
    <row r="980" spans="11:11" ht="15.75" customHeight="1">
      <c r="K980" s="121"/>
    </row>
    <row r="981" spans="11:11" ht="15.75" customHeight="1">
      <c r="K981" s="121"/>
    </row>
    <row r="982" spans="11:11" ht="15.75" customHeight="1">
      <c r="K982" s="121"/>
    </row>
    <row r="983" spans="11:11" ht="15.75" customHeight="1">
      <c r="K983" s="121"/>
    </row>
    <row r="984" spans="11:11" ht="15.75" customHeight="1">
      <c r="K984" s="121"/>
    </row>
    <row r="985" spans="11:11" ht="15.75" customHeight="1">
      <c r="K985" s="121"/>
    </row>
    <row r="986" spans="11:11" ht="15.75" customHeight="1">
      <c r="K986" s="121"/>
    </row>
    <row r="987" spans="11:11" ht="15.75" customHeight="1">
      <c r="K987" s="121"/>
    </row>
    <row r="988" spans="11:11" ht="15.75" customHeight="1">
      <c r="K988" s="121"/>
    </row>
    <row r="989" spans="11:11" ht="15.75" customHeight="1">
      <c r="K989" s="121"/>
    </row>
    <row r="990" spans="11:11" ht="15.75" customHeight="1">
      <c r="K990" s="121"/>
    </row>
    <row r="991" spans="11:11" ht="15.75" customHeight="1">
      <c r="K991" s="121"/>
    </row>
    <row r="992" spans="11:11" ht="15.75" customHeight="1">
      <c r="K992" s="121"/>
    </row>
    <row r="993" spans="11:11" ht="15.75" customHeight="1">
      <c r="K993" s="121"/>
    </row>
    <row r="994" spans="11:11" ht="15.75" customHeight="1">
      <c r="K994" s="121"/>
    </row>
    <row r="995" spans="11:11" ht="15.75" customHeight="1">
      <c r="K995" s="121"/>
    </row>
    <row r="996" spans="11:11" ht="15.75" customHeight="1">
      <c r="K996" s="121"/>
    </row>
    <row r="997" spans="11:11" ht="15.75" customHeight="1">
      <c r="K997" s="121"/>
    </row>
    <row r="998" spans="11:11">
      <c r="K998" s="121"/>
    </row>
    <row r="999" spans="11:11">
      <c r="K999" s="121"/>
    </row>
    <row r="1000" spans="11:11">
      <c r="K1000" s="121"/>
    </row>
  </sheetData>
  <mergeCells count="5">
    <mergeCell ref="A1:A4"/>
    <mergeCell ref="J1:J4"/>
    <mergeCell ref="A5:A9"/>
    <mergeCell ref="A10:A42"/>
    <mergeCell ref="A43:B43"/>
  </mergeCells>
  <phoneticPr fontId="5" type="noConversion"/>
  <pageMargins left="0.7" right="0.7" top="0.75" bottom="0.75" header="0.3" footer="0.3"/>
  <ignoredErrors>
    <ignoredError sqref="C1 D1:F1 G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7"/>
  <sheetViews>
    <sheetView zoomScale="85" zoomScaleNormal="85" workbookViewId="0">
      <selection activeCell="N3" sqref="N3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7" width="18.42578125" customWidth="1"/>
    <col min="8" max="8" width="11.140625" bestFit="1" customWidth="1"/>
    <col min="9" max="9" width="18.42578125" customWidth="1"/>
    <col min="10" max="11" width="11.140625" customWidth="1"/>
  </cols>
  <sheetData>
    <row r="1" spans="1:8" ht="16.5">
      <c r="A1" s="94" t="s">
        <v>49</v>
      </c>
      <c r="B1" s="1" t="s">
        <v>0</v>
      </c>
      <c r="C1" s="3" t="s">
        <v>48</v>
      </c>
      <c r="D1" s="3" t="s">
        <v>52</v>
      </c>
      <c r="E1" s="2" t="s">
        <v>56</v>
      </c>
      <c r="F1" s="3" t="s">
        <v>53</v>
      </c>
      <c r="G1" s="3" t="s">
        <v>60</v>
      </c>
      <c r="H1" s="97" t="s">
        <v>1</v>
      </c>
    </row>
    <row r="2" spans="1:8" ht="16.5">
      <c r="A2" s="95"/>
      <c r="B2" s="4" t="s">
        <v>2</v>
      </c>
      <c r="C2" s="5" t="s">
        <v>34</v>
      </c>
      <c r="D2" s="5" t="s">
        <v>50</v>
      </c>
      <c r="E2" s="4" t="s">
        <v>57</v>
      </c>
      <c r="F2" s="5" t="s">
        <v>54</v>
      </c>
      <c r="G2" s="5" t="s">
        <v>62</v>
      </c>
      <c r="H2" s="98"/>
    </row>
    <row r="3" spans="1:8" ht="16.5">
      <c r="A3" s="95"/>
      <c r="B3" s="6" t="s">
        <v>3</v>
      </c>
      <c r="C3" s="7" t="s">
        <v>4</v>
      </c>
      <c r="D3" s="7" t="s">
        <v>61</v>
      </c>
      <c r="E3" s="6" t="s">
        <v>58</v>
      </c>
      <c r="F3" s="7" t="s">
        <v>55</v>
      </c>
      <c r="G3" s="7" t="s">
        <v>63</v>
      </c>
      <c r="H3" s="98"/>
    </row>
    <row r="4" spans="1:8" ht="16.5">
      <c r="A4" s="96"/>
      <c r="B4" s="8" t="s">
        <v>5</v>
      </c>
      <c r="C4" s="9" t="s">
        <v>4</v>
      </c>
      <c r="D4" s="9" t="s">
        <v>51</v>
      </c>
      <c r="E4" s="8" t="s">
        <v>59</v>
      </c>
      <c r="F4" s="9"/>
      <c r="G4" s="9" t="s">
        <v>51</v>
      </c>
      <c r="H4" s="99"/>
    </row>
    <row r="5" spans="1:8" ht="16.5">
      <c r="A5" s="100" t="s">
        <v>9</v>
      </c>
      <c r="B5" s="10" t="s">
        <v>6</v>
      </c>
      <c r="C5" s="11">
        <v>5</v>
      </c>
      <c r="D5" s="12">
        <v>3</v>
      </c>
      <c r="E5" s="11">
        <v>1</v>
      </c>
      <c r="F5" s="11"/>
      <c r="G5" s="11">
        <v>5</v>
      </c>
      <c r="H5" s="13">
        <f t="shared" ref="H5:H42" si="0">SUM(C5:G5)</f>
        <v>14</v>
      </c>
    </row>
    <row r="6" spans="1:8" ht="16.5">
      <c r="A6" s="101"/>
      <c r="B6" s="14" t="s">
        <v>10</v>
      </c>
      <c r="C6" s="15">
        <v>5</v>
      </c>
      <c r="D6" s="16">
        <v>1</v>
      </c>
      <c r="E6" s="15">
        <v>2</v>
      </c>
      <c r="F6" s="15">
        <v>1</v>
      </c>
      <c r="G6" s="15">
        <v>5</v>
      </c>
      <c r="H6" s="70">
        <f t="shared" si="0"/>
        <v>14</v>
      </c>
    </row>
    <row r="7" spans="1:8" ht="16.5">
      <c r="A7" s="101"/>
      <c r="B7" s="39" t="s">
        <v>11</v>
      </c>
      <c r="C7" s="17">
        <v>5</v>
      </c>
      <c r="D7" s="18">
        <v>1</v>
      </c>
      <c r="E7" s="17">
        <v>1</v>
      </c>
      <c r="F7" s="17">
        <v>1</v>
      </c>
      <c r="G7" s="17">
        <v>5</v>
      </c>
      <c r="H7" s="72">
        <f t="shared" si="0"/>
        <v>13</v>
      </c>
    </row>
    <row r="8" spans="1:8" ht="16.5">
      <c r="A8" s="101"/>
      <c r="B8" s="40" t="s">
        <v>28</v>
      </c>
      <c r="C8" s="15">
        <v>5</v>
      </c>
      <c r="D8" s="16">
        <v>1</v>
      </c>
      <c r="E8" s="15">
        <v>1</v>
      </c>
      <c r="F8" s="15"/>
      <c r="G8" s="15">
        <v>5</v>
      </c>
      <c r="H8" s="70">
        <f t="shared" si="0"/>
        <v>12</v>
      </c>
    </row>
    <row r="9" spans="1:8" ht="16.5">
      <c r="A9" s="102"/>
      <c r="B9" s="41" t="s">
        <v>25</v>
      </c>
      <c r="C9" s="19">
        <v>5</v>
      </c>
      <c r="D9" s="20"/>
      <c r="E9" s="19">
        <v>1</v>
      </c>
      <c r="F9" s="19"/>
      <c r="G9" s="19">
        <v>5</v>
      </c>
      <c r="H9" s="71">
        <f t="shared" si="0"/>
        <v>11</v>
      </c>
    </row>
    <row r="10" spans="1:8" ht="16.5">
      <c r="A10" s="103" t="s">
        <v>12</v>
      </c>
      <c r="B10" s="21" t="s">
        <v>8</v>
      </c>
      <c r="C10" s="22"/>
      <c r="D10" s="23">
        <v>1</v>
      </c>
      <c r="E10" s="22"/>
      <c r="F10" s="22">
        <v>1</v>
      </c>
      <c r="G10" s="22"/>
      <c r="H10" s="62">
        <f t="shared" si="0"/>
        <v>2</v>
      </c>
    </row>
    <row r="11" spans="1:8" ht="16.5">
      <c r="A11" s="104"/>
      <c r="B11" s="24" t="s">
        <v>13</v>
      </c>
      <c r="C11" s="25"/>
      <c r="D11" s="26"/>
      <c r="E11" s="25"/>
      <c r="F11" s="25"/>
      <c r="G11" s="25"/>
      <c r="H11" s="74">
        <f t="shared" si="0"/>
        <v>0</v>
      </c>
    </row>
    <row r="12" spans="1:8" ht="16.5">
      <c r="A12" s="104"/>
      <c r="B12" s="24" t="s">
        <v>7</v>
      </c>
      <c r="C12" s="27"/>
      <c r="D12" s="28">
        <v>1</v>
      </c>
      <c r="E12" s="27"/>
      <c r="F12" s="27">
        <v>1</v>
      </c>
      <c r="G12" s="27"/>
      <c r="H12" s="75">
        <f t="shared" si="0"/>
        <v>2</v>
      </c>
    </row>
    <row r="13" spans="1:8" ht="16.5">
      <c r="A13" s="104"/>
      <c r="B13" s="24" t="s">
        <v>14</v>
      </c>
      <c r="C13" s="25"/>
      <c r="D13" s="26"/>
      <c r="E13" s="25"/>
      <c r="F13" s="25"/>
      <c r="G13" s="25"/>
      <c r="H13" s="74">
        <f t="shared" si="0"/>
        <v>0</v>
      </c>
    </row>
    <row r="14" spans="1:8" ht="16.5">
      <c r="A14" s="104"/>
      <c r="B14" s="24" t="s">
        <v>15</v>
      </c>
      <c r="C14" s="27">
        <v>5</v>
      </c>
      <c r="D14" s="28">
        <v>3</v>
      </c>
      <c r="E14" s="27"/>
      <c r="F14" s="27">
        <v>1</v>
      </c>
      <c r="G14" s="27"/>
      <c r="H14" s="73">
        <f t="shared" si="0"/>
        <v>9</v>
      </c>
    </row>
    <row r="15" spans="1:8" ht="16.5">
      <c r="A15" s="104"/>
      <c r="B15" s="24" t="s">
        <v>16</v>
      </c>
      <c r="C15" s="25"/>
      <c r="D15" s="26"/>
      <c r="E15" s="25"/>
      <c r="F15" s="25"/>
      <c r="G15" s="25"/>
      <c r="H15" s="74">
        <f t="shared" si="0"/>
        <v>0</v>
      </c>
    </row>
    <row r="16" spans="1:8" ht="16.5">
      <c r="A16" s="104"/>
      <c r="B16" s="42" t="s">
        <v>35</v>
      </c>
      <c r="C16" s="27"/>
      <c r="D16" s="28"/>
      <c r="E16" s="27"/>
      <c r="F16" s="27"/>
      <c r="G16" s="27"/>
      <c r="H16" s="78">
        <f t="shared" si="0"/>
        <v>0</v>
      </c>
    </row>
    <row r="17" spans="1:8" ht="16.5">
      <c r="A17" s="104"/>
      <c r="B17" s="43" t="s">
        <v>36</v>
      </c>
      <c r="C17" s="25">
        <v>5</v>
      </c>
      <c r="D17" s="26"/>
      <c r="E17" s="25"/>
      <c r="F17" s="25">
        <v>1</v>
      </c>
      <c r="G17" s="25">
        <v>5</v>
      </c>
      <c r="H17" s="79">
        <f t="shared" si="0"/>
        <v>11</v>
      </c>
    </row>
    <row r="18" spans="1:8" ht="16.5">
      <c r="A18" s="104"/>
      <c r="B18" s="44" t="s">
        <v>17</v>
      </c>
      <c r="C18" s="27">
        <v>5</v>
      </c>
      <c r="D18" s="29"/>
      <c r="E18" s="27"/>
      <c r="F18" s="27">
        <v>1</v>
      </c>
      <c r="G18" s="27">
        <v>5</v>
      </c>
      <c r="H18" s="75">
        <f t="shared" si="0"/>
        <v>11</v>
      </c>
    </row>
    <row r="19" spans="1:8" ht="16.5">
      <c r="A19" s="104"/>
      <c r="B19" s="45" t="s">
        <v>18</v>
      </c>
      <c r="C19" s="25">
        <v>5</v>
      </c>
      <c r="D19" s="26">
        <v>3</v>
      </c>
      <c r="E19" s="25"/>
      <c r="F19" s="25"/>
      <c r="G19" s="25"/>
      <c r="H19" s="77">
        <f t="shared" si="0"/>
        <v>8</v>
      </c>
    </row>
    <row r="20" spans="1:8" ht="16.5">
      <c r="A20" s="104"/>
      <c r="B20" s="46" t="s">
        <v>19</v>
      </c>
      <c r="C20" s="27"/>
      <c r="D20" s="28">
        <v>1</v>
      </c>
      <c r="E20" s="27"/>
      <c r="F20" s="27"/>
      <c r="G20" s="27">
        <v>5</v>
      </c>
      <c r="H20" s="75">
        <f t="shared" si="0"/>
        <v>6</v>
      </c>
    </row>
    <row r="21" spans="1:8" ht="15.75" customHeight="1">
      <c r="A21" s="104"/>
      <c r="B21" s="46" t="s">
        <v>20</v>
      </c>
      <c r="C21" s="25">
        <v>5</v>
      </c>
      <c r="D21" s="26">
        <v>1</v>
      </c>
      <c r="E21" s="25"/>
      <c r="F21" s="25">
        <v>1</v>
      </c>
      <c r="G21" s="25"/>
      <c r="H21" s="79">
        <f t="shared" si="0"/>
        <v>7</v>
      </c>
    </row>
    <row r="22" spans="1:8" ht="15.75" customHeight="1">
      <c r="A22" s="104"/>
      <c r="B22" s="46" t="s">
        <v>21</v>
      </c>
      <c r="C22" s="27"/>
      <c r="D22" s="28"/>
      <c r="E22" s="27"/>
      <c r="F22" s="27"/>
      <c r="G22" s="27">
        <v>5</v>
      </c>
      <c r="H22" s="73">
        <f t="shared" si="0"/>
        <v>5</v>
      </c>
    </row>
    <row r="23" spans="1:8" ht="15.75" customHeight="1">
      <c r="A23" s="104"/>
      <c r="B23" s="47" t="s">
        <v>22</v>
      </c>
      <c r="C23" s="30">
        <v>5</v>
      </c>
      <c r="D23" s="31">
        <v>3</v>
      </c>
      <c r="E23" s="30">
        <v>1</v>
      </c>
      <c r="F23" s="30"/>
      <c r="G23" s="30"/>
      <c r="H23" s="80">
        <f t="shared" si="0"/>
        <v>9</v>
      </c>
    </row>
    <row r="24" spans="1:8" ht="15.75" customHeight="1">
      <c r="A24" s="104"/>
      <c r="B24" s="48" t="s">
        <v>23</v>
      </c>
      <c r="C24" s="27"/>
      <c r="D24" s="28"/>
      <c r="E24" s="27"/>
      <c r="F24" s="27"/>
      <c r="G24" s="27"/>
      <c r="H24" s="81">
        <f t="shared" si="0"/>
        <v>0</v>
      </c>
    </row>
    <row r="25" spans="1:8" ht="15.75" customHeight="1">
      <c r="A25" s="104"/>
      <c r="B25" s="49" t="s">
        <v>24</v>
      </c>
      <c r="C25" s="30"/>
      <c r="D25" s="31"/>
      <c r="E25" s="30"/>
      <c r="F25" s="30"/>
      <c r="G25" s="30"/>
      <c r="H25" s="74">
        <f t="shared" si="0"/>
        <v>0</v>
      </c>
    </row>
    <row r="26" spans="1:8" ht="15.75" customHeight="1">
      <c r="A26" s="104"/>
      <c r="B26" s="50" t="s">
        <v>26</v>
      </c>
      <c r="C26" s="27"/>
      <c r="D26" s="28"/>
      <c r="E26" s="27"/>
      <c r="F26" s="27"/>
      <c r="G26" s="27"/>
      <c r="H26" s="76">
        <f t="shared" si="0"/>
        <v>0</v>
      </c>
    </row>
    <row r="27" spans="1:8" ht="15.75" customHeight="1">
      <c r="A27" s="104"/>
      <c r="B27" s="50" t="s">
        <v>27</v>
      </c>
      <c r="C27" s="30"/>
      <c r="D27" s="31"/>
      <c r="E27" s="30"/>
      <c r="F27" s="30"/>
      <c r="G27" s="30"/>
      <c r="H27" s="74">
        <f t="shared" si="0"/>
        <v>0</v>
      </c>
    </row>
    <row r="28" spans="1:8" ht="15.75" customHeight="1">
      <c r="A28" s="104"/>
      <c r="B28" s="50" t="s">
        <v>29</v>
      </c>
      <c r="C28" s="27"/>
      <c r="D28" s="28"/>
      <c r="E28" s="27"/>
      <c r="F28" s="27"/>
      <c r="G28" s="27"/>
      <c r="H28" s="76">
        <f t="shared" si="0"/>
        <v>0</v>
      </c>
    </row>
    <row r="29" spans="1:8" ht="15.75" customHeight="1">
      <c r="A29" s="104"/>
      <c r="B29" s="50" t="s">
        <v>30</v>
      </c>
      <c r="C29" s="30"/>
      <c r="D29" s="31"/>
      <c r="E29" s="30"/>
      <c r="F29" s="30"/>
      <c r="G29" s="30"/>
      <c r="H29" s="74">
        <f t="shared" si="0"/>
        <v>0</v>
      </c>
    </row>
    <row r="30" spans="1:8" ht="15.75" customHeight="1">
      <c r="A30" s="104"/>
      <c r="B30" s="50" t="s">
        <v>31</v>
      </c>
      <c r="C30" s="27"/>
      <c r="D30" s="28"/>
      <c r="E30" s="27"/>
      <c r="F30" s="27"/>
      <c r="G30" s="27"/>
      <c r="H30" s="76">
        <f t="shared" si="0"/>
        <v>0</v>
      </c>
    </row>
    <row r="31" spans="1:8" ht="15.75" customHeight="1">
      <c r="A31" s="104"/>
      <c r="B31" s="51" t="s">
        <v>32</v>
      </c>
      <c r="C31" s="54"/>
      <c r="D31" s="55"/>
      <c r="E31" s="54"/>
      <c r="F31" s="54"/>
      <c r="G31" s="54"/>
      <c r="H31" s="69">
        <f t="shared" si="0"/>
        <v>0</v>
      </c>
    </row>
    <row r="32" spans="1:8" ht="15.75" customHeight="1">
      <c r="A32" s="104"/>
      <c r="B32" s="57" t="s">
        <v>37</v>
      </c>
      <c r="C32" s="58">
        <v>5</v>
      </c>
      <c r="D32" s="59">
        <v>3</v>
      </c>
      <c r="E32" s="58">
        <v>1</v>
      </c>
      <c r="F32" s="58"/>
      <c r="G32" s="58">
        <v>5</v>
      </c>
      <c r="H32" s="82">
        <f t="shared" si="0"/>
        <v>14</v>
      </c>
    </row>
    <row r="33" spans="1:8" ht="15.75" customHeight="1">
      <c r="A33" s="104"/>
      <c r="B33" s="52" t="s">
        <v>38</v>
      </c>
      <c r="C33" s="32">
        <v>5</v>
      </c>
      <c r="D33" s="60">
        <v>3</v>
      </c>
      <c r="E33" s="32"/>
      <c r="F33" s="32"/>
      <c r="G33" s="32"/>
      <c r="H33" s="77">
        <f t="shared" si="0"/>
        <v>8</v>
      </c>
    </row>
    <row r="34" spans="1:8" ht="15.75" customHeight="1">
      <c r="A34" s="104"/>
      <c r="B34" s="52" t="s">
        <v>39</v>
      </c>
      <c r="C34" s="33">
        <v>5</v>
      </c>
      <c r="D34" s="34"/>
      <c r="E34" s="33"/>
      <c r="F34" s="33">
        <v>1</v>
      </c>
      <c r="G34" s="33"/>
      <c r="H34" s="83">
        <f t="shared" si="0"/>
        <v>6</v>
      </c>
    </row>
    <row r="35" spans="1:8" ht="15.75" customHeight="1">
      <c r="A35" s="104"/>
      <c r="B35" s="52" t="s">
        <v>40</v>
      </c>
      <c r="C35" s="32">
        <v>5</v>
      </c>
      <c r="D35" s="60"/>
      <c r="E35" s="32">
        <v>1</v>
      </c>
      <c r="F35" s="32">
        <v>1</v>
      </c>
      <c r="G35" s="32">
        <v>5</v>
      </c>
      <c r="H35" s="85">
        <f t="shared" si="0"/>
        <v>12</v>
      </c>
    </row>
    <row r="36" spans="1:8" ht="15.75" customHeight="1">
      <c r="A36" s="104"/>
      <c r="B36" s="52" t="s">
        <v>41</v>
      </c>
      <c r="C36" s="33">
        <v>5</v>
      </c>
      <c r="D36" s="34">
        <v>3</v>
      </c>
      <c r="E36" s="33"/>
      <c r="F36" s="33"/>
      <c r="G36" s="33"/>
      <c r="H36" s="84">
        <f t="shared" si="0"/>
        <v>8</v>
      </c>
    </row>
    <row r="37" spans="1:8" ht="15.75" customHeight="1">
      <c r="A37" s="104"/>
      <c r="B37" s="52" t="s">
        <v>42</v>
      </c>
      <c r="C37" s="32">
        <v>5</v>
      </c>
      <c r="D37" s="60">
        <v>1</v>
      </c>
      <c r="E37" s="32"/>
      <c r="F37" s="32">
        <v>1</v>
      </c>
      <c r="G37" s="32"/>
      <c r="H37" s="85">
        <f t="shared" si="0"/>
        <v>7</v>
      </c>
    </row>
    <row r="38" spans="1:8" ht="15.75" customHeight="1">
      <c r="A38" s="104"/>
      <c r="B38" s="53" t="s">
        <v>43</v>
      </c>
      <c r="C38" s="35">
        <v>5</v>
      </c>
      <c r="D38" s="36">
        <v>3</v>
      </c>
      <c r="E38" s="35"/>
      <c r="F38" s="35"/>
      <c r="G38" s="35"/>
      <c r="H38" s="86">
        <f t="shared" si="0"/>
        <v>8</v>
      </c>
    </row>
    <row r="39" spans="1:8" ht="15.75" customHeight="1">
      <c r="A39" s="104"/>
      <c r="B39" s="52" t="s">
        <v>45</v>
      </c>
      <c r="C39" s="32">
        <v>5</v>
      </c>
      <c r="D39" s="60"/>
      <c r="E39" s="32"/>
      <c r="F39" s="32"/>
      <c r="G39" s="32">
        <v>5</v>
      </c>
      <c r="H39" s="85">
        <f t="shared" si="0"/>
        <v>10</v>
      </c>
    </row>
    <row r="40" spans="1:8" ht="15.75" customHeight="1">
      <c r="A40" s="104"/>
      <c r="B40" s="52" t="s">
        <v>44</v>
      </c>
      <c r="C40" s="65">
        <v>5</v>
      </c>
      <c r="D40" s="66"/>
      <c r="E40" s="65"/>
      <c r="F40" s="65"/>
      <c r="G40" s="65"/>
      <c r="H40" s="87">
        <f t="shared" si="0"/>
        <v>5</v>
      </c>
    </row>
    <row r="41" spans="1:8" ht="15.75" customHeight="1">
      <c r="A41" s="104"/>
      <c r="B41" s="52" t="s">
        <v>46</v>
      </c>
      <c r="C41" s="64">
        <v>5</v>
      </c>
      <c r="D41" s="63"/>
      <c r="E41" s="64"/>
      <c r="F41" s="64"/>
      <c r="G41" s="64"/>
      <c r="H41" s="70">
        <f t="shared" si="0"/>
        <v>5</v>
      </c>
    </row>
    <row r="42" spans="1:8" ht="15.75" customHeight="1">
      <c r="A42" s="105"/>
      <c r="B42" s="61" t="s">
        <v>47</v>
      </c>
      <c r="C42" s="67">
        <v>5</v>
      </c>
      <c r="D42" s="68"/>
      <c r="E42" s="67"/>
      <c r="F42" s="67"/>
      <c r="G42" s="67"/>
      <c r="H42" s="88">
        <f t="shared" si="0"/>
        <v>5</v>
      </c>
    </row>
    <row r="43" spans="1:8" ht="15.75" customHeight="1">
      <c r="A43" s="106" t="s">
        <v>33</v>
      </c>
      <c r="B43" s="107"/>
      <c r="C43" s="37">
        <f>COUNT(C5:C42)</f>
        <v>22</v>
      </c>
      <c r="D43" s="37">
        <f t="shared" ref="D43:G43" si="1">COUNT(D5:D42)</f>
        <v>16</v>
      </c>
      <c r="E43" s="37">
        <f t="shared" si="1"/>
        <v>8</v>
      </c>
      <c r="F43" s="37">
        <f t="shared" si="1"/>
        <v>11</v>
      </c>
      <c r="G43" s="37">
        <f t="shared" si="1"/>
        <v>12</v>
      </c>
      <c r="H43" s="56"/>
    </row>
    <row r="44" spans="1:8" ht="15.75" customHeight="1">
      <c r="F44" s="38"/>
    </row>
    <row r="45" spans="1:8" ht="15.75" customHeight="1"/>
    <row r="46" spans="1:8" ht="15.75" customHeight="1"/>
    <row r="47" spans="1:8" ht="15.75" customHeight="1"/>
    <row r="48" spans="1:8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</sheetData>
  <mergeCells count="5">
    <mergeCell ref="A5:A9"/>
    <mergeCell ref="A1:A4"/>
    <mergeCell ref="H1:H4"/>
    <mergeCell ref="A43:B43"/>
    <mergeCell ref="A10:A42"/>
  </mergeCells>
  <phoneticPr fontId="5" type="noConversion"/>
  <pageMargins left="0.7" right="0.7" top="0.75" bottom="0.75" header="0" footer="0"/>
  <pageSetup paperSize="9" orientation="portrait" r:id="rId1"/>
  <ignoredErrors>
    <ignoredError sqref="C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8월</vt:lpstr>
      <vt:lpstr>7월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2022-12-30T09:25:14Z</dcterms:created>
  <dcterms:modified xsi:type="dcterms:W3CDTF">2023-08-27T09:51:21Z</dcterms:modified>
</cp:coreProperties>
</file>