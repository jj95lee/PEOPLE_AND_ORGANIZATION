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CL2022_13\내 드라이브\꼰대라떼\이규엽(회원관리부장)\참여점수표\"/>
    </mc:Choice>
  </mc:AlternateContent>
  <xr:revisionPtr revIDLastSave="0" documentId="13_ncr:1_{16DF7943-0777-488A-9190-9E0F7583EA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5월" sheetId="1" r:id="rId1"/>
    <sheet name="4월" sheetId="2" r:id="rId2"/>
    <sheet name="3월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GRHjBbjNDKecBwhSrt6w8Mw8FtpsSkiJZ5o2yASB5fs="/>
    </ext>
  </extLst>
</workbook>
</file>

<file path=xl/calcChain.xml><?xml version="1.0" encoding="utf-8"?>
<calcChain xmlns="http://schemas.openxmlformats.org/spreadsheetml/2006/main">
  <c r="E47" i="3" l="1"/>
  <c r="D47" i="3"/>
  <c r="C47" i="3"/>
  <c r="F46" i="3"/>
  <c r="F45" i="3"/>
  <c r="F44" i="3"/>
  <c r="F43" i="3"/>
  <c r="K43" i="2" s="1"/>
  <c r="F42" i="3"/>
  <c r="K42" i="2" s="1"/>
  <c r="F41" i="3"/>
  <c r="K41" i="2" s="1"/>
  <c r="F40" i="3"/>
  <c r="F39" i="3"/>
  <c r="K39" i="2" s="1"/>
  <c r="F38" i="3"/>
  <c r="F37" i="3"/>
  <c r="F36" i="3"/>
  <c r="K36" i="2" s="1"/>
  <c r="F35" i="3"/>
  <c r="F34" i="3"/>
  <c r="F33" i="3"/>
  <c r="F32" i="3"/>
  <c r="K32" i="2" s="1"/>
  <c r="F31" i="3"/>
  <c r="F30" i="3"/>
  <c r="F29" i="3"/>
  <c r="F28" i="3"/>
  <c r="F27" i="3"/>
  <c r="K27" i="2" s="1"/>
  <c r="F26" i="3"/>
  <c r="K26" i="2" s="1"/>
  <c r="F25" i="3"/>
  <c r="F24" i="3"/>
  <c r="F23" i="3"/>
  <c r="F22" i="3"/>
  <c r="F21" i="3"/>
  <c r="F20" i="3"/>
  <c r="F19" i="3"/>
  <c r="F18" i="3"/>
  <c r="F17" i="3"/>
  <c r="F16" i="3"/>
  <c r="K16" i="2" s="1"/>
  <c r="F15" i="3"/>
  <c r="F14" i="3"/>
  <c r="F13" i="3"/>
  <c r="F12" i="3"/>
  <c r="F11" i="3"/>
  <c r="K11" i="2" s="1"/>
  <c r="F10" i="3"/>
  <c r="K10" i="2" s="1"/>
  <c r="F9" i="3"/>
  <c r="F8" i="3"/>
  <c r="F7" i="3"/>
  <c r="F6" i="3"/>
  <c r="F5" i="3"/>
  <c r="J47" i="2"/>
  <c r="I47" i="2"/>
  <c r="H47" i="2"/>
  <c r="G47" i="2"/>
  <c r="F47" i="2"/>
  <c r="E47" i="2"/>
  <c r="D47" i="2"/>
  <c r="C47" i="2"/>
  <c r="K46" i="2"/>
  <c r="K45" i="2"/>
  <c r="K44" i="2"/>
  <c r="K40" i="2"/>
  <c r="K38" i="2"/>
  <c r="K37" i="2"/>
  <c r="K35" i="2"/>
  <c r="K34" i="2"/>
  <c r="K33" i="2"/>
  <c r="K31" i="2"/>
  <c r="K30" i="2"/>
  <c r="K29" i="2"/>
  <c r="K28" i="2"/>
  <c r="K25" i="2"/>
  <c r="K24" i="2"/>
  <c r="K23" i="2"/>
  <c r="K22" i="2"/>
  <c r="K21" i="2"/>
  <c r="K20" i="2"/>
  <c r="K19" i="2"/>
  <c r="K18" i="2"/>
  <c r="K17" i="2"/>
  <c r="K15" i="2"/>
  <c r="K14" i="2"/>
  <c r="K13" i="2"/>
  <c r="K12" i="2"/>
  <c r="K9" i="2"/>
  <c r="K8" i="2"/>
  <c r="K7" i="2"/>
  <c r="K6" i="2"/>
  <c r="K5" i="2"/>
  <c r="I47" i="1"/>
  <c r="H47" i="1"/>
  <c r="G47" i="1"/>
  <c r="F47" i="1"/>
  <c r="E47" i="1"/>
  <c r="D47" i="1"/>
  <c r="C47" i="1"/>
  <c r="J11" i="1"/>
  <c r="J28" i="1"/>
  <c r="J13" i="1"/>
  <c r="J41" i="1"/>
  <c r="J45" i="1"/>
  <c r="J9" i="1"/>
  <c r="J42" i="1"/>
  <c r="J10" i="1"/>
  <c r="J29" i="1"/>
  <c r="J23" i="1"/>
  <c r="J32" i="1"/>
  <c r="J39" i="1"/>
  <c r="J43" i="1"/>
  <c r="J25" i="1"/>
  <c r="J26" i="1"/>
  <c r="J44" i="1"/>
  <c r="J7" i="1"/>
  <c r="J36" i="1"/>
  <c r="J27" i="1"/>
  <c r="J16" i="1"/>
  <c r="J12" i="1"/>
  <c r="J17" i="1"/>
  <c r="J46" i="1"/>
  <c r="J6" i="1"/>
  <c r="J21" i="1"/>
  <c r="J37" i="1"/>
  <c r="J40" i="1"/>
  <c r="J18" i="1"/>
  <c r="J8" i="1"/>
  <c r="J20" i="1"/>
  <c r="J30" i="1"/>
  <c r="J35" i="1"/>
  <c r="J31" i="1"/>
  <c r="J38" i="1"/>
  <c r="J14" i="1"/>
  <c r="J22" i="1"/>
  <c r="J24" i="1"/>
  <c r="J33" i="1"/>
  <c r="J5" i="1"/>
  <c r="J15" i="1"/>
  <c r="J19" i="1"/>
  <c r="J34" i="1"/>
</calcChain>
</file>

<file path=xl/sharedStrings.xml><?xml version="1.0" encoding="utf-8"?>
<sst xmlns="http://schemas.openxmlformats.org/spreadsheetml/2006/main" count="224" uniqueCount="99">
  <si>
    <t>5월</t>
  </si>
  <si>
    <t>날짜</t>
  </si>
  <si>
    <t>05.02</t>
  </si>
  <si>
    <t>05.06</t>
  </si>
  <si>
    <t>05.09</t>
  </si>
  <si>
    <t>05.19</t>
  </si>
  <si>
    <t>05.25</t>
  </si>
  <si>
    <t>누적 점수</t>
  </si>
  <si>
    <t>구분</t>
  </si>
  <si>
    <t>비정기모임</t>
  </si>
  <si>
    <t>엠티</t>
  </si>
  <si>
    <t>5차 정기모임</t>
  </si>
  <si>
    <t>활동</t>
  </si>
  <si>
    <t>한양대 연주회</t>
  </si>
  <si>
    <t>-</t>
  </si>
  <si>
    <t>건대 술</t>
  </si>
  <si>
    <t>신림 클라이밍</t>
  </si>
  <si>
    <t>주최자</t>
  </si>
  <si>
    <t>이진진</t>
  </si>
  <si>
    <t>박서현</t>
  </si>
  <si>
    <t>임정연</t>
  </si>
  <si>
    <t>운영진</t>
  </si>
  <si>
    <t>백다은</t>
  </si>
  <si>
    <t>홍석범</t>
  </si>
  <si>
    <t>이규엽</t>
  </si>
  <si>
    <t>윤민식</t>
  </si>
  <si>
    <t>활동회원</t>
  </si>
  <si>
    <t>황인우</t>
  </si>
  <si>
    <t>김승현</t>
  </si>
  <si>
    <t>김해찬</t>
  </si>
  <si>
    <t>이원준</t>
  </si>
  <si>
    <t>오승주</t>
  </si>
  <si>
    <t>하은희</t>
  </si>
  <si>
    <t>고재준</t>
  </si>
  <si>
    <t>김지윤</t>
  </si>
  <si>
    <t>김주곤</t>
  </si>
  <si>
    <t>김태형</t>
  </si>
  <si>
    <t>이성현</t>
  </si>
  <si>
    <t>이수민</t>
  </si>
  <si>
    <t>이주희</t>
  </si>
  <si>
    <t>최지훈</t>
  </si>
  <si>
    <t>권제인</t>
  </si>
  <si>
    <t>김보라</t>
  </si>
  <si>
    <t>김세미</t>
  </si>
  <si>
    <t>김준용</t>
  </si>
  <si>
    <t>김지우</t>
  </si>
  <si>
    <t>명수민</t>
  </si>
  <si>
    <t>박가연</t>
  </si>
  <si>
    <t>박도연</t>
  </si>
  <si>
    <t>서보성</t>
  </si>
  <si>
    <t>신혜원</t>
  </si>
  <si>
    <t>양진영</t>
  </si>
  <si>
    <t>오재민</t>
  </si>
  <si>
    <t>이다영</t>
  </si>
  <si>
    <t>이유곤</t>
  </si>
  <si>
    <t>이지원</t>
  </si>
  <si>
    <t>이향리</t>
  </si>
  <si>
    <t>임예지</t>
  </si>
  <si>
    <t>장유화</t>
  </si>
  <si>
    <t>정하영</t>
  </si>
  <si>
    <t>한명선</t>
  </si>
  <si>
    <t>홍정우</t>
  </si>
  <si>
    <t>참여 인원</t>
  </si>
  <si>
    <t>4월</t>
  </si>
  <si>
    <t>04.04</t>
  </si>
  <si>
    <t>04.08</t>
  </si>
  <si>
    <t>04.14</t>
  </si>
  <si>
    <t>04.18</t>
  </si>
  <si>
    <t>04.21</t>
  </si>
  <si>
    <t>04.22</t>
  </si>
  <si>
    <t>04.25</t>
  </si>
  <si>
    <t>04.29</t>
  </si>
  <si>
    <t>2차 정기모임</t>
  </si>
  <si>
    <t>3차 정기모임</t>
  </si>
  <si>
    <t>4차 정기모임</t>
  </si>
  <si>
    <t>신촌 술</t>
  </si>
  <si>
    <t>한강 나들이</t>
  </si>
  <si>
    <t>건대 영화</t>
  </si>
  <si>
    <t>신촌 카공</t>
  </si>
  <si>
    <t>방배 술</t>
  </si>
  <si>
    <t>종각 볼링</t>
  </si>
  <si>
    <t>홍대 술</t>
  </si>
  <si>
    <t>서울대입구 술</t>
  </si>
  <si>
    <t>이규엽, 윤민식</t>
  </si>
  <si>
    <t>3월</t>
  </si>
  <si>
    <t>03.24</t>
  </si>
  <si>
    <t>03.28</t>
  </si>
  <si>
    <t>03.31</t>
  </si>
  <si>
    <t>오리엔테이션</t>
  </si>
  <si>
    <t>1차 정기모임</t>
  </si>
  <si>
    <t>왕십리 보드게임</t>
  </si>
  <si>
    <t>05.27</t>
    <phoneticPr fontId="5" type="noConversion"/>
  </si>
  <si>
    <t>6차 정기모임</t>
    <phoneticPr fontId="5" type="noConversion"/>
  </si>
  <si>
    <t>강남 전시회</t>
    <phoneticPr fontId="5" type="noConversion"/>
  </si>
  <si>
    <t>-</t>
    <phoneticPr fontId="5" type="noConversion"/>
  </si>
  <si>
    <t>05.31</t>
    <phoneticPr fontId="5" type="noConversion"/>
  </si>
  <si>
    <t>비정기모임</t>
    <phoneticPr fontId="5" type="noConversion"/>
  </si>
  <si>
    <t>을지로 술</t>
    <phoneticPr fontId="5" type="noConversion"/>
  </si>
  <si>
    <t>이규엽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</si>
</sst>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CD1FB"/>
        <bgColor rgb="FFECD1FB"/>
      </patternFill>
    </fill>
    <fill>
      <patternFill patternType="solid">
        <fgColor rgb="FFF5E7FD"/>
        <bgColor rgb="FFF5E7FD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54">
    <border>
      <left/>
      <right/>
      <top/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57070"/>
      </left>
      <right style="thin">
        <color rgb="FF757070"/>
      </right>
      <top/>
      <bottom style="thin">
        <color rgb="FF757070"/>
      </bottom>
      <diagonal/>
    </border>
    <border>
      <left style="thin">
        <color rgb="FF757070"/>
      </left>
      <right style="thin">
        <color rgb="FF757070"/>
      </right>
      <top style="thin">
        <color rgb="FFAEABAB"/>
      </top>
      <bottom/>
      <diagonal/>
    </border>
    <border>
      <left style="thin">
        <color rgb="FF757070"/>
      </left>
      <right style="thin">
        <color rgb="FF7F7F7F"/>
      </right>
      <top/>
      <bottom style="thin">
        <color rgb="FF7F7F7F"/>
      </bottom>
      <diagonal/>
    </border>
    <border>
      <left style="thin">
        <color rgb="FF757070"/>
      </left>
      <right style="thin">
        <color rgb="FFAEABAB"/>
      </right>
      <top style="thin">
        <color rgb="FF757070"/>
      </top>
      <bottom style="thin">
        <color rgb="FFAEABAB"/>
      </bottom>
      <diagonal/>
    </border>
    <border>
      <left style="thin">
        <color rgb="FF757070"/>
      </left>
      <right/>
      <top style="thin">
        <color rgb="FF757070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A5A5A5"/>
      </bottom>
      <diagonal/>
    </border>
    <border>
      <left style="thin">
        <color rgb="FF757070"/>
      </left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757070"/>
      </left>
      <right style="thin">
        <color rgb="FF757070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 style="thin">
        <color rgb="FFAEABAB"/>
      </right>
      <top style="thin">
        <color rgb="FFAEABAB"/>
      </top>
      <bottom style="thin">
        <color rgb="FF7B7B7B"/>
      </bottom>
      <diagonal/>
    </border>
    <border>
      <left style="thin">
        <color rgb="FF757070"/>
      </left>
      <right/>
      <top style="thin">
        <color rgb="FFAEABAB"/>
      </top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rgb="FFA5A5A5"/>
      </top>
      <bottom style="thin">
        <color rgb="FF7F7F7F"/>
      </bottom>
      <diagonal/>
    </border>
    <border>
      <left/>
      <right style="thin">
        <color rgb="FF757070"/>
      </right>
      <top style="thin">
        <color rgb="FF757070"/>
      </top>
      <bottom/>
      <diagonal/>
    </border>
    <border>
      <left style="thin">
        <color rgb="FF757070"/>
      </left>
      <right style="thin">
        <color rgb="FF757070"/>
      </right>
      <top/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7B7B7B"/>
      </top>
      <bottom style="thin">
        <color rgb="FFAEABAB"/>
      </bottom>
      <diagonal/>
    </border>
    <border>
      <left style="thin">
        <color rgb="FF7B7B7B"/>
      </left>
      <right/>
      <top style="thin">
        <color rgb="FF7B7B7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/>
      <bottom style="thin">
        <color rgb="FFA5A5A5"/>
      </bottom>
      <diagonal/>
    </border>
    <border>
      <left/>
      <right style="thin">
        <color rgb="FF757070"/>
      </right>
      <top/>
      <bottom/>
      <diagonal/>
    </border>
    <border>
      <left style="thin">
        <color rgb="FF757070"/>
      </left>
      <right style="thin">
        <color rgb="FF7B7B7B"/>
      </right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 style="thin">
        <color rgb="FF7B7B7B"/>
      </left>
      <right/>
      <top style="thin">
        <color rgb="FFAEABAB"/>
      </top>
      <bottom style="thin">
        <color rgb="FFAEABAB"/>
      </bottom>
      <diagonal/>
    </border>
    <border>
      <left/>
      <right/>
      <top style="thin">
        <color rgb="FFAEABAB"/>
      </top>
      <bottom style="thin">
        <color rgb="FFAEABAB"/>
      </bottom>
      <diagonal/>
    </border>
    <border>
      <left style="thin">
        <color rgb="FF757070"/>
      </left>
      <right style="thin">
        <color rgb="FF7B7B7B"/>
      </right>
      <top style="thin">
        <color rgb="FFAEABAB"/>
      </top>
      <bottom/>
      <diagonal/>
    </border>
    <border>
      <left style="thin">
        <color rgb="FF7B7B7B"/>
      </left>
      <right/>
      <top style="thin">
        <color rgb="FFAEABAB"/>
      </top>
      <bottom/>
      <diagonal/>
    </border>
    <border>
      <left style="thin">
        <color rgb="FF7B7B7B"/>
      </left>
      <right style="thin">
        <color rgb="FF7F7F7F"/>
      </right>
      <top style="thin">
        <color rgb="FFA5A5A5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AEABAB"/>
      </bottom>
      <diagonal/>
    </border>
    <border>
      <left style="thin">
        <color rgb="FF7F7F7F"/>
      </left>
      <right/>
      <top style="thin">
        <color rgb="FF7F7F7F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/>
      <top style="thin">
        <color rgb="FFAEABAB"/>
      </top>
      <bottom style="thin">
        <color rgb="FFAEABA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/>
      <diagonal/>
    </border>
    <border>
      <left style="thin">
        <color rgb="FF7F7F7F"/>
      </left>
      <right/>
      <top style="thin">
        <color rgb="FFAEABAB"/>
      </top>
      <bottom/>
      <diagonal/>
    </border>
    <border>
      <left style="thin">
        <color rgb="FF757070"/>
      </left>
      <right/>
      <top style="thin">
        <color rgb="FFAEABAB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57070"/>
      </right>
      <top/>
      <bottom style="thin">
        <color rgb="FF7B7B7B"/>
      </bottom>
      <diagonal/>
    </border>
    <border>
      <left style="thin">
        <color rgb="FF7F7F7F"/>
      </left>
      <right style="thin">
        <color rgb="FF7F7F7F"/>
      </right>
      <top style="thin">
        <color rgb="FFAEABAB"/>
      </top>
      <bottom style="thin">
        <color rgb="FF7F7F7F"/>
      </bottom>
      <diagonal/>
    </border>
    <border>
      <left style="thin">
        <color rgb="FF7F7F7F"/>
      </left>
      <right/>
      <top style="thin">
        <color rgb="FFAEABAB"/>
      </top>
      <bottom style="thin">
        <color rgb="FF7F7F7F"/>
      </bottom>
      <diagonal/>
    </border>
    <border>
      <left style="thin">
        <color rgb="FF757070"/>
      </left>
      <right/>
      <top style="thin">
        <color rgb="FF7B7B7B"/>
      </top>
      <bottom style="thin">
        <color rgb="FF757070"/>
      </bottom>
      <diagonal/>
    </border>
    <border>
      <left/>
      <right style="thin">
        <color rgb="FF7B7B7B"/>
      </right>
      <top style="thin">
        <color rgb="FF7B7B7B"/>
      </top>
      <bottom style="thin">
        <color rgb="FF757070"/>
      </bottom>
      <diagonal/>
    </border>
    <border>
      <left style="thin">
        <color rgb="FF7B7B7B"/>
      </left>
      <right style="thin">
        <color rgb="FF7B7B7B"/>
      </right>
      <top/>
      <bottom style="thin">
        <color rgb="FF757070"/>
      </bottom>
      <diagonal/>
    </border>
    <border>
      <left style="thin">
        <color rgb="FF7B7B7B"/>
      </left>
      <right/>
      <top style="thin">
        <color rgb="FF7F7F7F"/>
      </top>
      <bottom/>
      <diagonal/>
    </border>
    <border>
      <left style="thin">
        <color rgb="FF757070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A5A5A5"/>
      </top>
      <bottom/>
      <diagonal/>
    </border>
  </borders>
  <cellStyleXfs count="1">
    <xf numFmtId="0" fontId="0" fillId="0" borderId="0"/>
  </cellStyleXfs>
  <cellXfs count="74"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2" fillId="3" borderId="2" xfId="0" quotePrefix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center" vertical="center"/>
    </xf>
    <xf numFmtId="0" fontId="1" fillId="9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9" borderId="28" xfId="0" applyFont="1" applyFill="1" applyBorder="1" applyAlignment="1">
      <alignment horizontal="center" vertical="center"/>
    </xf>
    <xf numFmtId="0" fontId="1" fillId="9" borderId="30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10" borderId="11" xfId="0" applyFont="1" applyFill="1" applyBorder="1" applyAlignment="1">
      <alignment horizontal="center" vertical="center"/>
    </xf>
    <xf numFmtId="0" fontId="1" fillId="11" borderId="35" xfId="0" applyFont="1" applyFill="1" applyBorder="1" applyAlignment="1">
      <alignment horizontal="center" vertical="center"/>
    </xf>
    <xf numFmtId="0" fontId="1" fillId="11" borderId="36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16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11" borderId="37" xfId="0" applyFont="1" applyFill="1" applyBorder="1" applyAlignment="1">
      <alignment horizontal="center" vertical="center"/>
    </xf>
    <xf numFmtId="0" fontId="1" fillId="11" borderId="39" xfId="0" applyFont="1" applyFill="1" applyBorder="1" applyAlignment="1">
      <alignment horizontal="center" vertical="center"/>
    </xf>
    <xf numFmtId="0" fontId="1" fillId="10" borderId="15" xfId="0" applyFont="1" applyFill="1" applyBorder="1" applyAlignment="1">
      <alignment horizontal="center" vertical="center"/>
    </xf>
    <xf numFmtId="0" fontId="1" fillId="11" borderId="40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horizontal="center" vertical="center"/>
    </xf>
    <xf numFmtId="0" fontId="1" fillId="10" borderId="42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11" borderId="46" xfId="0" applyFont="1" applyFill="1" applyBorder="1" applyAlignment="1">
      <alignment horizontal="center" vertical="center"/>
    </xf>
    <xf numFmtId="0" fontId="1" fillId="11" borderId="47" xfId="0" applyFont="1" applyFill="1" applyBorder="1" applyAlignment="1">
      <alignment horizontal="center" vertical="center"/>
    </xf>
    <xf numFmtId="0" fontId="1" fillId="4" borderId="50" xfId="0" applyFont="1" applyFill="1" applyBorder="1" applyAlignment="1">
      <alignment horizontal="center" vertical="center"/>
    </xf>
    <xf numFmtId="0" fontId="4" fillId="0" borderId="5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10" borderId="5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1" fillId="4" borderId="48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52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L6" sqref="L6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9" width="18.42578125" customWidth="1"/>
    <col min="10" max="11" width="11.140625" customWidth="1"/>
  </cols>
  <sheetData>
    <row r="1" spans="1:10" ht="16.5">
      <c r="A1" s="60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91</v>
      </c>
      <c r="I1" s="2" t="s">
        <v>95</v>
      </c>
      <c r="J1" s="63" t="s">
        <v>7</v>
      </c>
    </row>
    <row r="2" spans="1:10" ht="16.5">
      <c r="A2" s="61"/>
      <c r="B2" s="4" t="s">
        <v>8</v>
      </c>
      <c r="C2" s="4" t="s">
        <v>9</v>
      </c>
      <c r="D2" s="5" t="s">
        <v>10</v>
      </c>
      <c r="E2" s="4" t="s">
        <v>9</v>
      </c>
      <c r="F2" s="5" t="s">
        <v>11</v>
      </c>
      <c r="G2" s="4" t="s">
        <v>9</v>
      </c>
      <c r="H2" s="5" t="s">
        <v>92</v>
      </c>
      <c r="I2" s="4" t="s">
        <v>96</v>
      </c>
      <c r="J2" s="64"/>
    </row>
    <row r="3" spans="1:10" ht="16.5">
      <c r="A3" s="61"/>
      <c r="B3" s="6" t="s">
        <v>12</v>
      </c>
      <c r="C3" s="6" t="s">
        <v>13</v>
      </c>
      <c r="D3" s="7" t="s">
        <v>14</v>
      </c>
      <c r="E3" s="6" t="s">
        <v>15</v>
      </c>
      <c r="F3" s="7" t="s">
        <v>16</v>
      </c>
      <c r="G3" s="6"/>
      <c r="H3" s="7" t="s">
        <v>93</v>
      </c>
      <c r="I3" s="6" t="s">
        <v>97</v>
      </c>
      <c r="J3" s="64"/>
    </row>
    <row r="4" spans="1:10" ht="16.5">
      <c r="A4" s="62"/>
      <c r="B4" s="8" t="s">
        <v>17</v>
      </c>
      <c r="C4" s="8" t="s">
        <v>18</v>
      </c>
      <c r="D4" s="9" t="s">
        <v>14</v>
      </c>
      <c r="E4" s="8" t="s">
        <v>19</v>
      </c>
      <c r="F4" s="9" t="s">
        <v>14</v>
      </c>
      <c r="G4" s="8" t="s">
        <v>20</v>
      </c>
      <c r="H4" s="9" t="s">
        <v>94</v>
      </c>
      <c r="I4" s="8" t="s">
        <v>98</v>
      </c>
      <c r="J4" s="65"/>
    </row>
    <row r="5" spans="1:10" ht="16.5">
      <c r="A5" s="66" t="s">
        <v>21</v>
      </c>
      <c r="B5" s="10" t="s">
        <v>18</v>
      </c>
      <c r="C5" s="11">
        <v>2</v>
      </c>
      <c r="D5" s="12">
        <v>5</v>
      </c>
      <c r="E5" s="11">
        <v>1</v>
      </c>
      <c r="F5" s="11">
        <v>3</v>
      </c>
      <c r="G5" s="11"/>
      <c r="H5" s="11">
        <v>3</v>
      </c>
      <c r="I5" s="11">
        <v>1</v>
      </c>
      <c r="J5" s="13">
        <f>SUM(C5:I5)+'4월'!K5</f>
        <v>35</v>
      </c>
    </row>
    <row r="6" spans="1:10" ht="16.5">
      <c r="A6" s="61"/>
      <c r="B6" s="14" t="s">
        <v>22</v>
      </c>
      <c r="C6" s="15"/>
      <c r="D6" s="16"/>
      <c r="E6" s="15"/>
      <c r="F6" s="15"/>
      <c r="G6" s="15"/>
      <c r="H6" s="15"/>
      <c r="I6" s="15"/>
      <c r="J6" s="17">
        <f>SUM(C6:I6)+'4월'!K6</f>
        <v>6</v>
      </c>
    </row>
    <row r="7" spans="1:10" ht="16.5">
      <c r="A7" s="61"/>
      <c r="B7" s="14" t="s">
        <v>23</v>
      </c>
      <c r="C7" s="18"/>
      <c r="D7" s="19"/>
      <c r="E7" s="18"/>
      <c r="F7" s="18">
        <v>3</v>
      </c>
      <c r="G7" s="18"/>
      <c r="H7" s="18"/>
      <c r="I7" s="18"/>
      <c r="J7" s="20">
        <f>SUM(C7:I7)+'4월'!K7</f>
        <v>16</v>
      </c>
    </row>
    <row r="8" spans="1:10" ht="16.5">
      <c r="A8" s="61"/>
      <c r="B8" s="14" t="s">
        <v>24</v>
      </c>
      <c r="C8" s="15"/>
      <c r="D8" s="16">
        <v>5</v>
      </c>
      <c r="E8" s="15">
        <v>1</v>
      </c>
      <c r="F8" s="15"/>
      <c r="G8" s="15"/>
      <c r="H8" s="15"/>
      <c r="I8" s="15">
        <v>2</v>
      </c>
      <c r="J8" s="17">
        <f>SUM(C8:I8)+'4월'!K8</f>
        <v>22</v>
      </c>
    </row>
    <row r="9" spans="1:10" ht="16.5">
      <c r="A9" s="67"/>
      <c r="B9" s="21" t="s">
        <v>25</v>
      </c>
      <c r="C9" s="22"/>
      <c r="D9" s="23">
        <v>5</v>
      </c>
      <c r="E9" s="22">
        <v>1</v>
      </c>
      <c r="F9" s="22"/>
      <c r="G9" s="22"/>
      <c r="H9" s="22"/>
      <c r="I9" s="22">
        <v>1</v>
      </c>
      <c r="J9" s="24">
        <f>SUM(C9:I9)+'4월'!K9</f>
        <v>23</v>
      </c>
    </row>
    <row r="10" spans="1:10" ht="16.5">
      <c r="A10" s="68" t="s">
        <v>26</v>
      </c>
      <c r="B10" s="25" t="s">
        <v>20</v>
      </c>
      <c r="C10" s="26"/>
      <c r="D10" s="27"/>
      <c r="E10" s="26"/>
      <c r="F10" s="26"/>
      <c r="G10" s="26">
        <v>2</v>
      </c>
      <c r="H10" s="26"/>
      <c r="I10" s="26">
        <v>1</v>
      </c>
      <c r="J10" s="28">
        <f>SUM(C10:I10)+'4월'!K10</f>
        <v>11</v>
      </c>
    </row>
    <row r="11" spans="1:10" ht="16.5">
      <c r="A11" s="69"/>
      <c r="B11" s="29" t="s">
        <v>27</v>
      </c>
      <c r="C11" s="30"/>
      <c r="D11" s="31">
        <v>5</v>
      </c>
      <c r="E11" s="30"/>
      <c r="F11" s="30"/>
      <c r="G11" s="30"/>
      <c r="H11" s="30"/>
      <c r="I11" s="30"/>
      <c r="J11" s="17">
        <f>SUM(C11:I11)+'4월'!K11</f>
        <v>11</v>
      </c>
    </row>
    <row r="12" spans="1:10" ht="16.5">
      <c r="A12" s="69"/>
      <c r="B12" s="29" t="s">
        <v>28</v>
      </c>
      <c r="C12" s="32"/>
      <c r="D12" s="33"/>
      <c r="E12" s="32"/>
      <c r="F12" s="32"/>
      <c r="G12" s="32"/>
      <c r="H12" s="32"/>
      <c r="I12" s="32"/>
      <c r="J12" s="34">
        <f>SUM(C12:I12)+'4월'!K12</f>
        <v>9</v>
      </c>
    </row>
    <row r="13" spans="1:10" ht="16.5">
      <c r="A13" s="69"/>
      <c r="B13" s="29" t="s">
        <v>19</v>
      </c>
      <c r="C13" s="30"/>
      <c r="D13" s="31"/>
      <c r="E13" s="30">
        <v>2</v>
      </c>
      <c r="F13" s="30"/>
      <c r="G13" s="30">
        <v>1</v>
      </c>
      <c r="H13" s="30"/>
      <c r="I13" s="30">
        <v>1</v>
      </c>
      <c r="J13" s="17">
        <f>SUM(C13:I13)+'4월'!K13</f>
        <v>15</v>
      </c>
    </row>
    <row r="14" spans="1:10" ht="16.5">
      <c r="A14" s="69"/>
      <c r="B14" s="29" t="s">
        <v>29</v>
      </c>
      <c r="C14" s="32"/>
      <c r="D14" s="33"/>
      <c r="E14" s="32"/>
      <c r="F14" s="32"/>
      <c r="G14" s="32"/>
      <c r="H14" s="32"/>
      <c r="I14" s="32"/>
      <c r="J14" s="34">
        <f>SUM(C14:I14)+'4월'!K14</f>
        <v>4</v>
      </c>
    </row>
    <row r="15" spans="1:10" ht="16.5">
      <c r="A15" s="69"/>
      <c r="B15" s="29" t="s">
        <v>30</v>
      </c>
      <c r="C15" s="30"/>
      <c r="D15" s="31"/>
      <c r="E15" s="30"/>
      <c r="F15" s="30"/>
      <c r="G15" s="30"/>
      <c r="H15" s="30"/>
      <c r="I15" s="30"/>
      <c r="J15" s="17">
        <f>SUM(C15:I15)+'4월'!K15</f>
        <v>7</v>
      </c>
    </row>
    <row r="16" spans="1:10" ht="16.5">
      <c r="A16" s="69"/>
      <c r="B16" s="29" t="s">
        <v>31</v>
      </c>
      <c r="C16" s="32"/>
      <c r="D16" s="33"/>
      <c r="E16" s="32"/>
      <c r="F16" s="32"/>
      <c r="G16" s="32"/>
      <c r="H16" s="32"/>
      <c r="I16" s="32"/>
      <c r="J16" s="34">
        <f>SUM(C16:I16)+'4월'!K16</f>
        <v>0</v>
      </c>
    </row>
    <row r="17" spans="1:10" ht="16.5">
      <c r="A17" s="69"/>
      <c r="B17" s="29" t="s">
        <v>32</v>
      </c>
      <c r="C17" s="30"/>
      <c r="D17" s="31">
        <v>5</v>
      </c>
      <c r="E17" s="30"/>
      <c r="F17" s="30"/>
      <c r="G17" s="30"/>
      <c r="H17" s="30"/>
      <c r="I17" s="30"/>
      <c r="J17" s="17">
        <f>SUM(C17:I17)+'4월'!K17</f>
        <v>5</v>
      </c>
    </row>
    <row r="18" spans="1:10" ht="16.5">
      <c r="A18" s="69"/>
      <c r="B18" s="29" t="s">
        <v>33</v>
      </c>
      <c r="C18" s="32"/>
      <c r="D18" s="35"/>
      <c r="E18" s="32"/>
      <c r="F18" s="32"/>
      <c r="G18" s="32"/>
      <c r="H18" s="32"/>
      <c r="I18" s="32"/>
      <c r="J18" s="34">
        <f>SUM(C18:I18)+'4월'!K18</f>
        <v>1</v>
      </c>
    </row>
    <row r="19" spans="1:10" ht="16.5">
      <c r="A19" s="69"/>
      <c r="B19" s="29" t="s">
        <v>34</v>
      </c>
      <c r="C19" s="30"/>
      <c r="D19" s="31"/>
      <c r="E19" s="30"/>
      <c r="F19" s="30"/>
      <c r="G19" s="30"/>
      <c r="H19" s="30"/>
      <c r="I19" s="30"/>
      <c r="J19" s="17">
        <f>SUM(C19:I19)+'4월'!K19</f>
        <v>5</v>
      </c>
    </row>
    <row r="20" spans="1:10" ht="16.5">
      <c r="A20" s="69"/>
      <c r="B20" s="29" t="s">
        <v>35</v>
      </c>
      <c r="C20" s="32"/>
      <c r="D20" s="33">
        <v>5</v>
      </c>
      <c r="E20" s="32"/>
      <c r="F20" s="32"/>
      <c r="G20" s="32"/>
      <c r="H20" s="32"/>
      <c r="I20" s="32"/>
      <c r="J20" s="34">
        <f>SUM(C20:I20)+'4월'!K20</f>
        <v>8</v>
      </c>
    </row>
    <row r="21" spans="1:10" ht="15.75" customHeight="1">
      <c r="A21" s="69"/>
      <c r="B21" s="29" t="s">
        <v>36</v>
      </c>
      <c r="C21" s="30"/>
      <c r="D21" s="31"/>
      <c r="E21" s="30"/>
      <c r="F21" s="30"/>
      <c r="G21" s="30"/>
      <c r="H21" s="30"/>
      <c r="I21" s="30"/>
      <c r="J21" s="17">
        <f>SUM(C21:I21)+'4월'!K21</f>
        <v>0</v>
      </c>
    </row>
    <row r="22" spans="1:10" ht="15.75" customHeight="1">
      <c r="A22" s="69"/>
      <c r="B22" s="29" t="s">
        <v>37</v>
      </c>
      <c r="C22" s="32">
        <v>1</v>
      </c>
      <c r="D22" s="33">
        <v>5</v>
      </c>
      <c r="E22" s="32">
        <v>1</v>
      </c>
      <c r="F22" s="32"/>
      <c r="G22" s="32">
        <v>1</v>
      </c>
      <c r="H22" s="32"/>
      <c r="I22" s="32"/>
      <c r="J22" s="34">
        <f>SUM(C22:I22)+'4월'!K22</f>
        <v>16</v>
      </c>
    </row>
    <row r="23" spans="1:10" ht="15.75" customHeight="1">
      <c r="A23" s="69"/>
      <c r="B23" s="29" t="s">
        <v>38</v>
      </c>
      <c r="C23" s="36">
        <v>1</v>
      </c>
      <c r="D23" s="37">
        <v>5</v>
      </c>
      <c r="E23" s="36"/>
      <c r="F23" s="36"/>
      <c r="G23" s="36"/>
      <c r="H23" s="36"/>
      <c r="I23" s="36"/>
      <c r="J23" s="17">
        <f>SUM(C23:I23)+'4월'!K23</f>
        <v>14</v>
      </c>
    </row>
    <row r="24" spans="1:10" ht="15.75" customHeight="1">
      <c r="A24" s="69"/>
      <c r="B24" s="29" t="s">
        <v>39</v>
      </c>
      <c r="C24" s="32"/>
      <c r="D24" s="33"/>
      <c r="E24" s="32"/>
      <c r="F24" s="32"/>
      <c r="G24" s="32"/>
      <c r="H24" s="32">
        <v>3</v>
      </c>
      <c r="I24" s="32"/>
      <c r="J24" s="34">
        <f>SUM(C24:I24)+'4월'!K24</f>
        <v>8</v>
      </c>
    </row>
    <row r="25" spans="1:10" ht="15.75" customHeight="1">
      <c r="A25" s="69"/>
      <c r="B25" s="29" t="s">
        <v>40</v>
      </c>
      <c r="C25" s="36"/>
      <c r="D25" s="37">
        <v>5</v>
      </c>
      <c r="E25" s="36"/>
      <c r="F25" s="36"/>
      <c r="G25" s="36"/>
      <c r="H25" s="36">
        <v>3</v>
      </c>
      <c r="I25" s="36"/>
      <c r="J25" s="38">
        <f>SUM(C25:I25)+'4월'!K25</f>
        <v>17</v>
      </c>
    </row>
    <row r="26" spans="1:10" ht="15.75" customHeight="1">
      <c r="A26" s="69"/>
      <c r="B26" s="39" t="s">
        <v>41</v>
      </c>
      <c r="C26" s="40"/>
      <c r="D26" s="41"/>
      <c r="E26" s="40"/>
      <c r="F26" s="40"/>
      <c r="G26" s="40"/>
      <c r="H26" s="40"/>
      <c r="I26" s="40"/>
      <c r="J26" s="42">
        <f>SUM(C26:I26)+'4월'!K26</f>
        <v>10</v>
      </c>
    </row>
    <row r="27" spans="1:10" ht="15.75" customHeight="1">
      <c r="A27" s="69"/>
      <c r="B27" s="43" t="s">
        <v>42</v>
      </c>
      <c r="C27" s="44"/>
      <c r="D27" s="45">
        <v>5</v>
      </c>
      <c r="E27" s="44"/>
      <c r="F27" s="44"/>
      <c r="G27" s="44"/>
      <c r="H27" s="44"/>
      <c r="I27" s="44"/>
      <c r="J27" s="17">
        <f>SUM(C27:I27)+'4월'!K27</f>
        <v>12</v>
      </c>
    </row>
    <row r="28" spans="1:10" ht="15.75" customHeight="1">
      <c r="A28" s="69"/>
      <c r="B28" s="43" t="s">
        <v>43</v>
      </c>
      <c r="C28" s="46"/>
      <c r="D28" s="47"/>
      <c r="E28" s="46">
        <v>1</v>
      </c>
      <c r="F28" s="46"/>
      <c r="G28" s="46"/>
      <c r="H28" s="46"/>
      <c r="I28" s="46"/>
      <c r="J28" s="48">
        <f>SUM(C28:I28)+'4월'!K28</f>
        <v>12</v>
      </c>
    </row>
    <row r="29" spans="1:10" ht="15.75" customHeight="1">
      <c r="A29" s="69"/>
      <c r="B29" s="43" t="s">
        <v>44</v>
      </c>
      <c r="C29" s="44"/>
      <c r="D29" s="45"/>
      <c r="E29" s="44"/>
      <c r="F29" s="44"/>
      <c r="G29" s="44"/>
      <c r="H29" s="44"/>
      <c r="I29" s="44"/>
      <c r="J29" s="17">
        <f>SUM(C29:I29)+'4월'!K29</f>
        <v>1</v>
      </c>
    </row>
    <row r="30" spans="1:10" ht="15.75" customHeight="1">
      <c r="A30" s="69"/>
      <c r="B30" s="43" t="s">
        <v>45</v>
      </c>
      <c r="C30" s="46"/>
      <c r="D30" s="47"/>
      <c r="E30" s="46"/>
      <c r="F30" s="46">
        <v>1</v>
      </c>
      <c r="G30" s="46"/>
      <c r="H30" s="46"/>
      <c r="I30" s="46"/>
      <c r="J30" s="48">
        <f>SUM(C30:I30)+'4월'!K30</f>
        <v>5</v>
      </c>
    </row>
    <row r="31" spans="1:10" ht="15.75" customHeight="1">
      <c r="A31" s="69"/>
      <c r="B31" s="43" t="s">
        <v>46</v>
      </c>
      <c r="C31" s="44"/>
      <c r="D31" s="45"/>
      <c r="E31" s="44"/>
      <c r="F31" s="44"/>
      <c r="G31" s="44"/>
      <c r="H31" s="44"/>
      <c r="I31" s="44"/>
      <c r="J31" s="17">
        <f>SUM(C31:I31)+'4월'!K31</f>
        <v>5</v>
      </c>
    </row>
    <row r="32" spans="1:10" ht="15.75" customHeight="1">
      <c r="A32" s="69"/>
      <c r="B32" s="43" t="s">
        <v>47</v>
      </c>
      <c r="C32" s="46"/>
      <c r="D32" s="47"/>
      <c r="E32" s="46">
        <v>1</v>
      </c>
      <c r="F32" s="46"/>
      <c r="G32" s="46"/>
      <c r="H32" s="46"/>
      <c r="I32" s="46"/>
      <c r="J32" s="48">
        <f>SUM(C32:I32)+'4월'!K32</f>
        <v>19</v>
      </c>
    </row>
    <row r="33" spans="1:10" ht="15.75" customHeight="1">
      <c r="A33" s="69"/>
      <c r="B33" s="43" t="s">
        <v>48</v>
      </c>
      <c r="C33" s="44"/>
      <c r="D33" s="45"/>
      <c r="E33" s="44"/>
      <c r="F33" s="44"/>
      <c r="G33" s="44"/>
      <c r="H33" s="44"/>
      <c r="I33" s="44"/>
      <c r="J33" s="17">
        <f>SUM(C33:I33)+'4월'!K33</f>
        <v>1</v>
      </c>
    </row>
    <row r="34" spans="1:10" ht="15.75" customHeight="1">
      <c r="A34" s="69"/>
      <c r="B34" s="43" t="s">
        <v>49</v>
      </c>
      <c r="C34" s="46"/>
      <c r="D34" s="47"/>
      <c r="E34" s="46"/>
      <c r="F34" s="46"/>
      <c r="G34" s="46"/>
      <c r="H34" s="46"/>
      <c r="I34" s="46"/>
      <c r="J34" s="48">
        <f>SUM(C34:I34)+'4월'!K34</f>
        <v>6</v>
      </c>
    </row>
    <row r="35" spans="1:10" ht="15.75" customHeight="1">
      <c r="A35" s="69"/>
      <c r="B35" s="43" t="s">
        <v>50</v>
      </c>
      <c r="C35" s="44">
        <v>1</v>
      </c>
      <c r="D35" s="45"/>
      <c r="E35" s="44"/>
      <c r="F35" s="44"/>
      <c r="G35" s="44"/>
      <c r="H35" s="44"/>
      <c r="I35" s="44"/>
      <c r="J35" s="17">
        <f>SUM(C35:I35)+'4월'!K35</f>
        <v>6</v>
      </c>
    </row>
    <row r="36" spans="1:10" ht="15.75" customHeight="1">
      <c r="A36" s="69"/>
      <c r="B36" s="43" t="s">
        <v>51</v>
      </c>
      <c r="C36" s="46"/>
      <c r="D36" s="47"/>
      <c r="E36" s="46"/>
      <c r="F36" s="46"/>
      <c r="G36" s="46"/>
      <c r="H36" s="46"/>
      <c r="I36" s="46"/>
      <c r="J36" s="48">
        <f>SUM(C36:I36)+'4월'!K36</f>
        <v>1</v>
      </c>
    </row>
    <row r="37" spans="1:10" ht="15.75" customHeight="1">
      <c r="A37" s="69"/>
      <c r="B37" s="43" t="s">
        <v>52</v>
      </c>
      <c r="C37" s="44"/>
      <c r="D37" s="45"/>
      <c r="E37" s="44">
        <v>1</v>
      </c>
      <c r="F37" s="44"/>
      <c r="G37" s="44"/>
      <c r="H37" s="44"/>
      <c r="I37" s="44"/>
      <c r="J37" s="17">
        <f>SUM(C37:I37)+'4월'!K37</f>
        <v>10</v>
      </c>
    </row>
    <row r="38" spans="1:10" ht="15.75" customHeight="1">
      <c r="A38" s="69"/>
      <c r="B38" s="43" t="s">
        <v>53</v>
      </c>
      <c r="C38" s="49"/>
      <c r="D38" s="50"/>
      <c r="E38" s="49"/>
      <c r="F38" s="49"/>
      <c r="G38" s="49"/>
      <c r="H38" s="49"/>
      <c r="I38" s="49"/>
      <c r="J38" s="48">
        <f>SUM(C38:I38)+'4월'!K38</f>
        <v>0</v>
      </c>
    </row>
    <row r="39" spans="1:10" ht="15.75" customHeight="1">
      <c r="A39" s="69"/>
      <c r="B39" s="51" t="s">
        <v>54</v>
      </c>
      <c r="C39" s="44"/>
      <c r="D39" s="45"/>
      <c r="E39" s="44"/>
      <c r="F39" s="44"/>
      <c r="G39" s="44"/>
      <c r="H39" s="44"/>
      <c r="I39" s="44"/>
      <c r="J39" s="17">
        <f>SUM(C39:I39)+'4월'!K39</f>
        <v>5</v>
      </c>
    </row>
    <row r="40" spans="1:10" ht="15.75" customHeight="1">
      <c r="A40" s="69"/>
      <c r="B40" s="43" t="s">
        <v>55</v>
      </c>
      <c r="C40" s="46"/>
      <c r="D40" s="47">
        <v>5</v>
      </c>
      <c r="E40" s="46"/>
      <c r="F40" s="46">
        <v>1</v>
      </c>
      <c r="G40" s="46"/>
      <c r="H40" s="46"/>
      <c r="I40" s="46"/>
      <c r="J40" s="48">
        <f>SUM(C40:I40)+'4월'!K40</f>
        <v>6</v>
      </c>
    </row>
    <row r="41" spans="1:10" ht="15.75" customHeight="1">
      <c r="A41" s="69"/>
      <c r="B41" s="43" t="s">
        <v>56</v>
      </c>
      <c r="C41" s="44"/>
      <c r="D41" s="45"/>
      <c r="E41" s="44"/>
      <c r="F41" s="44"/>
      <c r="G41" s="44"/>
      <c r="H41" s="44"/>
      <c r="I41" s="44"/>
      <c r="J41" s="17">
        <f>SUM(C41:I41)+'4월'!K41</f>
        <v>13</v>
      </c>
    </row>
    <row r="42" spans="1:10" ht="15.75" customHeight="1">
      <c r="A42" s="69"/>
      <c r="B42" s="43" t="s">
        <v>57</v>
      </c>
      <c r="C42" s="49"/>
      <c r="D42" s="50"/>
      <c r="E42" s="49"/>
      <c r="F42" s="49"/>
      <c r="G42" s="49"/>
      <c r="H42" s="49"/>
      <c r="I42" s="49"/>
      <c r="J42" s="48">
        <f>SUM(C42:I42)+'4월'!K42</f>
        <v>6</v>
      </c>
    </row>
    <row r="43" spans="1:10" ht="15.75" customHeight="1">
      <c r="A43" s="69"/>
      <c r="B43" s="51" t="s">
        <v>58</v>
      </c>
      <c r="C43" s="44"/>
      <c r="D43" s="45"/>
      <c r="E43" s="44"/>
      <c r="F43" s="44"/>
      <c r="G43" s="44"/>
      <c r="H43" s="44"/>
      <c r="I43" s="44"/>
      <c r="J43" s="17">
        <f>SUM(C43:I43)+'4월'!K43</f>
        <v>7</v>
      </c>
    </row>
    <row r="44" spans="1:10" ht="15.75" customHeight="1">
      <c r="A44" s="69"/>
      <c r="B44" s="43" t="s">
        <v>59</v>
      </c>
      <c r="C44" s="46"/>
      <c r="D44" s="47">
        <v>5</v>
      </c>
      <c r="E44" s="46"/>
      <c r="F44" s="46"/>
      <c r="G44" s="46"/>
      <c r="H44" s="46"/>
      <c r="I44" s="46"/>
      <c r="J44" s="48">
        <f>SUM(C44:I44)+'4월'!K44</f>
        <v>15</v>
      </c>
    </row>
    <row r="45" spans="1:10" ht="15.75" customHeight="1">
      <c r="A45" s="69"/>
      <c r="B45" s="43" t="s">
        <v>60</v>
      </c>
      <c r="C45" s="52"/>
      <c r="D45" s="53"/>
      <c r="E45" s="52"/>
      <c r="F45" s="52"/>
      <c r="G45" s="52"/>
      <c r="H45" s="52"/>
      <c r="I45" s="52"/>
      <c r="J45" s="17">
        <f>SUM(C45:I45)+'4월'!K45</f>
        <v>5</v>
      </c>
    </row>
    <row r="46" spans="1:10" ht="15.75" customHeight="1">
      <c r="A46" s="70"/>
      <c r="B46" s="43" t="s">
        <v>61</v>
      </c>
      <c r="C46" s="54"/>
      <c r="D46" s="55"/>
      <c r="E46" s="54"/>
      <c r="F46" s="54">
        <v>1</v>
      </c>
      <c r="G46" s="54"/>
      <c r="H46" s="54"/>
      <c r="I46" s="54"/>
      <c r="J46" s="48">
        <f>SUM(C46:I46)+'4월'!K46</f>
        <v>11</v>
      </c>
    </row>
    <row r="47" spans="1:10" ht="15.75" customHeight="1">
      <c r="A47" s="71" t="s">
        <v>62</v>
      </c>
      <c r="B47" s="72"/>
      <c r="C47" s="56">
        <f t="shared" ref="C47:I47" si="0">COUNT(C2:C46)</f>
        <v>4</v>
      </c>
      <c r="D47" s="56">
        <f t="shared" si="0"/>
        <v>12</v>
      </c>
      <c r="E47" s="56">
        <f t="shared" si="0"/>
        <v>8</v>
      </c>
      <c r="F47" s="56">
        <f t="shared" si="0"/>
        <v>5</v>
      </c>
      <c r="G47" s="56">
        <f t="shared" si="0"/>
        <v>3</v>
      </c>
      <c r="H47" s="56">
        <f t="shared" si="0"/>
        <v>3</v>
      </c>
      <c r="I47" s="56">
        <f t="shared" si="0"/>
        <v>5</v>
      </c>
      <c r="J47" s="57"/>
    </row>
    <row r="48" spans="1:10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J1:J4"/>
    <mergeCell ref="A5:A9"/>
    <mergeCell ref="A10:A46"/>
    <mergeCell ref="A47:B47"/>
  </mergeCells>
  <phoneticPr fontId="5" type="noConversion"/>
  <pageMargins left="0.7" right="0.7" top="0.75" bottom="0.75" header="0" footer="0"/>
  <pageSetup paperSize="9" orientation="portrait" r:id="rId1"/>
  <ignoredErrors>
    <ignoredError sqref="H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K1" sqref="K1:K4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10" width="18.42578125" customWidth="1"/>
    <col min="11" max="11" width="11.140625" customWidth="1"/>
  </cols>
  <sheetData>
    <row r="1" spans="1:11" ht="16.5">
      <c r="A1" s="60" t="s">
        <v>63</v>
      </c>
      <c r="B1" s="1" t="s">
        <v>1</v>
      </c>
      <c r="C1" s="2" t="s">
        <v>64</v>
      </c>
      <c r="D1" s="3" t="s">
        <v>65</v>
      </c>
      <c r="E1" s="3" t="s">
        <v>66</v>
      </c>
      <c r="F1" s="2" t="s">
        <v>67</v>
      </c>
      <c r="G1" s="2" t="s">
        <v>68</v>
      </c>
      <c r="H1" s="3" t="s">
        <v>69</v>
      </c>
      <c r="I1" s="2" t="s">
        <v>70</v>
      </c>
      <c r="J1" s="2" t="s">
        <v>71</v>
      </c>
      <c r="K1" s="63" t="s">
        <v>7</v>
      </c>
    </row>
    <row r="2" spans="1:11" ht="16.5">
      <c r="A2" s="61"/>
      <c r="B2" s="4" t="s">
        <v>8</v>
      </c>
      <c r="C2" s="4" t="s">
        <v>9</v>
      </c>
      <c r="D2" s="5" t="s">
        <v>72</v>
      </c>
      <c r="E2" s="5" t="s">
        <v>73</v>
      </c>
      <c r="F2" s="4" t="s">
        <v>9</v>
      </c>
      <c r="G2" s="4" t="s">
        <v>9</v>
      </c>
      <c r="H2" s="5" t="s">
        <v>74</v>
      </c>
      <c r="I2" s="4" t="s">
        <v>9</v>
      </c>
      <c r="J2" s="4" t="s">
        <v>9</v>
      </c>
      <c r="K2" s="64"/>
    </row>
    <row r="3" spans="1:11" ht="16.5">
      <c r="A3" s="61"/>
      <c r="B3" s="6" t="s">
        <v>12</v>
      </c>
      <c r="C3" s="6" t="s">
        <v>75</v>
      </c>
      <c r="D3" s="7" t="s">
        <v>76</v>
      </c>
      <c r="E3" s="7" t="s">
        <v>77</v>
      </c>
      <c r="F3" s="6" t="s">
        <v>78</v>
      </c>
      <c r="G3" s="6" t="s">
        <v>79</v>
      </c>
      <c r="H3" s="7" t="s">
        <v>80</v>
      </c>
      <c r="I3" s="6" t="s">
        <v>81</v>
      </c>
      <c r="J3" s="6" t="s">
        <v>82</v>
      </c>
      <c r="K3" s="64"/>
    </row>
    <row r="4" spans="1:11" ht="16.5">
      <c r="A4" s="62"/>
      <c r="B4" s="8" t="s">
        <v>17</v>
      </c>
      <c r="C4" s="8" t="s">
        <v>23</v>
      </c>
      <c r="D4" s="9" t="s">
        <v>14</v>
      </c>
      <c r="E4" s="9" t="s">
        <v>14</v>
      </c>
      <c r="F4" s="8" t="s">
        <v>25</v>
      </c>
      <c r="G4" s="8" t="s">
        <v>18</v>
      </c>
      <c r="H4" s="9" t="s">
        <v>14</v>
      </c>
      <c r="I4" s="8" t="s">
        <v>83</v>
      </c>
      <c r="J4" s="8" t="s">
        <v>18</v>
      </c>
      <c r="K4" s="65"/>
    </row>
    <row r="5" spans="1:11" ht="16.5">
      <c r="A5" s="66" t="s">
        <v>21</v>
      </c>
      <c r="B5" s="10" t="s">
        <v>18</v>
      </c>
      <c r="C5" s="11">
        <v>1</v>
      </c>
      <c r="D5" s="12"/>
      <c r="E5" s="11">
        <v>3</v>
      </c>
      <c r="F5" s="11">
        <v>1</v>
      </c>
      <c r="G5" s="11">
        <v>2</v>
      </c>
      <c r="H5" s="11">
        <v>3</v>
      </c>
      <c r="I5" s="11">
        <v>1</v>
      </c>
      <c r="J5" s="11">
        <v>2</v>
      </c>
      <c r="K5" s="13">
        <f>SUM(C5:J5)+'3월'!F5</f>
        <v>20</v>
      </c>
    </row>
    <row r="6" spans="1:11" ht="16.5">
      <c r="A6" s="61"/>
      <c r="B6" s="14" t="s">
        <v>22</v>
      </c>
      <c r="C6" s="15">
        <v>1</v>
      </c>
      <c r="D6" s="16"/>
      <c r="E6" s="15"/>
      <c r="F6" s="15"/>
      <c r="G6" s="15"/>
      <c r="H6" s="15"/>
      <c r="I6" s="15"/>
      <c r="J6" s="15"/>
      <c r="K6" s="17">
        <f>SUM(C6:J6)+'3월'!F6</f>
        <v>6</v>
      </c>
    </row>
    <row r="7" spans="1:11" ht="16.5">
      <c r="A7" s="61"/>
      <c r="B7" s="14" t="s">
        <v>23</v>
      </c>
      <c r="C7" s="18">
        <v>2</v>
      </c>
      <c r="D7" s="19">
        <v>3</v>
      </c>
      <c r="E7" s="18"/>
      <c r="F7" s="18"/>
      <c r="G7" s="18"/>
      <c r="H7" s="18">
        <v>3</v>
      </c>
      <c r="I7" s="18"/>
      <c r="J7" s="18"/>
      <c r="K7" s="20">
        <f>SUM(C7:J7)+'3월'!F7</f>
        <v>13</v>
      </c>
    </row>
    <row r="8" spans="1:11" ht="16.5">
      <c r="A8" s="61"/>
      <c r="B8" s="14" t="s">
        <v>24</v>
      </c>
      <c r="C8" s="15">
        <v>1</v>
      </c>
      <c r="D8" s="16">
        <v>1</v>
      </c>
      <c r="E8" s="15"/>
      <c r="F8" s="15">
        <v>1</v>
      </c>
      <c r="G8" s="15"/>
      <c r="H8" s="15">
        <v>1</v>
      </c>
      <c r="I8" s="15">
        <v>2</v>
      </c>
      <c r="J8" s="15"/>
      <c r="K8" s="17">
        <f>SUM(C8:J8)+'3월'!F8</f>
        <v>14</v>
      </c>
    </row>
    <row r="9" spans="1:11" ht="16.5">
      <c r="A9" s="67"/>
      <c r="B9" s="21" t="s">
        <v>25</v>
      </c>
      <c r="C9" s="22">
        <v>1</v>
      </c>
      <c r="D9" s="23">
        <v>1</v>
      </c>
      <c r="E9" s="22">
        <v>1</v>
      </c>
      <c r="F9" s="22">
        <v>2</v>
      </c>
      <c r="G9" s="22">
        <v>1</v>
      </c>
      <c r="H9" s="22">
        <v>1</v>
      </c>
      <c r="I9" s="22">
        <v>2</v>
      </c>
      <c r="J9" s="22"/>
      <c r="K9" s="24">
        <f>SUM(C9:J9)+'3월'!F9</f>
        <v>16</v>
      </c>
    </row>
    <row r="10" spans="1:11" ht="16.5">
      <c r="A10" s="68" t="s">
        <v>26</v>
      </c>
      <c r="B10" s="25" t="s">
        <v>20</v>
      </c>
      <c r="C10" s="26">
        <v>1</v>
      </c>
      <c r="D10" s="27"/>
      <c r="E10" s="26">
        <v>3</v>
      </c>
      <c r="F10" s="26"/>
      <c r="G10" s="26">
        <v>1</v>
      </c>
      <c r="H10" s="26">
        <v>3</v>
      </c>
      <c r="I10" s="26"/>
      <c r="J10" s="26"/>
      <c r="K10" s="28">
        <f>SUM(C10:J10)+'3월'!F10</f>
        <v>8</v>
      </c>
    </row>
    <row r="11" spans="1:11" ht="16.5">
      <c r="A11" s="69"/>
      <c r="B11" s="29" t="s">
        <v>27</v>
      </c>
      <c r="C11" s="30"/>
      <c r="D11" s="31">
        <v>1</v>
      </c>
      <c r="E11" s="30"/>
      <c r="F11" s="30"/>
      <c r="G11" s="30"/>
      <c r="H11" s="30"/>
      <c r="I11" s="30"/>
      <c r="J11" s="30"/>
      <c r="K11" s="17">
        <f>SUM(C11:J11)+'3월'!F11</f>
        <v>6</v>
      </c>
    </row>
    <row r="12" spans="1:11" ht="16.5">
      <c r="A12" s="69"/>
      <c r="B12" s="29" t="s">
        <v>28</v>
      </c>
      <c r="C12" s="32"/>
      <c r="D12" s="33"/>
      <c r="E12" s="32"/>
      <c r="F12" s="32"/>
      <c r="G12" s="32"/>
      <c r="H12" s="32"/>
      <c r="I12" s="32"/>
      <c r="J12" s="32"/>
      <c r="K12" s="34">
        <f>SUM(C12:J12)+'3월'!F12</f>
        <v>9</v>
      </c>
    </row>
    <row r="13" spans="1:11" ht="16.5">
      <c r="A13" s="69"/>
      <c r="B13" s="29" t="s">
        <v>19</v>
      </c>
      <c r="C13" s="30">
        <v>1</v>
      </c>
      <c r="D13" s="31"/>
      <c r="E13" s="30">
        <v>1</v>
      </c>
      <c r="F13" s="30"/>
      <c r="G13" s="30">
        <v>1</v>
      </c>
      <c r="H13" s="30">
        <v>3</v>
      </c>
      <c r="I13" s="30"/>
      <c r="J13" s="30"/>
      <c r="K13" s="17">
        <f>SUM(C13:J13)+'3월'!F13</f>
        <v>11</v>
      </c>
    </row>
    <row r="14" spans="1:11" ht="16.5">
      <c r="A14" s="69"/>
      <c r="B14" s="29" t="s">
        <v>29</v>
      </c>
      <c r="C14" s="32">
        <v>1</v>
      </c>
      <c r="D14" s="33"/>
      <c r="E14" s="32"/>
      <c r="F14" s="32"/>
      <c r="G14" s="32"/>
      <c r="H14" s="32">
        <v>1</v>
      </c>
      <c r="I14" s="32"/>
      <c r="J14" s="32"/>
      <c r="K14" s="34">
        <f>SUM(C14:J14)+'3월'!F14</f>
        <v>4</v>
      </c>
    </row>
    <row r="15" spans="1:11" ht="16.5">
      <c r="A15" s="69"/>
      <c r="B15" s="29" t="s">
        <v>30</v>
      </c>
      <c r="C15" s="30"/>
      <c r="D15" s="31">
        <v>1</v>
      </c>
      <c r="E15" s="30"/>
      <c r="F15" s="30"/>
      <c r="G15" s="30"/>
      <c r="H15" s="30"/>
      <c r="I15" s="30"/>
      <c r="J15" s="30"/>
      <c r="K15" s="17">
        <f>SUM(C15:J15)+'3월'!F15</f>
        <v>7</v>
      </c>
    </row>
    <row r="16" spans="1:11" ht="16.5">
      <c r="A16" s="69"/>
      <c r="B16" s="29" t="s">
        <v>31</v>
      </c>
      <c r="C16" s="32"/>
      <c r="D16" s="33"/>
      <c r="E16" s="32"/>
      <c r="F16" s="32"/>
      <c r="G16" s="32"/>
      <c r="H16" s="32"/>
      <c r="I16" s="32"/>
      <c r="J16" s="32"/>
      <c r="K16" s="34">
        <f>SUM(C16:J16)+'3월'!F16</f>
        <v>0</v>
      </c>
    </row>
    <row r="17" spans="1:11" ht="16.5">
      <c r="A17" s="69"/>
      <c r="B17" s="29" t="s">
        <v>32</v>
      </c>
      <c r="C17" s="30"/>
      <c r="D17" s="31"/>
      <c r="E17" s="30"/>
      <c r="F17" s="30"/>
      <c r="G17" s="30"/>
      <c r="H17" s="30"/>
      <c r="I17" s="30"/>
      <c r="J17" s="30"/>
      <c r="K17" s="17">
        <f>SUM(C17:J17)+'3월'!F17</f>
        <v>0</v>
      </c>
    </row>
    <row r="18" spans="1:11" ht="16.5">
      <c r="A18" s="69"/>
      <c r="B18" s="29" t="s">
        <v>33</v>
      </c>
      <c r="C18" s="32"/>
      <c r="D18" s="35"/>
      <c r="E18" s="32"/>
      <c r="F18" s="32"/>
      <c r="G18" s="32"/>
      <c r="H18" s="32"/>
      <c r="I18" s="32"/>
      <c r="J18" s="32"/>
      <c r="K18" s="34">
        <f>SUM(C18:J18)+'3월'!F18</f>
        <v>1</v>
      </c>
    </row>
    <row r="19" spans="1:11" ht="16.5">
      <c r="A19" s="69"/>
      <c r="B19" s="29" t="s">
        <v>34</v>
      </c>
      <c r="C19" s="30"/>
      <c r="D19" s="31"/>
      <c r="E19" s="30"/>
      <c r="F19" s="30"/>
      <c r="G19" s="30"/>
      <c r="H19" s="30"/>
      <c r="I19" s="30"/>
      <c r="J19" s="30"/>
      <c r="K19" s="17">
        <f>SUM(C19:J19)+'3월'!F19</f>
        <v>5</v>
      </c>
    </row>
    <row r="20" spans="1:11" ht="16.5">
      <c r="A20" s="69"/>
      <c r="B20" s="29" t="s">
        <v>35</v>
      </c>
      <c r="C20" s="32"/>
      <c r="D20" s="33"/>
      <c r="E20" s="32">
        <v>3</v>
      </c>
      <c r="F20" s="32"/>
      <c r="G20" s="32"/>
      <c r="H20" s="32"/>
      <c r="I20" s="32"/>
      <c r="J20" s="32"/>
      <c r="K20" s="34">
        <f>SUM(C20:J20)+'3월'!F20</f>
        <v>3</v>
      </c>
    </row>
    <row r="21" spans="1:11" ht="15.75" customHeight="1">
      <c r="A21" s="69"/>
      <c r="B21" s="29" t="s">
        <v>36</v>
      </c>
      <c r="C21" s="30"/>
      <c r="D21" s="31"/>
      <c r="E21" s="30"/>
      <c r="F21" s="30"/>
      <c r="G21" s="30"/>
      <c r="H21" s="30"/>
      <c r="I21" s="30"/>
      <c r="J21" s="30"/>
      <c r="K21" s="17">
        <f>SUM(C21:J21)+'3월'!F21</f>
        <v>0</v>
      </c>
    </row>
    <row r="22" spans="1:11" ht="15.75" customHeight="1">
      <c r="A22" s="69"/>
      <c r="B22" s="29" t="s">
        <v>37</v>
      </c>
      <c r="C22" s="32">
        <v>1</v>
      </c>
      <c r="D22" s="33"/>
      <c r="E22" s="32"/>
      <c r="F22" s="32"/>
      <c r="G22" s="32">
        <v>1</v>
      </c>
      <c r="H22" s="32"/>
      <c r="I22" s="32">
        <v>1</v>
      </c>
      <c r="J22" s="32"/>
      <c r="K22" s="34">
        <f>SUM(C22:J22)+'3월'!F22</f>
        <v>8</v>
      </c>
    </row>
    <row r="23" spans="1:11" ht="15.75" customHeight="1">
      <c r="A23" s="69"/>
      <c r="B23" s="29" t="s">
        <v>38</v>
      </c>
      <c r="C23" s="36">
        <v>1</v>
      </c>
      <c r="D23" s="37"/>
      <c r="E23" s="36"/>
      <c r="F23" s="36"/>
      <c r="G23" s="36"/>
      <c r="H23" s="36">
        <v>3</v>
      </c>
      <c r="I23" s="36"/>
      <c r="J23" s="36"/>
      <c r="K23" s="17">
        <f>SUM(C23:J23)+'3월'!F23</f>
        <v>8</v>
      </c>
    </row>
    <row r="24" spans="1:11" ht="15.75" customHeight="1">
      <c r="A24" s="69"/>
      <c r="B24" s="29" t="s">
        <v>39</v>
      </c>
      <c r="C24" s="32"/>
      <c r="D24" s="33"/>
      <c r="E24" s="32"/>
      <c r="F24" s="32"/>
      <c r="G24" s="32"/>
      <c r="H24" s="32"/>
      <c r="I24" s="32"/>
      <c r="J24" s="32"/>
      <c r="K24" s="34">
        <f>SUM(C24:J24)+'3월'!F24</f>
        <v>5</v>
      </c>
    </row>
    <row r="25" spans="1:11" ht="15.75" customHeight="1">
      <c r="A25" s="69"/>
      <c r="B25" s="29" t="s">
        <v>40</v>
      </c>
      <c r="C25" s="36">
        <v>1</v>
      </c>
      <c r="D25" s="37">
        <v>3</v>
      </c>
      <c r="E25" s="36"/>
      <c r="F25" s="36">
        <v>1</v>
      </c>
      <c r="G25" s="36">
        <v>1</v>
      </c>
      <c r="H25" s="36"/>
      <c r="I25" s="36">
        <v>1</v>
      </c>
      <c r="J25" s="36">
        <v>1</v>
      </c>
      <c r="K25" s="38">
        <f>SUM(C25:J25)+'3월'!F25</f>
        <v>9</v>
      </c>
    </row>
    <row r="26" spans="1:11" ht="15.75" customHeight="1">
      <c r="A26" s="69"/>
      <c r="B26" s="39" t="s">
        <v>41</v>
      </c>
      <c r="C26" s="40">
        <v>1</v>
      </c>
      <c r="D26" s="41">
        <v>1</v>
      </c>
      <c r="E26" s="40"/>
      <c r="F26" s="40">
        <v>1</v>
      </c>
      <c r="G26" s="40"/>
      <c r="H26" s="40"/>
      <c r="I26" s="40">
        <v>1</v>
      </c>
      <c r="J26" s="40"/>
      <c r="K26" s="42">
        <f>SUM(C26:J26)+'3월'!F26</f>
        <v>10</v>
      </c>
    </row>
    <row r="27" spans="1:11" ht="15.75" customHeight="1">
      <c r="A27" s="69"/>
      <c r="B27" s="43" t="s">
        <v>42</v>
      </c>
      <c r="C27" s="44"/>
      <c r="D27" s="45">
        <v>1</v>
      </c>
      <c r="E27" s="44"/>
      <c r="F27" s="44"/>
      <c r="G27" s="44"/>
      <c r="H27" s="44"/>
      <c r="I27" s="44">
        <v>1</v>
      </c>
      <c r="J27" s="44"/>
      <c r="K27" s="17">
        <f>SUM(C27:J27)+'3월'!F27</f>
        <v>7</v>
      </c>
    </row>
    <row r="28" spans="1:11" ht="15.75" customHeight="1">
      <c r="A28" s="69"/>
      <c r="B28" s="43" t="s">
        <v>43</v>
      </c>
      <c r="C28" s="46">
        <v>1</v>
      </c>
      <c r="D28" s="47">
        <v>3</v>
      </c>
      <c r="E28" s="46">
        <v>1</v>
      </c>
      <c r="F28" s="46"/>
      <c r="G28" s="46"/>
      <c r="H28" s="46"/>
      <c r="I28" s="46">
        <v>1</v>
      </c>
      <c r="J28" s="46"/>
      <c r="K28" s="48">
        <f>SUM(C28:J28)+'3월'!F28</f>
        <v>11</v>
      </c>
    </row>
    <row r="29" spans="1:11" ht="15.75" customHeight="1">
      <c r="A29" s="69"/>
      <c r="B29" s="43" t="s">
        <v>44</v>
      </c>
      <c r="C29" s="44"/>
      <c r="D29" s="45"/>
      <c r="E29" s="44">
        <v>1</v>
      </c>
      <c r="F29" s="44"/>
      <c r="G29" s="44"/>
      <c r="H29" s="44"/>
      <c r="I29" s="44"/>
      <c r="J29" s="44"/>
      <c r="K29" s="17">
        <f>SUM(C29:J29)+'3월'!F29</f>
        <v>1</v>
      </c>
    </row>
    <row r="30" spans="1:11" ht="15.75" customHeight="1">
      <c r="A30" s="69"/>
      <c r="B30" s="43" t="s">
        <v>45</v>
      </c>
      <c r="C30" s="46"/>
      <c r="D30" s="47"/>
      <c r="E30" s="46">
        <v>3</v>
      </c>
      <c r="F30" s="46"/>
      <c r="G30" s="46"/>
      <c r="H30" s="46"/>
      <c r="I30" s="46">
        <v>1</v>
      </c>
      <c r="J30" s="46"/>
      <c r="K30" s="48">
        <f>SUM(C30:J30)+'3월'!F30</f>
        <v>4</v>
      </c>
    </row>
    <row r="31" spans="1:11" ht="15.75" customHeight="1">
      <c r="A31" s="69"/>
      <c r="B31" s="43" t="s">
        <v>46</v>
      </c>
      <c r="C31" s="44"/>
      <c r="D31" s="45"/>
      <c r="E31" s="44"/>
      <c r="F31" s="44"/>
      <c r="G31" s="44"/>
      <c r="H31" s="44"/>
      <c r="I31" s="44"/>
      <c r="J31" s="44"/>
      <c r="K31" s="17">
        <f>SUM(C31:J31)+'3월'!F31</f>
        <v>5</v>
      </c>
    </row>
    <row r="32" spans="1:11" ht="15.75" customHeight="1">
      <c r="A32" s="69"/>
      <c r="B32" s="43" t="s">
        <v>47</v>
      </c>
      <c r="C32" s="46"/>
      <c r="D32" s="47">
        <v>3</v>
      </c>
      <c r="E32" s="46">
        <v>3</v>
      </c>
      <c r="F32" s="46"/>
      <c r="G32" s="46">
        <v>1</v>
      </c>
      <c r="H32" s="46">
        <v>3</v>
      </c>
      <c r="I32" s="46"/>
      <c r="J32" s="46"/>
      <c r="K32" s="48">
        <f>SUM(C32:J32)+'3월'!F32</f>
        <v>18</v>
      </c>
    </row>
    <row r="33" spans="1:11" ht="15.75" customHeight="1">
      <c r="A33" s="69"/>
      <c r="B33" s="43" t="s">
        <v>48</v>
      </c>
      <c r="C33" s="44"/>
      <c r="D33" s="45"/>
      <c r="E33" s="44"/>
      <c r="F33" s="44"/>
      <c r="G33" s="44"/>
      <c r="H33" s="44"/>
      <c r="I33" s="44"/>
      <c r="J33" s="44"/>
      <c r="K33" s="17">
        <f>SUM(C33:J33)+'3월'!F33</f>
        <v>1</v>
      </c>
    </row>
    <row r="34" spans="1:11" ht="15.75" customHeight="1">
      <c r="A34" s="69"/>
      <c r="B34" s="43" t="s">
        <v>49</v>
      </c>
      <c r="C34" s="46"/>
      <c r="D34" s="47">
        <v>1</v>
      </c>
      <c r="E34" s="46"/>
      <c r="F34" s="46"/>
      <c r="G34" s="46"/>
      <c r="H34" s="46"/>
      <c r="I34" s="46"/>
      <c r="J34" s="46"/>
      <c r="K34" s="48">
        <f>SUM(C34:J34)+'3월'!F34</f>
        <v>6</v>
      </c>
    </row>
    <row r="35" spans="1:11" ht="15.75" customHeight="1">
      <c r="A35" s="69"/>
      <c r="B35" s="43" t="s">
        <v>50</v>
      </c>
      <c r="C35" s="44"/>
      <c r="D35" s="45"/>
      <c r="E35" s="44"/>
      <c r="F35" s="44"/>
      <c r="G35" s="44"/>
      <c r="H35" s="44"/>
      <c r="I35" s="44"/>
      <c r="J35" s="44"/>
      <c r="K35" s="17">
        <f>SUM(C35:J35)+'3월'!F35</f>
        <v>5</v>
      </c>
    </row>
    <row r="36" spans="1:11" ht="15.75" customHeight="1">
      <c r="A36" s="69"/>
      <c r="B36" s="43" t="s">
        <v>51</v>
      </c>
      <c r="C36" s="46">
        <v>1</v>
      </c>
      <c r="D36" s="47"/>
      <c r="E36" s="46"/>
      <c r="F36" s="46"/>
      <c r="G36" s="46"/>
      <c r="H36" s="46"/>
      <c r="I36" s="46"/>
      <c r="J36" s="46"/>
      <c r="K36" s="48">
        <f>SUM(C36:J36)+'3월'!F36</f>
        <v>1</v>
      </c>
    </row>
    <row r="37" spans="1:11" ht="15.75" customHeight="1">
      <c r="A37" s="69"/>
      <c r="B37" s="43" t="s">
        <v>52</v>
      </c>
      <c r="C37" s="44"/>
      <c r="D37" s="45"/>
      <c r="E37" s="44"/>
      <c r="F37" s="44"/>
      <c r="G37" s="44">
        <v>1</v>
      </c>
      <c r="H37" s="44"/>
      <c r="I37" s="44"/>
      <c r="J37" s="44"/>
      <c r="K37" s="17">
        <f>SUM(C37:J37)+'3월'!F37</f>
        <v>9</v>
      </c>
    </row>
    <row r="38" spans="1:11" ht="15.75" customHeight="1">
      <c r="A38" s="69"/>
      <c r="B38" s="43" t="s">
        <v>53</v>
      </c>
      <c r="C38" s="49"/>
      <c r="D38" s="50"/>
      <c r="E38" s="49"/>
      <c r="F38" s="49"/>
      <c r="G38" s="49"/>
      <c r="H38" s="49"/>
      <c r="I38" s="49"/>
      <c r="J38" s="49"/>
      <c r="K38" s="48">
        <f>SUM(C38:J38)+'3월'!F38</f>
        <v>0</v>
      </c>
    </row>
    <row r="39" spans="1:11" ht="15.75" customHeight="1">
      <c r="A39" s="69"/>
      <c r="B39" s="51" t="s">
        <v>54</v>
      </c>
      <c r="C39" s="44"/>
      <c r="D39" s="45"/>
      <c r="E39" s="44"/>
      <c r="F39" s="44"/>
      <c r="G39" s="44"/>
      <c r="H39" s="44"/>
      <c r="I39" s="44"/>
      <c r="J39" s="44"/>
      <c r="K39" s="17">
        <f>SUM(C39:J39)+'3월'!F39</f>
        <v>5</v>
      </c>
    </row>
    <row r="40" spans="1:11" ht="15.75" customHeight="1">
      <c r="A40" s="69"/>
      <c r="B40" s="43" t="s">
        <v>55</v>
      </c>
      <c r="C40" s="46"/>
      <c r="D40" s="47"/>
      <c r="E40" s="46"/>
      <c r="F40" s="46"/>
      <c r="G40" s="46"/>
      <c r="H40" s="46"/>
      <c r="I40" s="46"/>
      <c r="J40" s="46"/>
      <c r="K40" s="48">
        <f>SUM(C40:J40)+'3월'!F40</f>
        <v>0</v>
      </c>
    </row>
    <row r="41" spans="1:11" ht="15.75" customHeight="1">
      <c r="A41" s="69"/>
      <c r="B41" s="43" t="s">
        <v>56</v>
      </c>
      <c r="C41" s="44">
        <v>1</v>
      </c>
      <c r="D41" s="45"/>
      <c r="E41" s="44">
        <v>3</v>
      </c>
      <c r="F41" s="44">
        <v>1</v>
      </c>
      <c r="G41" s="44"/>
      <c r="H41" s="44"/>
      <c r="I41" s="44"/>
      <c r="J41" s="44">
        <v>1</v>
      </c>
      <c r="K41" s="17">
        <f>SUM(C41:J41)+'3월'!F41</f>
        <v>13</v>
      </c>
    </row>
    <row r="42" spans="1:11" ht="15.75" customHeight="1">
      <c r="A42" s="69"/>
      <c r="B42" s="43" t="s">
        <v>57</v>
      </c>
      <c r="C42" s="49"/>
      <c r="D42" s="50"/>
      <c r="E42" s="49"/>
      <c r="F42" s="49"/>
      <c r="G42" s="49"/>
      <c r="H42" s="49"/>
      <c r="I42" s="49"/>
      <c r="J42" s="49"/>
      <c r="K42" s="48">
        <f>SUM(C42:J42)+'3월'!F42</f>
        <v>6</v>
      </c>
    </row>
    <row r="43" spans="1:11" ht="15.75" customHeight="1">
      <c r="A43" s="69"/>
      <c r="B43" s="51" t="s">
        <v>58</v>
      </c>
      <c r="C43" s="44"/>
      <c r="D43" s="45"/>
      <c r="E43" s="44"/>
      <c r="F43" s="44">
        <v>1</v>
      </c>
      <c r="G43" s="44">
        <v>1</v>
      </c>
      <c r="H43" s="44"/>
      <c r="I43" s="44"/>
      <c r="J43" s="44"/>
      <c r="K43" s="17">
        <f>SUM(C43:J43)+'3월'!F43</f>
        <v>7</v>
      </c>
    </row>
    <row r="44" spans="1:11" ht="15.75" customHeight="1">
      <c r="A44" s="69"/>
      <c r="B44" s="43" t="s">
        <v>59</v>
      </c>
      <c r="C44" s="46">
        <v>1</v>
      </c>
      <c r="D44" s="47">
        <v>3</v>
      </c>
      <c r="E44" s="46"/>
      <c r="F44" s="46"/>
      <c r="G44" s="46"/>
      <c r="H44" s="46"/>
      <c r="I44" s="46"/>
      <c r="J44" s="46"/>
      <c r="K44" s="48">
        <f>SUM(C44:J44)+'3월'!F44</f>
        <v>10</v>
      </c>
    </row>
    <row r="45" spans="1:11" ht="15.75" customHeight="1">
      <c r="A45" s="69"/>
      <c r="B45" s="43" t="s">
        <v>60</v>
      </c>
      <c r="C45" s="52"/>
      <c r="D45" s="53"/>
      <c r="E45" s="52"/>
      <c r="F45" s="52"/>
      <c r="G45" s="52"/>
      <c r="H45" s="52"/>
      <c r="I45" s="52"/>
      <c r="J45" s="52"/>
      <c r="K45" s="17">
        <f>SUM(C45:J45)+'3월'!F45</f>
        <v>5</v>
      </c>
    </row>
    <row r="46" spans="1:11" ht="15.75" customHeight="1">
      <c r="A46" s="70"/>
      <c r="B46" s="43" t="s">
        <v>61</v>
      </c>
      <c r="C46" s="54">
        <v>1</v>
      </c>
      <c r="D46" s="55">
        <v>1</v>
      </c>
      <c r="E46" s="54"/>
      <c r="F46" s="54"/>
      <c r="G46" s="54"/>
      <c r="H46" s="54"/>
      <c r="I46" s="54"/>
      <c r="J46" s="54"/>
      <c r="K46" s="48">
        <f>SUM(C46:J46)+'3월'!F46</f>
        <v>10</v>
      </c>
    </row>
    <row r="47" spans="1:11" ht="15.75" customHeight="1">
      <c r="A47" s="71" t="s">
        <v>62</v>
      </c>
      <c r="B47" s="72"/>
      <c r="C47" s="56">
        <f t="shared" ref="C47:J47" si="0">COUNT(C2:C46)</f>
        <v>17</v>
      </c>
      <c r="D47" s="56">
        <f t="shared" si="0"/>
        <v>13</v>
      </c>
      <c r="E47" s="56">
        <f t="shared" si="0"/>
        <v>10</v>
      </c>
      <c r="F47" s="56">
        <f t="shared" si="0"/>
        <v>7</v>
      </c>
      <c r="G47" s="56">
        <f t="shared" si="0"/>
        <v>9</v>
      </c>
      <c r="H47" s="56">
        <f t="shared" si="0"/>
        <v>9</v>
      </c>
      <c r="I47" s="56">
        <f t="shared" si="0"/>
        <v>9</v>
      </c>
      <c r="J47" s="56">
        <f t="shared" si="0"/>
        <v>3</v>
      </c>
      <c r="K47" s="57"/>
    </row>
    <row r="48" spans="1:11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K1:K4"/>
    <mergeCell ref="A5:A9"/>
    <mergeCell ref="A10:A46"/>
    <mergeCell ref="A47:B47"/>
  </mergeCells>
  <phoneticPr fontId="5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selection sqref="A1:A4"/>
    </sheetView>
  </sheetViews>
  <sheetFormatPr defaultColWidth="14.42578125" defaultRowHeight="15" customHeight="1"/>
  <cols>
    <col min="1" max="1" width="12.5703125" customWidth="1"/>
    <col min="2" max="2" width="15.5703125" customWidth="1"/>
    <col min="3" max="5" width="18.42578125" customWidth="1"/>
    <col min="6" max="6" width="11.140625" customWidth="1"/>
  </cols>
  <sheetData>
    <row r="1" spans="1:6" ht="16.5">
      <c r="A1" s="60" t="s">
        <v>84</v>
      </c>
      <c r="B1" s="1" t="s">
        <v>1</v>
      </c>
      <c r="C1" s="3" t="s">
        <v>85</v>
      </c>
      <c r="D1" s="2" t="s">
        <v>86</v>
      </c>
      <c r="E1" s="3" t="s">
        <v>87</v>
      </c>
      <c r="F1" s="63" t="s">
        <v>7</v>
      </c>
    </row>
    <row r="2" spans="1:6" ht="16.5">
      <c r="A2" s="61"/>
      <c r="B2" s="4" t="s">
        <v>8</v>
      </c>
      <c r="C2" s="5" t="s">
        <v>88</v>
      </c>
      <c r="D2" s="4" t="s">
        <v>9</v>
      </c>
      <c r="E2" s="5" t="s">
        <v>89</v>
      </c>
      <c r="F2" s="64"/>
    </row>
    <row r="3" spans="1:6" ht="16.5">
      <c r="A3" s="61"/>
      <c r="B3" s="6" t="s">
        <v>12</v>
      </c>
      <c r="C3" s="7" t="s">
        <v>14</v>
      </c>
      <c r="D3" s="6" t="s">
        <v>75</v>
      </c>
      <c r="E3" s="7" t="s">
        <v>90</v>
      </c>
      <c r="F3" s="64"/>
    </row>
    <row r="4" spans="1:6" ht="16.5">
      <c r="A4" s="62"/>
      <c r="B4" s="8" t="s">
        <v>17</v>
      </c>
      <c r="C4" s="9" t="s">
        <v>14</v>
      </c>
      <c r="D4" s="8" t="s">
        <v>24</v>
      </c>
      <c r="E4" s="8" t="s">
        <v>14</v>
      </c>
      <c r="F4" s="73"/>
    </row>
    <row r="5" spans="1:6" ht="16.5">
      <c r="A5" s="66" t="s">
        <v>21</v>
      </c>
      <c r="B5" s="10" t="s">
        <v>18</v>
      </c>
      <c r="C5" s="11">
        <v>5</v>
      </c>
      <c r="D5" s="12">
        <v>1</v>
      </c>
      <c r="E5" s="11">
        <v>1</v>
      </c>
      <c r="F5" s="13">
        <f t="shared" ref="F5:F46" si="0">SUM(C5:E5)</f>
        <v>7</v>
      </c>
    </row>
    <row r="6" spans="1:6" ht="16.5">
      <c r="A6" s="61"/>
      <c r="B6" s="14" t="s">
        <v>22</v>
      </c>
      <c r="C6" s="15">
        <v>5</v>
      </c>
      <c r="D6" s="16"/>
      <c r="E6" s="15"/>
      <c r="F6" s="17">
        <f t="shared" si="0"/>
        <v>5</v>
      </c>
    </row>
    <row r="7" spans="1:6" ht="16.5">
      <c r="A7" s="61"/>
      <c r="B7" s="14" t="s">
        <v>23</v>
      </c>
      <c r="C7" s="18">
        <v>5</v>
      </c>
      <c r="D7" s="19"/>
      <c r="E7" s="18"/>
      <c r="F7" s="20">
        <f t="shared" si="0"/>
        <v>5</v>
      </c>
    </row>
    <row r="8" spans="1:6" ht="16.5">
      <c r="A8" s="61"/>
      <c r="B8" s="14" t="s">
        <v>24</v>
      </c>
      <c r="C8" s="15">
        <v>5</v>
      </c>
      <c r="D8" s="16">
        <v>2</v>
      </c>
      <c r="E8" s="15">
        <v>1</v>
      </c>
      <c r="F8" s="17">
        <f t="shared" si="0"/>
        <v>8</v>
      </c>
    </row>
    <row r="9" spans="1:6" ht="16.5">
      <c r="A9" s="67"/>
      <c r="B9" s="21" t="s">
        <v>25</v>
      </c>
      <c r="C9" s="22">
        <v>5</v>
      </c>
      <c r="D9" s="23">
        <v>1</v>
      </c>
      <c r="E9" s="22">
        <v>1</v>
      </c>
      <c r="F9" s="24">
        <f t="shared" si="0"/>
        <v>7</v>
      </c>
    </row>
    <row r="10" spans="1:6" ht="16.5">
      <c r="A10" s="68" t="s">
        <v>26</v>
      </c>
      <c r="B10" s="25" t="s">
        <v>20</v>
      </c>
      <c r="C10" s="26"/>
      <c r="D10" s="27"/>
      <c r="E10" s="26"/>
      <c r="F10" s="28">
        <f t="shared" si="0"/>
        <v>0</v>
      </c>
    </row>
    <row r="11" spans="1:6" ht="16.5">
      <c r="A11" s="69"/>
      <c r="B11" s="29" t="s">
        <v>27</v>
      </c>
      <c r="C11" s="30">
        <v>5</v>
      </c>
      <c r="D11" s="31"/>
      <c r="E11" s="30"/>
      <c r="F11" s="17">
        <f t="shared" si="0"/>
        <v>5</v>
      </c>
    </row>
    <row r="12" spans="1:6" ht="16.5">
      <c r="A12" s="69"/>
      <c r="B12" s="29" t="s">
        <v>28</v>
      </c>
      <c r="C12" s="32">
        <v>5</v>
      </c>
      <c r="D12" s="33">
        <v>1</v>
      </c>
      <c r="E12" s="32">
        <v>3</v>
      </c>
      <c r="F12" s="34">
        <f t="shared" si="0"/>
        <v>9</v>
      </c>
    </row>
    <row r="13" spans="1:6" ht="16.5">
      <c r="A13" s="69"/>
      <c r="B13" s="29" t="s">
        <v>19</v>
      </c>
      <c r="C13" s="30">
        <v>5</v>
      </c>
      <c r="D13" s="31"/>
      <c r="E13" s="30"/>
      <c r="F13" s="17">
        <f t="shared" si="0"/>
        <v>5</v>
      </c>
    </row>
    <row r="14" spans="1:6" ht="16.5">
      <c r="A14" s="69"/>
      <c r="B14" s="29" t="s">
        <v>29</v>
      </c>
      <c r="C14" s="32"/>
      <c r="D14" s="33">
        <v>1</v>
      </c>
      <c r="E14" s="32">
        <v>1</v>
      </c>
      <c r="F14" s="34">
        <f t="shared" si="0"/>
        <v>2</v>
      </c>
    </row>
    <row r="15" spans="1:6" ht="16.5">
      <c r="A15" s="69"/>
      <c r="B15" s="29" t="s">
        <v>30</v>
      </c>
      <c r="C15" s="30">
        <v>5</v>
      </c>
      <c r="D15" s="31"/>
      <c r="E15" s="30">
        <v>1</v>
      </c>
      <c r="F15" s="17">
        <f t="shared" si="0"/>
        <v>6</v>
      </c>
    </row>
    <row r="16" spans="1:6" ht="16.5">
      <c r="A16" s="69"/>
      <c r="B16" s="29" t="s">
        <v>31</v>
      </c>
      <c r="C16" s="32"/>
      <c r="D16" s="33"/>
      <c r="E16" s="32"/>
      <c r="F16" s="34">
        <f t="shared" si="0"/>
        <v>0</v>
      </c>
    </row>
    <row r="17" spans="1:6" ht="16.5">
      <c r="A17" s="69"/>
      <c r="B17" s="29" t="s">
        <v>32</v>
      </c>
      <c r="C17" s="30"/>
      <c r="D17" s="31"/>
      <c r="E17" s="30"/>
      <c r="F17" s="17">
        <f t="shared" si="0"/>
        <v>0</v>
      </c>
    </row>
    <row r="18" spans="1:6" ht="16.5">
      <c r="A18" s="69"/>
      <c r="B18" s="29" t="s">
        <v>33</v>
      </c>
      <c r="C18" s="32"/>
      <c r="D18" s="35"/>
      <c r="E18" s="32">
        <v>1</v>
      </c>
      <c r="F18" s="34">
        <f t="shared" si="0"/>
        <v>1</v>
      </c>
    </row>
    <row r="19" spans="1:6" ht="16.5">
      <c r="A19" s="69"/>
      <c r="B19" s="29" t="s">
        <v>34</v>
      </c>
      <c r="C19" s="30">
        <v>5</v>
      </c>
      <c r="D19" s="31"/>
      <c r="E19" s="30"/>
      <c r="F19" s="17">
        <f t="shared" si="0"/>
        <v>5</v>
      </c>
    </row>
    <row r="20" spans="1:6" ht="16.5">
      <c r="A20" s="69"/>
      <c r="B20" s="29" t="s">
        <v>35</v>
      </c>
      <c r="C20" s="32"/>
      <c r="D20" s="33"/>
      <c r="E20" s="32"/>
      <c r="F20" s="34">
        <f t="shared" si="0"/>
        <v>0</v>
      </c>
    </row>
    <row r="21" spans="1:6" ht="15.75" customHeight="1">
      <c r="A21" s="69"/>
      <c r="B21" s="29" t="s">
        <v>36</v>
      </c>
      <c r="C21" s="30"/>
      <c r="D21" s="31"/>
      <c r="E21" s="30"/>
      <c r="F21" s="17">
        <f t="shared" si="0"/>
        <v>0</v>
      </c>
    </row>
    <row r="22" spans="1:6" ht="15.75" customHeight="1">
      <c r="A22" s="69"/>
      <c r="B22" s="29" t="s">
        <v>37</v>
      </c>
      <c r="C22" s="32">
        <v>5</v>
      </c>
      <c r="D22" s="33"/>
      <c r="E22" s="32"/>
      <c r="F22" s="34">
        <f t="shared" si="0"/>
        <v>5</v>
      </c>
    </row>
    <row r="23" spans="1:6" ht="15.75" customHeight="1">
      <c r="A23" s="69"/>
      <c r="B23" s="29" t="s">
        <v>38</v>
      </c>
      <c r="C23" s="36">
        <v>1</v>
      </c>
      <c r="D23" s="37"/>
      <c r="E23" s="36">
        <v>3</v>
      </c>
      <c r="F23" s="17">
        <f t="shared" si="0"/>
        <v>4</v>
      </c>
    </row>
    <row r="24" spans="1:6" ht="15.75" customHeight="1">
      <c r="A24" s="69"/>
      <c r="B24" s="29" t="s">
        <v>39</v>
      </c>
      <c r="C24" s="32">
        <v>5</v>
      </c>
      <c r="D24" s="33"/>
      <c r="E24" s="32"/>
      <c r="F24" s="34">
        <f t="shared" si="0"/>
        <v>5</v>
      </c>
    </row>
    <row r="25" spans="1:6" ht="15.75" customHeight="1">
      <c r="A25" s="69"/>
      <c r="B25" s="29" t="s">
        <v>40</v>
      </c>
      <c r="C25" s="36">
        <v>1</v>
      </c>
      <c r="D25" s="37"/>
      <c r="E25" s="36"/>
      <c r="F25" s="38">
        <f t="shared" si="0"/>
        <v>1</v>
      </c>
    </row>
    <row r="26" spans="1:6" ht="15.75" customHeight="1">
      <c r="A26" s="69"/>
      <c r="B26" s="39" t="s">
        <v>41</v>
      </c>
      <c r="C26" s="40">
        <v>5</v>
      </c>
      <c r="D26" s="41">
        <v>1</v>
      </c>
      <c r="E26" s="40"/>
      <c r="F26" s="42">
        <f t="shared" si="0"/>
        <v>6</v>
      </c>
    </row>
    <row r="27" spans="1:6" ht="15.75" customHeight="1">
      <c r="A27" s="69"/>
      <c r="B27" s="43" t="s">
        <v>42</v>
      </c>
      <c r="C27" s="44">
        <v>5</v>
      </c>
      <c r="D27" s="45"/>
      <c r="E27" s="44"/>
      <c r="F27" s="17">
        <f t="shared" si="0"/>
        <v>5</v>
      </c>
    </row>
    <row r="28" spans="1:6" ht="15.75" customHeight="1">
      <c r="A28" s="69"/>
      <c r="B28" s="43" t="s">
        <v>43</v>
      </c>
      <c r="C28" s="46">
        <v>5</v>
      </c>
      <c r="D28" s="47"/>
      <c r="E28" s="46"/>
      <c r="F28" s="48">
        <f t="shared" si="0"/>
        <v>5</v>
      </c>
    </row>
    <row r="29" spans="1:6" ht="15.75" customHeight="1">
      <c r="A29" s="69"/>
      <c r="B29" s="43" t="s">
        <v>44</v>
      </c>
      <c r="C29" s="44"/>
      <c r="D29" s="45"/>
      <c r="E29" s="44"/>
      <c r="F29" s="17">
        <f t="shared" si="0"/>
        <v>0</v>
      </c>
    </row>
    <row r="30" spans="1:6" ht="15.75" customHeight="1">
      <c r="A30" s="69"/>
      <c r="B30" s="43" t="s">
        <v>45</v>
      </c>
      <c r="C30" s="46"/>
      <c r="D30" s="47"/>
      <c r="E30" s="46"/>
      <c r="F30" s="48">
        <f t="shared" si="0"/>
        <v>0</v>
      </c>
    </row>
    <row r="31" spans="1:6" ht="15.75" customHeight="1">
      <c r="A31" s="69"/>
      <c r="B31" s="43" t="s">
        <v>46</v>
      </c>
      <c r="C31" s="44">
        <v>5</v>
      </c>
      <c r="D31" s="45"/>
      <c r="E31" s="44"/>
      <c r="F31" s="17">
        <f t="shared" si="0"/>
        <v>5</v>
      </c>
    </row>
    <row r="32" spans="1:6" ht="15.75" customHeight="1">
      <c r="A32" s="69"/>
      <c r="B32" s="43" t="s">
        <v>47</v>
      </c>
      <c r="C32" s="46">
        <v>5</v>
      </c>
      <c r="D32" s="47"/>
      <c r="E32" s="46">
        <v>3</v>
      </c>
      <c r="F32" s="48">
        <f t="shared" si="0"/>
        <v>8</v>
      </c>
    </row>
    <row r="33" spans="1:6" ht="15.75" customHeight="1">
      <c r="A33" s="69"/>
      <c r="B33" s="43" t="s">
        <v>48</v>
      </c>
      <c r="C33" s="44">
        <v>1</v>
      </c>
      <c r="D33" s="45"/>
      <c r="E33" s="44"/>
      <c r="F33" s="17">
        <f t="shared" si="0"/>
        <v>1</v>
      </c>
    </row>
    <row r="34" spans="1:6" ht="15.75" customHeight="1">
      <c r="A34" s="69"/>
      <c r="B34" s="43" t="s">
        <v>49</v>
      </c>
      <c r="C34" s="46">
        <v>5</v>
      </c>
      <c r="D34" s="47"/>
      <c r="E34" s="46"/>
      <c r="F34" s="48">
        <f t="shared" si="0"/>
        <v>5</v>
      </c>
    </row>
    <row r="35" spans="1:6" ht="15.75" customHeight="1">
      <c r="A35" s="69"/>
      <c r="B35" s="43" t="s">
        <v>50</v>
      </c>
      <c r="C35" s="44">
        <v>5</v>
      </c>
      <c r="D35" s="45"/>
      <c r="E35" s="44"/>
      <c r="F35" s="17">
        <f t="shared" si="0"/>
        <v>5</v>
      </c>
    </row>
    <row r="36" spans="1:6" ht="15.75" customHeight="1">
      <c r="A36" s="69"/>
      <c r="B36" s="43" t="s">
        <v>51</v>
      </c>
      <c r="C36" s="46"/>
      <c r="D36" s="47"/>
      <c r="E36" s="46"/>
      <c r="F36" s="48">
        <f t="shared" si="0"/>
        <v>0</v>
      </c>
    </row>
    <row r="37" spans="1:6" ht="15.75" customHeight="1">
      <c r="A37" s="69"/>
      <c r="B37" s="43" t="s">
        <v>52</v>
      </c>
      <c r="C37" s="44">
        <v>5</v>
      </c>
      <c r="D37" s="45"/>
      <c r="E37" s="44">
        <v>3</v>
      </c>
      <c r="F37" s="17">
        <f t="shared" si="0"/>
        <v>8</v>
      </c>
    </row>
    <row r="38" spans="1:6" ht="15.75" customHeight="1">
      <c r="A38" s="69"/>
      <c r="B38" s="43" t="s">
        <v>53</v>
      </c>
      <c r="C38" s="49"/>
      <c r="D38" s="50"/>
      <c r="E38" s="49"/>
      <c r="F38" s="48">
        <f t="shared" si="0"/>
        <v>0</v>
      </c>
    </row>
    <row r="39" spans="1:6" ht="15.75" customHeight="1">
      <c r="A39" s="69"/>
      <c r="B39" s="51" t="s">
        <v>54</v>
      </c>
      <c r="C39" s="44">
        <v>5</v>
      </c>
      <c r="D39" s="45"/>
      <c r="E39" s="44"/>
      <c r="F39" s="17">
        <f t="shared" si="0"/>
        <v>5</v>
      </c>
    </row>
    <row r="40" spans="1:6" ht="15.75" customHeight="1">
      <c r="A40" s="69"/>
      <c r="B40" s="43" t="s">
        <v>55</v>
      </c>
      <c r="C40" s="46"/>
      <c r="D40" s="47"/>
      <c r="E40" s="46"/>
      <c r="F40" s="48">
        <f t="shared" si="0"/>
        <v>0</v>
      </c>
    </row>
    <row r="41" spans="1:6" ht="15.75" customHeight="1">
      <c r="A41" s="69"/>
      <c r="B41" s="43" t="s">
        <v>56</v>
      </c>
      <c r="C41" s="44">
        <v>5</v>
      </c>
      <c r="D41" s="45">
        <v>1</v>
      </c>
      <c r="E41" s="44">
        <v>1</v>
      </c>
      <c r="F41" s="17">
        <f t="shared" si="0"/>
        <v>7</v>
      </c>
    </row>
    <row r="42" spans="1:6" ht="15.75" customHeight="1">
      <c r="A42" s="69"/>
      <c r="B42" s="43" t="s">
        <v>57</v>
      </c>
      <c r="C42" s="49">
        <v>5</v>
      </c>
      <c r="D42" s="50"/>
      <c r="E42" s="49">
        <v>1</v>
      </c>
      <c r="F42" s="48">
        <f t="shared" si="0"/>
        <v>6</v>
      </c>
    </row>
    <row r="43" spans="1:6" ht="15.75" customHeight="1">
      <c r="A43" s="69"/>
      <c r="B43" s="51" t="s">
        <v>58</v>
      </c>
      <c r="C43" s="44">
        <v>5</v>
      </c>
      <c r="D43" s="45"/>
      <c r="E43" s="44"/>
      <c r="F43" s="17">
        <f t="shared" si="0"/>
        <v>5</v>
      </c>
    </row>
    <row r="44" spans="1:6" ht="15.75" customHeight="1">
      <c r="A44" s="69"/>
      <c r="B44" s="43" t="s">
        <v>59</v>
      </c>
      <c r="C44" s="46">
        <v>5</v>
      </c>
      <c r="D44" s="47">
        <v>1</v>
      </c>
      <c r="E44" s="46"/>
      <c r="F44" s="48">
        <f t="shared" si="0"/>
        <v>6</v>
      </c>
    </row>
    <row r="45" spans="1:6" ht="15.75" customHeight="1">
      <c r="A45" s="69"/>
      <c r="B45" s="43" t="s">
        <v>60</v>
      </c>
      <c r="C45" s="52">
        <v>5</v>
      </c>
      <c r="D45" s="53"/>
      <c r="E45" s="52"/>
      <c r="F45" s="17">
        <f t="shared" si="0"/>
        <v>5</v>
      </c>
    </row>
    <row r="46" spans="1:6" ht="15.75" customHeight="1">
      <c r="A46" s="70"/>
      <c r="B46" s="43" t="s">
        <v>61</v>
      </c>
      <c r="C46" s="54">
        <v>5</v>
      </c>
      <c r="D46" s="55"/>
      <c r="E46" s="54">
        <v>3</v>
      </c>
      <c r="F46" s="59">
        <f t="shared" si="0"/>
        <v>8</v>
      </c>
    </row>
    <row r="47" spans="1:6" ht="15.75" customHeight="1">
      <c r="A47" s="71" t="s">
        <v>62</v>
      </c>
      <c r="B47" s="72"/>
      <c r="C47" s="56">
        <f t="shared" ref="C47:E47" si="1">COUNT(C2:C46)</f>
        <v>30</v>
      </c>
      <c r="D47" s="56">
        <f t="shared" si="1"/>
        <v>8</v>
      </c>
      <c r="E47" s="56">
        <f t="shared" si="1"/>
        <v>13</v>
      </c>
      <c r="F47" s="57"/>
    </row>
    <row r="48" spans="1:6" ht="15.75" customHeight="1">
      <c r="F48" s="58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4"/>
    <mergeCell ref="F1:F4"/>
    <mergeCell ref="A5:A9"/>
    <mergeCell ref="A10:A46"/>
    <mergeCell ref="A47:B47"/>
  </mergeCells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5월</vt:lpstr>
      <vt:lpstr>4월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이진진</dc:creator>
  <cp:lastModifiedBy>ACL2022_13</cp:lastModifiedBy>
  <dcterms:created xsi:type="dcterms:W3CDTF">2022-12-30T09:25:14Z</dcterms:created>
  <dcterms:modified xsi:type="dcterms:W3CDTF">2023-05-31T07:21:58Z</dcterms:modified>
</cp:coreProperties>
</file>