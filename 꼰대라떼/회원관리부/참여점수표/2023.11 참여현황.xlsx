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회원관리부\참여점수표\"/>
    </mc:Choice>
  </mc:AlternateContent>
  <xr:revisionPtr revIDLastSave="0" documentId="13_ncr:1_{06538331-0F15-4393-A0DF-8BFB5C5A2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월" sheetId="1" r:id="rId1"/>
    <sheet name="10월" sheetId="2" r:id="rId2"/>
    <sheet name="9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o6lng0BJgGyFDLG9ABRvF4qjw6RaQ5yEq/N7JOHDb8="/>
    </ext>
  </extLst>
</workbook>
</file>

<file path=xl/calcChain.xml><?xml version="1.0" encoding="utf-8"?>
<calcChain xmlns="http://schemas.openxmlformats.org/spreadsheetml/2006/main">
  <c r="N50" i="1" l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17" i="1"/>
  <c r="N18" i="1"/>
  <c r="N19" i="1"/>
  <c r="N20" i="1"/>
  <c r="N16" i="1"/>
  <c r="N15" i="1"/>
  <c r="N14" i="1"/>
  <c r="N13" i="1"/>
  <c r="N12" i="1"/>
  <c r="N11" i="1"/>
  <c r="L51" i="3"/>
  <c r="K51" i="3"/>
  <c r="J51" i="3"/>
  <c r="I51" i="3"/>
  <c r="H51" i="3"/>
  <c r="G51" i="3"/>
  <c r="F51" i="3"/>
  <c r="E51" i="3"/>
  <c r="D51" i="3"/>
  <c r="C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H51" i="2"/>
  <c r="G51" i="2"/>
  <c r="F51" i="2"/>
  <c r="E51" i="2"/>
  <c r="D51" i="2"/>
  <c r="C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N9" i="1" s="1"/>
  <c r="I8" i="2"/>
  <c r="I7" i="2"/>
  <c r="I6" i="2"/>
  <c r="I5" i="2"/>
  <c r="N5" i="1" s="1"/>
  <c r="M51" i="1"/>
  <c r="L51" i="1"/>
  <c r="K51" i="1"/>
  <c r="J51" i="1"/>
  <c r="I51" i="1"/>
  <c r="H51" i="1"/>
  <c r="G51" i="1"/>
  <c r="F51" i="1"/>
  <c r="E51" i="1"/>
  <c r="D51" i="1"/>
  <c r="C51" i="1"/>
  <c r="N10" i="1"/>
  <c r="N8" i="1"/>
  <c r="N7" i="1"/>
  <c r="N6" i="1"/>
</calcChain>
</file>

<file path=xl/sharedStrings.xml><?xml version="1.0" encoding="utf-8"?>
<sst xmlns="http://schemas.openxmlformats.org/spreadsheetml/2006/main" count="273" uniqueCount="117">
  <si>
    <t>11월</t>
  </si>
  <si>
    <t>날짜</t>
  </si>
  <si>
    <t>11.01</t>
  </si>
  <si>
    <t>11.04</t>
  </si>
  <si>
    <t>11.11</t>
  </si>
  <si>
    <t>11.12</t>
  </si>
  <si>
    <t>11.15</t>
  </si>
  <si>
    <t>11.17</t>
  </si>
  <si>
    <t>11.18</t>
  </si>
  <si>
    <t>11.19</t>
  </si>
  <si>
    <t>11.24</t>
  </si>
  <si>
    <t>11.28</t>
  </si>
  <si>
    <t>11.29</t>
  </si>
  <si>
    <t>누적 점수</t>
  </si>
  <si>
    <t>구분</t>
  </si>
  <si>
    <t>비정기모임</t>
  </si>
  <si>
    <t>8차 정기모임</t>
  </si>
  <si>
    <t>9차 정기모임</t>
  </si>
  <si>
    <t>활동</t>
  </si>
  <si>
    <t>신림 술</t>
  </si>
  <si>
    <t>홍대 술</t>
  </si>
  <si>
    <t>신논현 빼빼로</t>
  </si>
  <si>
    <t>안암 술</t>
  </si>
  <si>
    <t>강남 볼링</t>
  </si>
  <si>
    <t>왕십리 술</t>
  </si>
  <si>
    <t>합정 술</t>
  </si>
  <si>
    <t>서울대입구 술</t>
  </si>
  <si>
    <t>주최자</t>
  </si>
  <si>
    <t>이원준</t>
  </si>
  <si>
    <t>이주연</t>
  </si>
  <si>
    <t>-</t>
  </si>
  <si>
    <t>홍채원</t>
  </si>
  <si>
    <t>윤민식</t>
  </si>
  <si>
    <t>홍석범</t>
  </si>
  <si>
    <t>임정연</t>
  </si>
  <si>
    <t>박한웅</t>
  </si>
  <si>
    <t>이규엽</t>
  </si>
  <si>
    <t>운영진</t>
  </si>
  <si>
    <t>이진진</t>
  </si>
  <si>
    <t>오소현</t>
  </si>
  <si>
    <t>신혜원</t>
  </si>
  <si>
    <t>김세미</t>
  </si>
  <si>
    <t>박소현</t>
  </si>
  <si>
    <t>이예림</t>
  </si>
  <si>
    <t>권희원</t>
  </si>
  <si>
    <t>신희찬</t>
  </si>
  <si>
    <t>활동회원</t>
  </si>
  <si>
    <t>황인우</t>
  </si>
  <si>
    <t>박서현</t>
  </si>
  <si>
    <t>김해찬</t>
  </si>
  <si>
    <t>김민구</t>
  </si>
  <si>
    <t>이광민</t>
  </si>
  <si>
    <t>김주곤</t>
  </si>
  <si>
    <t>김태형</t>
  </si>
  <si>
    <t>이수민</t>
  </si>
  <si>
    <t>류혜원</t>
  </si>
  <si>
    <t>김보라</t>
  </si>
  <si>
    <t>김지우</t>
  </si>
  <si>
    <t>오재민</t>
  </si>
  <si>
    <t>강준</t>
  </si>
  <si>
    <t>김민지</t>
  </si>
  <si>
    <t>김채린</t>
  </si>
  <si>
    <t>양진석</t>
  </si>
  <si>
    <t>조용근</t>
  </si>
  <si>
    <t>권지연</t>
  </si>
  <si>
    <t>김용현</t>
  </si>
  <si>
    <t>문제원</t>
  </si>
  <si>
    <t>민현호</t>
  </si>
  <si>
    <t>배규현</t>
  </si>
  <si>
    <t>배환규</t>
  </si>
  <si>
    <t>백성옥</t>
  </si>
  <si>
    <t>송재민</t>
  </si>
  <si>
    <t>안우석</t>
  </si>
  <si>
    <t>안지윤</t>
  </si>
  <si>
    <t>오승준</t>
  </si>
  <si>
    <t>유지훈</t>
  </si>
  <si>
    <t>최가원</t>
  </si>
  <si>
    <t>참여 인원</t>
  </si>
  <si>
    <t>10월</t>
  </si>
  <si>
    <t>10.01</t>
  </si>
  <si>
    <t>10.07</t>
  </si>
  <si>
    <t>10.20</t>
  </si>
  <si>
    <t>10.25</t>
  </si>
  <si>
    <t>10.28</t>
  </si>
  <si>
    <t>10.29</t>
  </si>
  <si>
    <t>5차 정기모임</t>
  </si>
  <si>
    <t>6차 정기모임</t>
  </si>
  <si>
    <t>7차 정기모임</t>
  </si>
  <si>
    <t>신촌 술</t>
  </si>
  <si>
    <t>노들 불꽃놀이</t>
  </si>
  <si>
    <t>신촌 고기집</t>
  </si>
  <si>
    <t>요리대회</t>
  </si>
  <si>
    <t>이지원</t>
  </si>
  <si>
    <t>9월</t>
  </si>
  <si>
    <t>09.02</t>
  </si>
  <si>
    <t>09.08</t>
  </si>
  <si>
    <t>09.09</t>
  </si>
  <si>
    <t>09.15</t>
  </si>
  <si>
    <t>09.16</t>
  </si>
  <si>
    <t>09.22</t>
  </si>
  <si>
    <t>09.23</t>
  </si>
  <si>
    <t>09.27</t>
  </si>
  <si>
    <t>09.28</t>
  </si>
  <si>
    <t>09.30</t>
  </si>
  <si>
    <t>오리엔테이션</t>
  </si>
  <si>
    <t>1차 정기모임</t>
  </si>
  <si>
    <t>2차 정기모임</t>
  </si>
  <si>
    <t>3차 정기모임</t>
  </si>
  <si>
    <t>4차 정기모임</t>
  </si>
  <si>
    <t>교대 자전거</t>
  </si>
  <si>
    <t>종로 광장시장</t>
  </si>
  <si>
    <t>대학로 연극</t>
  </si>
  <si>
    <t>건대 술</t>
  </si>
  <si>
    <t>여의도 한강</t>
  </si>
  <si>
    <t>캐리비안베이</t>
  </si>
  <si>
    <t>임정연, 박서현</t>
  </si>
  <si>
    <t>왕십리 곱창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</si>
</sst>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Calibri"/>
    </font>
    <font>
      <b/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ECD1FB"/>
        <bgColor rgb="FFFFFFFF"/>
      </patternFill>
    </fill>
    <fill>
      <patternFill patternType="solid">
        <fgColor theme="8" tint="0.59999389629810485"/>
        <bgColor rgb="FFFFFFFF"/>
      </patternFill>
    </fill>
  </fills>
  <borders count="90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5A5A5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  <diagonal/>
    </border>
    <border>
      <left style="thin">
        <color rgb="FF757070"/>
      </left>
      <right/>
      <top style="thin">
        <color rgb="FFAEABAB"/>
      </top>
      <bottom style="thin">
        <color rgb="FFA5A5A5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AEABAB"/>
      </right>
      <top/>
      <bottom style="thin">
        <color rgb="FFAEABAB"/>
      </bottom>
      <diagonal/>
    </border>
    <border>
      <left style="thin">
        <color rgb="FF757070"/>
      </left>
      <right/>
      <top/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A5A5A5"/>
      </bottom>
      <diagonal/>
    </border>
    <border>
      <left style="thin">
        <color rgb="FF757070"/>
      </left>
      <right style="thin">
        <color rgb="FFAEABAB"/>
      </right>
      <top/>
      <bottom style="thin">
        <color rgb="FFA5A5A5"/>
      </bottom>
      <diagonal/>
    </border>
    <border>
      <left style="thin">
        <color rgb="FF757070"/>
      </left>
      <right/>
      <top/>
      <bottom style="thin">
        <color rgb="FFA5A5A5"/>
      </bottom>
      <diagonal/>
    </border>
    <border>
      <left/>
      <right style="thin">
        <color rgb="FF757070"/>
      </right>
      <top/>
      <bottom style="thin">
        <color rgb="FF7F7F7F"/>
      </bottom>
      <diagonal/>
    </border>
    <border>
      <left style="thin">
        <color rgb="FF757070"/>
      </left>
      <right style="thin">
        <color rgb="FF757070"/>
      </right>
      <top style="thin">
        <color rgb="FFA5A5A5"/>
      </top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A5A5A5"/>
      </top>
      <bottom style="thin">
        <color rgb="FF7F7F7F"/>
      </bottom>
      <diagonal/>
    </border>
    <border>
      <left style="thin">
        <color rgb="FF757070"/>
      </left>
      <right/>
      <top style="thin">
        <color rgb="FFA5A5A5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57070"/>
      </right>
      <top/>
      <bottom style="thin">
        <color rgb="FFA5A5A5"/>
      </bottom>
      <diagonal/>
    </border>
    <border>
      <left style="thin">
        <color rgb="FF757070"/>
      </left>
      <right style="thin">
        <color rgb="FF7B7B7B"/>
      </right>
      <top/>
      <bottom style="thin">
        <color rgb="FFAEABAB"/>
      </bottom>
      <diagonal/>
    </border>
    <border>
      <left style="thin">
        <color rgb="FF7B7B7B"/>
      </left>
      <right/>
      <top/>
      <bottom style="thin">
        <color rgb="FFAEABAB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5A5A5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/>
      <right style="thin">
        <color rgb="FF757070"/>
      </right>
      <top style="thin">
        <color rgb="FFAEABAB"/>
      </top>
      <bottom/>
      <diagonal/>
    </border>
    <border>
      <left/>
      <right style="thin">
        <color rgb="FF757070"/>
      </right>
      <top style="thin">
        <color rgb="FFAEABAB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  <diagonal/>
    </border>
    <border>
      <left style="thin">
        <color rgb="FF7F7F7F"/>
      </left>
      <right/>
      <top style="thin">
        <color rgb="FF7F7F7F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57070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7F7F7F"/>
      </bottom>
      <diagonal/>
    </border>
    <border>
      <left style="thin">
        <color rgb="FF7F7F7F"/>
      </left>
      <right/>
      <top style="thin">
        <color rgb="FFAEABAB"/>
      </top>
      <bottom style="thin">
        <color rgb="FF7F7F7F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rgb="FF7B7B7B"/>
      </right>
      <top/>
      <bottom style="thin">
        <color rgb="FF757070"/>
      </bottom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/>
      <diagonal/>
    </border>
    <border>
      <left style="thin">
        <color rgb="FF7F7F7F"/>
      </left>
      <right style="thin">
        <color rgb="FF7F7F7F"/>
      </right>
      <top style="thin">
        <color rgb="FFA5A5A5"/>
      </top>
      <bottom/>
      <diagonal/>
    </border>
    <border>
      <left style="thin">
        <color rgb="FF757070"/>
      </left>
      <right style="thin">
        <color rgb="FF757070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/>
      <bottom style="thin">
        <color rgb="FF7F7F7F"/>
      </bottom>
      <diagonal/>
    </border>
    <border>
      <left style="thin">
        <color rgb="FF757070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  <diagonal/>
    </border>
    <border>
      <left/>
      <right style="thin">
        <color rgb="FF757070"/>
      </right>
      <top style="thin">
        <color rgb="FF7F7F7F"/>
      </top>
      <bottom style="thin">
        <color rgb="FFA5A5A5"/>
      </bottom>
      <diagonal/>
    </border>
    <border>
      <left style="thin">
        <color rgb="FF757070"/>
      </left>
      <right style="thin">
        <color rgb="FF7B7B7B"/>
      </right>
      <top style="thin">
        <color rgb="FF7F7F7F"/>
      </top>
      <bottom style="thin">
        <color rgb="FFAEABAB"/>
      </bottom>
      <diagonal/>
    </border>
    <border>
      <left style="thin">
        <color rgb="FF7B7B7B"/>
      </left>
      <right/>
      <top style="thin">
        <color rgb="FF7F7F7F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7F7F7F"/>
      </bottom>
      <diagonal/>
    </border>
    <border>
      <left style="thin">
        <color rgb="FF7B7B7B"/>
      </left>
      <right/>
      <top style="thin">
        <color rgb="FFAEABAB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B7B7B"/>
      </left>
      <right style="thin">
        <color rgb="FF7F7F7F"/>
      </right>
      <top style="thin">
        <color rgb="FFA5A5A5"/>
      </top>
      <bottom/>
      <diagonal/>
    </border>
    <border>
      <left style="thin">
        <color rgb="FF7B7B7B"/>
      </left>
      <right style="thin">
        <color rgb="FF7F7F7F"/>
      </right>
      <top style="thin">
        <color rgb="FFA5A5A5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757070"/>
      </left>
      <right/>
      <top style="thin">
        <color rgb="FFAEABAB"/>
      </top>
      <bottom/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10" borderId="43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9" borderId="47" xfId="0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1" fillId="12" borderId="50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12" borderId="51" xfId="0" applyFont="1" applyFill="1" applyBorder="1" applyAlignment="1">
      <alignment horizontal="center" vertical="center"/>
    </xf>
    <xf numFmtId="0" fontId="1" fillId="12" borderId="53" xfId="0" applyFont="1" applyFill="1" applyBorder="1" applyAlignment="1">
      <alignment horizontal="center" vertical="center"/>
    </xf>
    <xf numFmtId="0" fontId="1" fillId="12" borderId="54" xfId="0" applyFont="1" applyFill="1" applyBorder="1" applyAlignment="1">
      <alignment horizontal="center" vertical="center"/>
    </xf>
    <xf numFmtId="0" fontId="1" fillId="12" borderId="55" xfId="0" applyFont="1" applyFill="1" applyBorder="1" applyAlignment="1">
      <alignment horizontal="center" vertical="center"/>
    </xf>
    <xf numFmtId="0" fontId="1" fillId="11" borderId="57" xfId="0" applyFont="1" applyFill="1" applyBorder="1" applyAlignment="1">
      <alignment horizontal="center" vertical="center"/>
    </xf>
    <xf numFmtId="0" fontId="1" fillId="12" borderId="58" xfId="0" applyFont="1" applyFill="1" applyBorder="1" applyAlignment="1">
      <alignment horizontal="center" vertical="center"/>
    </xf>
    <xf numFmtId="0" fontId="1" fillId="12" borderId="59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6" borderId="64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9" borderId="69" xfId="0" applyFont="1" applyFill="1" applyBorder="1" applyAlignment="1">
      <alignment horizontal="center" vertical="center"/>
    </xf>
    <xf numFmtId="0" fontId="1" fillId="10" borderId="70" xfId="0" applyFont="1" applyFill="1" applyBorder="1" applyAlignment="1">
      <alignment horizontal="center" vertical="center"/>
    </xf>
    <xf numFmtId="0" fontId="1" fillId="10" borderId="71" xfId="0" applyFont="1" applyFill="1" applyBorder="1" applyAlignment="1">
      <alignment horizontal="center" vertical="center"/>
    </xf>
    <xf numFmtId="0" fontId="1" fillId="9" borderId="72" xfId="0" applyFont="1" applyFill="1" applyBorder="1" applyAlignment="1">
      <alignment horizontal="center" vertical="center"/>
    </xf>
    <xf numFmtId="0" fontId="1" fillId="9" borderId="64" xfId="0" applyFont="1" applyFill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9" borderId="68" xfId="0" applyFont="1" applyFill="1" applyBorder="1" applyAlignment="1">
      <alignment horizontal="center" vertical="center"/>
    </xf>
    <xf numFmtId="0" fontId="1" fillId="11" borderId="72" xfId="0" applyFont="1" applyFill="1" applyBorder="1" applyAlignment="1">
      <alignment horizontal="center" vertical="center"/>
    </xf>
    <xf numFmtId="0" fontId="1" fillId="11" borderId="64" xfId="0" applyFont="1" applyFill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11" borderId="68" xfId="0" applyFont="1" applyFill="1" applyBorder="1" applyAlignment="1">
      <alignment horizontal="center" vertical="center"/>
    </xf>
    <xf numFmtId="0" fontId="1" fillId="6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9" borderId="79" xfId="0" applyFont="1" applyFill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9" borderId="82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11" borderId="84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" fillId="5" borderId="32" xfId="0" applyFont="1" applyFill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1" fillId="4" borderId="60" xfId="0" applyFont="1" applyFill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" fillId="12" borderId="76" xfId="0" applyFont="1" applyFill="1" applyBorder="1" applyAlignment="1">
      <alignment horizontal="center" vertical="center"/>
    </xf>
    <xf numFmtId="0" fontId="3" fillId="8" borderId="86" xfId="0" applyFont="1" applyFill="1" applyBorder="1" applyAlignment="1">
      <alignment horizontal="center" vertical="center"/>
    </xf>
    <xf numFmtId="0" fontId="3" fillId="8" borderId="87" xfId="0" applyFont="1" applyFill="1" applyBorder="1" applyAlignment="1">
      <alignment horizontal="center" vertical="center"/>
    </xf>
    <xf numFmtId="0" fontId="3" fillId="8" borderId="88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3" fillId="13" borderId="85" xfId="0" applyFont="1" applyFill="1" applyBorder="1" applyAlignment="1">
      <alignment horizontal="center" vertical="center"/>
    </xf>
    <xf numFmtId="0" fontId="3" fillId="13" borderId="86" xfId="0" applyFont="1" applyFill="1" applyBorder="1" applyAlignment="1">
      <alignment horizontal="center" vertical="center"/>
    </xf>
    <xf numFmtId="0" fontId="3" fillId="13" borderId="88" xfId="0" applyFont="1" applyFill="1" applyBorder="1" applyAlignment="1">
      <alignment horizontal="center" vertical="center"/>
    </xf>
    <xf numFmtId="0" fontId="3" fillId="14" borderId="85" xfId="0" applyFont="1" applyFill="1" applyBorder="1" applyAlignment="1">
      <alignment horizontal="center" vertical="center"/>
    </xf>
    <xf numFmtId="0" fontId="3" fillId="14" borderId="86" xfId="0" applyFont="1" applyFill="1" applyBorder="1" applyAlignment="1">
      <alignment horizontal="center" vertical="center"/>
    </xf>
    <xf numFmtId="0" fontId="3" fillId="15" borderId="85" xfId="0" applyFont="1" applyFill="1" applyBorder="1" applyAlignment="1">
      <alignment horizontal="center" vertical="center"/>
    </xf>
    <xf numFmtId="0" fontId="3" fillId="15" borderId="86" xfId="0" applyFont="1" applyFill="1" applyBorder="1" applyAlignment="1">
      <alignment horizontal="center" vertical="center"/>
    </xf>
    <xf numFmtId="0" fontId="3" fillId="15" borderId="87" xfId="0" applyFont="1" applyFill="1" applyBorder="1" applyAlignment="1">
      <alignment horizontal="center" vertical="center"/>
    </xf>
    <xf numFmtId="0" fontId="3" fillId="15" borderId="8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selection activeCell="P11" sqref="P11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13" width="18.42578125" customWidth="1"/>
    <col min="14" max="14" width="11.140625" customWidth="1"/>
    <col min="15" max="26" width="8.7109375" customWidth="1"/>
  </cols>
  <sheetData>
    <row r="1" spans="1:15">
      <c r="A1" s="9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95" t="s">
        <v>13</v>
      </c>
    </row>
    <row r="2" spans="1:15">
      <c r="A2" s="106"/>
      <c r="B2" s="3" t="s">
        <v>14</v>
      </c>
      <c r="C2" s="3" t="s">
        <v>15</v>
      </c>
      <c r="D2" s="3" t="s">
        <v>15</v>
      </c>
      <c r="E2" s="4" t="s">
        <v>16</v>
      </c>
      <c r="F2" s="3" t="s">
        <v>15</v>
      </c>
      <c r="G2" s="3" t="s">
        <v>15</v>
      </c>
      <c r="H2" s="4" t="s">
        <v>17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107"/>
    </row>
    <row r="3" spans="1:15">
      <c r="A3" s="106"/>
      <c r="B3" s="5" t="s">
        <v>18</v>
      </c>
      <c r="C3" s="5" t="s">
        <v>19</v>
      </c>
      <c r="D3" s="5" t="s">
        <v>20</v>
      </c>
      <c r="E3" s="6" t="s">
        <v>21</v>
      </c>
      <c r="F3" s="5" t="s">
        <v>22</v>
      </c>
      <c r="G3" s="5" t="s">
        <v>20</v>
      </c>
      <c r="H3" s="6" t="s">
        <v>23</v>
      </c>
      <c r="I3" s="5" t="s">
        <v>20</v>
      </c>
      <c r="J3" s="5" t="s">
        <v>116</v>
      </c>
      <c r="K3" s="5" t="s">
        <v>24</v>
      </c>
      <c r="L3" s="5" t="s">
        <v>25</v>
      </c>
      <c r="M3" s="5" t="s">
        <v>26</v>
      </c>
      <c r="N3" s="107"/>
    </row>
    <row r="4" spans="1:15">
      <c r="A4" s="108"/>
      <c r="B4" s="7" t="s">
        <v>27</v>
      </c>
      <c r="C4" s="7" t="s">
        <v>28</v>
      </c>
      <c r="D4" s="7" t="s">
        <v>29</v>
      </c>
      <c r="E4" s="8" t="s">
        <v>30</v>
      </c>
      <c r="F4" s="7" t="s">
        <v>31</v>
      </c>
      <c r="G4" s="7" t="s">
        <v>32</v>
      </c>
      <c r="H4" s="8" t="s">
        <v>30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28</v>
      </c>
      <c r="N4" s="107"/>
    </row>
    <row r="5" spans="1:15">
      <c r="A5" s="98" t="s">
        <v>37</v>
      </c>
      <c r="B5" s="9" t="s">
        <v>38</v>
      </c>
      <c r="C5" s="10">
        <v>1</v>
      </c>
      <c r="D5" s="11">
        <v>1</v>
      </c>
      <c r="E5" s="10"/>
      <c r="F5" s="10">
        <v>1</v>
      </c>
      <c r="G5" s="10">
        <v>1</v>
      </c>
      <c r="H5" s="10">
        <v>3</v>
      </c>
      <c r="I5" s="11">
        <v>1</v>
      </c>
      <c r="J5" s="10"/>
      <c r="K5" s="10">
        <v>1</v>
      </c>
      <c r="L5" s="10"/>
      <c r="M5" s="11">
        <v>1</v>
      </c>
      <c r="N5" s="124">
        <f>SUM(C5:M5)+'10월'!I5</f>
        <v>44</v>
      </c>
    </row>
    <row r="6" spans="1:15">
      <c r="A6" s="109"/>
      <c r="B6" s="12" t="s">
        <v>36</v>
      </c>
      <c r="C6" s="13"/>
      <c r="D6" s="14">
        <v>1</v>
      </c>
      <c r="E6" s="13"/>
      <c r="F6" s="13"/>
      <c r="G6" s="13">
        <v>1</v>
      </c>
      <c r="H6" s="13"/>
      <c r="I6" s="14"/>
      <c r="J6" s="13"/>
      <c r="K6" s="13"/>
      <c r="L6" s="13">
        <v>2</v>
      </c>
      <c r="M6" s="121"/>
      <c r="N6" s="117">
        <f>SUM(C6:M6)+'10월'!I6</f>
        <v>25</v>
      </c>
    </row>
    <row r="7" spans="1:15">
      <c r="A7" s="109"/>
      <c r="B7" s="15" t="s">
        <v>39</v>
      </c>
      <c r="C7" s="16"/>
      <c r="D7" s="17"/>
      <c r="E7" s="16"/>
      <c r="F7" s="16"/>
      <c r="G7" s="16"/>
      <c r="H7" s="16"/>
      <c r="I7" s="17"/>
      <c r="J7" s="16"/>
      <c r="K7" s="16"/>
      <c r="L7" s="16"/>
      <c r="M7" s="17"/>
      <c r="N7" s="125">
        <f>SUM(C7:M7)+'10월'!I7</f>
        <v>8</v>
      </c>
    </row>
    <row r="8" spans="1:15">
      <c r="A8" s="109"/>
      <c r="B8" s="18" t="s">
        <v>32</v>
      </c>
      <c r="C8" s="13">
        <v>1</v>
      </c>
      <c r="D8" s="14"/>
      <c r="E8" s="13"/>
      <c r="F8" s="13"/>
      <c r="G8" s="13">
        <v>2</v>
      </c>
      <c r="H8" s="13"/>
      <c r="I8" s="14"/>
      <c r="J8" s="13"/>
      <c r="K8" s="13"/>
      <c r="L8" s="13"/>
      <c r="M8" s="121"/>
      <c r="N8" s="117">
        <f>SUM(C8:M8)+'10월'!I8</f>
        <v>23</v>
      </c>
    </row>
    <row r="9" spans="1:15">
      <c r="A9" s="109"/>
      <c r="B9" s="15" t="s">
        <v>40</v>
      </c>
      <c r="C9" s="19">
        <v>1</v>
      </c>
      <c r="D9" s="20"/>
      <c r="E9" s="19"/>
      <c r="F9" s="19"/>
      <c r="G9" s="19"/>
      <c r="H9" s="19"/>
      <c r="I9" s="20"/>
      <c r="J9" s="19"/>
      <c r="K9" s="19"/>
      <c r="L9" s="19"/>
      <c r="M9" s="20"/>
      <c r="N9" s="125">
        <f>SUM(C9:M9)+'10월'!I9</f>
        <v>7</v>
      </c>
    </row>
    <row r="10" spans="1:15">
      <c r="A10" s="109"/>
      <c r="B10" s="21" t="s">
        <v>41</v>
      </c>
      <c r="C10" s="22"/>
      <c r="D10" s="23">
        <v>1</v>
      </c>
      <c r="E10" s="22"/>
      <c r="F10" s="22"/>
      <c r="G10" s="22"/>
      <c r="H10" s="22"/>
      <c r="I10" s="23"/>
      <c r="J10" s="22"/>
      <c r="K10" s="22"/>
      <c r="L10" s="22"/>
      <c r="M10" s="23"/>
      <c r="N10" s="117">
        <f>SUM(C10:M10)+'10월'!I10</f>
        <v>14</v>
      </c>
    </row>
    <row r="11" spans="1:15">
      <c r="A11" s="109"/>
      <c r="B11" s="15" t="s">
        <v>28</v>
      </c>
      <c r="C11" s="16">
        <v>2</v>
      </c>
      <c r="D11" s="17"/>
      <c r="E11" s="16">
        <v>5</v>
      </c>
      <c r="F11" s="16"/>
      <c r="G11" s="16">
        <v>1</v>
      </c>
      <c r="H11" s="16"/>
      <c r="I11" s="17"/>
      <c r="J11" s="16"/>
      <c r="K11" s="16"/>
      <c r="L11" s="16"/>
      <c r="M11" s="17">
        <v>2</v>
      </c>
      <c r="N11" s="125">
        <f>SUM(C11:M11)+'10월'!I16</f>
        <v>23</v>
      </c>
      <c r="O11" s="114"/>
    </row>
    <row r="12" spans="1:15">
      <c r="A12" s="109"/>
      <c r="B12" s="18" t="s">
        <v>42</v>
      </c>
      <c r="C12" s="13"/>
      <c r="D12" s="14"/>
      <c r="E12" s="13"/>
      <c r="F12" s="13"/>
      <c r="G12" s="13"/>
      <c r="H12" s="13"/>
      <c r="I12" s="14"/>
      <c r="J12" s="13"/>
      <c r="K12" s="13"/>
      <c r="L12" s="13"/>
      <c r="M12" s="121"/>
      <c r="N12" s="117">
        <f>SUM(C12:M12)+'10월'!I29</f>
        <v>20</v>
      </c>
    </row>
    <row r="13" spans="1:15">
      <c r="A13" s="109"/>
      <c r="B13" s="15" t="s">
        <v>43</v>
      </c>
      <c r="C13" s="19">
        <v>1</v>
      </c>
      <c r="D13" s="20"/>
      <c r="E13" s="19">
        <v>5</v>
      </c>
      <c r="F13" s="19"/>
      <c r="G13" s="19"/>
      <c r="H13" s="19"/>
      <c r="I13" s="20"/>
      <c r="J13" s="19"/>
      <c r="K13" s="19">
        <v>1</v>
      </c>
      <c r="L13" s="19"/>
      <c r="M13" s="20"/>
      <c r="N13" s="125">
        <f>SUM(C13:M13)+'10월'!I31</f>
        <v>15</v>
      </c>
    </row>
    <row r="14" spans="1:15">
      <c r="A14" s="109"/>
      <c r="B14" s="24" t="s">
        <v>44</v>
      </c>
      <c r="C14" s="25"/>
      <c r="D14" s="26"/>
      <c r="E14" s="25"/>
      <c r="F14" s="25"/>
      <c r="G14" s="25"/>
      <c r="H14" s="25"/>
      <c r="I14" s="26"/>
      <c r="J14" s="25"/>
      <c r="K14" s="25"/>
      <c r="L14" s="25"/>
      <c r="M14" s="26"/>
      <c r="N14" s="117">
        <f>SUM(C14:M14)+'10월'!I35</f>
        <v>13</v>
      </c>
    </row>
    <row r="15" spans="1:15">
      <c r="A15" s="110"/>
      <c r="B15" s="27" t="s">
        <v>45</v>
      </c>
      <c r="C15" s="28">
        <v>1</v>
      </c>
      <c r="D15" s="29">
        <v>1</v>
      </c>
      <c r="E15" s="28"/>
      <c r="F15" s="28"/>
      <c r="G15" s="28">
        <v>1</v>
      </c>
      <c r="H15" s="28">
        <v>3</v>
      </c>
      <c r="I15" s="29"/>
      <c r="J15" s="28"/>
      <c r="K15" s="28"/>
      <c r="L15" s="28"/>
      <c r="M15" s="29"/>
      <c r="N15" s="126">
        <f>SUM(C15:M15)+'10월'!I44</f>
        <v>38</v>
      </c>
    </row>
    <row r="16" spans="1:15">
      <c r="A16" s="101" t="s">
        <v>46</v>
      </c>
      <c r="B16" s="30" t="s">
        <v>34</v>
      </c>
      <c r="C16" s="31"/>
      <c r="D16" s="32"/>
      <c r="E16" s="31"/>
      <c r="F16" s="31"/>
      <c r="G16" s="31"/>
      <c r="H16" s="31">
        <v>1</v>
      </c>
      <c r="I16" s="32"/>
      <c r="J16" s="31">
        <v>2</v>
      </c>
      <c r="K16" s="31"/>
      <c r="L16" s="31">
        <v>1</v>
      </c>
      <c r="M16" s="120"/>
      <c r="N16" s="127">
        <f>SUM(C16:M16)+'10월'!I11</f>
        <v>7</v>
      </c>
    </row>
    <row r="17" spans="1:14">
      <c r="A17" s="111"/>
      <c r="B17" s="33" t="s">
        <v>33</v>
      </c>
      <c r="C17" s="34"/>
      <c r="D17" s="35"/>
      <c r="E17" s="34">
        <v>5</v>
      </c>
      <c r="F17" s="34"/>
      <c r="G17" s="34"/>
      <c r="H17" s="34"/>
      <c r="I17" s="35">
        <v>2</v>
      </c>
      <c r="J17" s="34"/>
      <c r="K17" s="34"/>
      <c r="L17" s="34"/>
      <c r="M17" s="121"/>
      <c r="N17" s="117">
        <f>SUM(C17:M17)+'10월'!I12</f>
        <v>15</v>
      </c>
    </row>
    <row r="18" spans="1:14">
      <c r="A18" s="111"/>
      <c r="B18" s="36" t="s">
        <v>47</v>
      </c>
      <c r="C18" s="37"/>
      <c r="D18" s="38"/>
      <c r="E18" s="37"/>
      <c r="F18" s="37"/>
      <c r="G18" s="37"/>
      <c r="H18" s="37">
        <v>1</v>
      </c>
      <c r="I18" s="38"/>
      <c r="J18" s="37"/>
      <c r="K18" s="37">
        <v>1</v>
      </c>
      <c r="L18" s="37"/>
      <c r="M18" s="122"/>
      <c r="N18" s="128">
        <f>SUM(C18:M18)+'10월'!I13</f>
        <v>3</v>
      </c>
    </row>
    <row r="19" spans="1:14">
      <c r="A19" s="111"/>
      <c r="B19" s="36" t="s">
        <v>48</v>
      </c>
      <c r="C19" s="34"/>
      <c r="D19" s="35"/>
      <c r="E19" s="34"/>
      <c r="F19" s="34"/>
      <c r="G19" s="34"/>
      <c r="H19" s="34">
        <v>1</v>
      </c>
      <c r="I19" s="35"/>
      <c r="J19" s="34"/>
      <c r="K19" s="34"/>
      <c r="L19" s="34">
        <v>1</v>
      </c>
      <c r="M19" s="121"/>
      <c r="N19" s="117">
        <f>SUM(C19:M19)+'10월'!I14</f>
        <v>6</v>
      </c>
    </row>
    <row r="20" spans="1:14">
      <c r="A20" s="111"/>
      <c r="B20" s="36" t="s">
        <v>49</v>
      </c>
      <c r="C20" s="37"/>
      <c r="D20" s="38"/>
      <c r="E20" s="37"/>
      <c r="F20" s="37"/>
      <c r="G20" s="37"/>
      <c r="H20" s="37"/>
      <c r="I20" s="38"/>
      <c r="J20" s="37"/>
      <c r="K20" s="37"/>
      <c r="L20" s="37"/>
      <c r="M20" s="122"/>
      <c r="N20" s="128">
        <f>SUM(C20:M20)+'10월'!I15</f>
        <v>9</v>
      </c>
    </row>
    <row r="21" spans="1:14">
      <c r="A21" s="111"/>
      <c r="B21" s="36" t="s">
        <v>50</v>
      </c>
      <c r="C21" s="34"/>
      <c r="D21" s="35">
        <v>1</v>
      </c>
      <c r="E21" s="34"/>
      <c r="F21" s="34"/>
      <c r="G21" s="34"/>
      <c r="H21" s="34"/>
      <c r="I21" s="35"/>
      <c r="J21" s="34">
        <v>1</v>
      </c>
      <c r="K21" s="34"/>
      <c r="L21" s="34"/>
      <c r="M21" s="121"/>
      <c r="N21" s="117">
        <f>SUM(C21:M21)+'10월'!I17</f>
        <v>8</v>
      </c>
    </row>
    <row r="22" spans="1:14">
      <c r="A22" s="111"/>
      <c r="B22" s="39" t="s">
        <v>51</v>
      </c>
      <c r="C22" s="37">
        <v>1</v>
      </c>
      <c r="D22" s="40"/>
      <c r="E22" s="37"/>
      <c r="F22" s="37"/>
      <c r="G22" s="37"/>
      <c r="H22" s="37"/>
      <c r="I22" s="40"/>
      <c r="J22" s="37">
        <v>1</v>
      </c>
      <c r="K22" s="37"/>
      <c r="L22" s="37"/>
      <c r="M22" s="122"/>
      <c r="N22" s="128">
        <f>SUM(C22:M22)+'10월'!I18</f>
        <v>12</v>
      </c>
    </row>
    <row r="23" spans="1:14">
      <c r="A23" s="111"/>
      <c r="B23" s="39" t="s">
        <v>52</v>
      </c>
      <c r="C23" s="34"/>
      <c r="D23" s="35"/>
      <c r="E23" s="34"/>
      <c r="F23" s="34"/>
      <c r="G23" s="34"/>
      <c r="H23" s="34"/>
      <c r="I23" s="35"/>
      <c r="J23" s="34"/>
      <c r="K23" s="34"/>
      <c r="L23" s="34"/>
      <c r="M23" s="121"/>
      <c r="N23" s="117">
        <f>SUM(C23:M23)+'10월'!I19</f>
        <v>0</v>
      </c>
    </row>
    <row r="24" spans="1:14">
      <c r="A24" s="111"/>
      <c r="B24" s="41" t="s">
        <v>53</v>
      </c>
      <c r="C24" s="37"/>
      <c r="D24" s="38"/>
      <c r="E24" s="37"/>
      <c r="F24" s="37"/>
      <c r="G24" s="37"/>
      <c r="H24" s="37"/>
      <c r="I24" s="38"/>
      <c r="J24" s="37"/>
      <c r="K24" s="37"/>
      <c r="L24" s="37"/>
      <c r="M24" s="122"/>
      <c r="N24" s="128">
        <f>SUM(C24:M24)+'10월'!I20</f>
        <v>0</v>
      </c>
    </row>
    <row r="25" spans="1:14">
      <c r="A25" s="111"/>
      <c r="B25" s="39" t="s">
        <v>54</v>
      </c>
      <c r="C25" s="34"/>
      <c r="D25" s="35"/>
      <c r="E25" s="34"/>
      <c r="F25" s="34"/>
      <c r="G25" s="34"/>
      <c r="H25" s="34"/>
      <c r="I25" s="35"/>
      <c r="J25" s="34"/>
      <c r="K25" s="34"/>
      <c r="L25" s="34"/>
      <c r="M25" s="121">
        <v>1</v>
      </c>
      <c r="N25" s="117">
        <f>SUM(C25:M25)+'10월'!I21</f>
        <v>15</v>
      </c>
    </row>
    <row r="26" spans="1:14">
      <c r="A26" s="111"/>
      <c r="B26" s="30" t="s">
        <v>55</v>
      </c>
      <c r="C26" s="37"/>
      <c r="D26" s="38"/>
      <c r="E26" s="37"/>
      <c r="F26" s="37"/>
      <c r="G26" s="37"/>
      <c r="H26" s="37"/>
      <c r="I26" s="38"/>
      <c r="J26" s="37"/>
      <c r="K26" s="37"/>
      <c r="L26" s="37"/>
      <c r="M26" s="122"/>
      <c r="N26" s="128">
        <f>SUM(C26:M26)+'10월'!I22</f>
        <v>0</v>
      </c>
    </row>
    <row r="27" spans="1:14">
      <c r="A27" s="111"/>
      <c r="B27" s="41" t="s">
        <v>56</v>
      </c>
      <c r="C27" s="42"/>
      <c r="D27" s="43"/>
      <c r="E27" s="42"/>
      <c r="F27" s="42"/>
      <c r="G27" s="42"/>
      <c r="H27" s="42"/>
      <c r="I27" s="43"/>
      <c r="J27" s="42"/>
      <c r="K27" s="42"/>
      <c r="L27" s="42"/>
      <c r="M27" s="123"/>
      <c r="N27" s="117">
        <f>SUM(C27:M27)+'10월'!I23</f>
        <v>8</v>
      </c>
    </row>
    <row r="28" spans="1:14">
      <c r="A28" s="111"/>
      <c r="B28" s="44" t="s">
        <v>57</v>
      </c>
      <c r="C28" s="37"/>
      <c r="D28" s="38"/>
      <c r="E28" s="37"/>
      <c r="F28" s="37"/>
      <c r="G28" s="37"/>
      <c r="H28" s="37"/>
      <c r="I28" s="38"/>
      <c r="J28" s="37"/>
      <c r="K28" s="37"/>
      <c r="L28" s="37"/>
      <c r="M28" s="122"/>
      <c r="N28" s="128">
        <f>SUM(C28:M28)+'10월'!I24</f>
        <v>8</v>
      </c>
    </row>
    <row r="29" spans="1:14">
      <c r="A29" s="111"/>
      <c r="B29" s="44" t="s">
        <v>58</v>
      </c>
      <c r="C29" s="42"/>
      <c r="D29" s="43"/>
      <c r="E29" s="42"/>
      <c r="F29" s="42"/>
      <c r="G29" s="42"/>
      <c r="H29" s="42"/>
      <c r="I29" s="43"/>
      <c r="J29" s="42"/>
      <c r="K29" s="42"/>
      <c r="L29" s="42"/>
      <c r="M29" s="123"/>
      <c r="N29" s="117">
        <f>SUM(C29:M29)+'10월'!I25</f>
        <v>0</v>
      </c>
    </row>
    <row r="30" spans="1:14">
      <c r="A30" s="111"/>
      <c r="B30" s="44" t="s">
        <v>59</v>
      </c>
      <c r="C30" s="37"/>
      <c r="D30" s="38"/>
      <c r="E30" s="37"/>
      <c r="F30" s="37"/>
      <c r="G30" s="37"/>
      <c r="H30" s="37"/>
      <c r="I30" s="38"/>
      <c r="J30" s="37"/>
      <c r="K30" s="37"/>
      <c r="L30" s="37"/>
      <c r="M30" s="122"/>
      <c r="N30" s="128">
        <f>SUM(C30:M30)+'10월'!I26</f>
        <v>4</v>
      </c>
    </row>
    <row r="31" spans="1:14">
      <c r="A31" s="111"/>
      <c r="B31" s="39" t="s">
        <v>60</v>
      </c>
      <c r="C31" s="42"/>
      <c r="D31" s="43"/>
      <c r="E31" s="42"/>
      <c r="F31" s="42"/>
      <c r="G31" s="42"/>
      <c r="H31" s="42"/>
      <c r="I31" s="43"/>
      <c r="J31" s="42"/>
      <c r="K31" s="42"/>
      <c r="L31" s="42"/>
      <c r="M31" s="123"/>
      <c r="N31" s="117">
        <f>SUM(C31:M31)+'10월'!I27</f>
        <v>0</v>
      </c>
    </row>
    <row r="32" spans="1:14">
      <c r="A32" s="111"/>
      <c r="B32" s="41" t="s">
        <v>61</v>
      </c>
      <c r="C32" s="37"/>
      <c r="D32" s="38"/>
      <c r="E32" s="37"/>
      <c r="F32" s="37"/>
      <c r="G32" s="37"/>
      <c r="H32" s="37"/>
      <c r="I32" s="38"/>
      <c r="J32" s="37"/>
      <c r="K32" s="37"/>
      <c r="L32" s="37"/>
      <c r="M32" s="122"/>
      <c r="N32" s="128">
        <f>SUM(C32:M32)+'10월'!I28</f>
        <v>0</v>
      </c>
    </row>
    <row r="33" spans="1:14">
      <c r="A33" s="111"/>
      <c r="B33" s="44" t="s">
        <v>62</v>
      </c>
      <c r="C33" s="42"/>
      <c r="D33" s="43"/>
      <c r="E33" s="42"/>
      <c r="F33" s="42"/>
      <c r="G33" s="42"/>
      <c r="H33" s="42"/>
      <c r="I33" s="43"/>
      <c r="J33" s="42"/>
      <c r="K33" s="42"/>
      <c r="L33" s="42"/>
      <c r="M33" s="123"/>
      <c r="N33" s="117">
        <f>SUM(C33:M33)+'10월'!I30</f>
        <v>0</v>
      </c>
    </row>
    <row r="34" spans="1:14">
      <c r="A34" s="111"/>
      <c r="B34" s="44" t="s">
        <v>63</v>
      </c>
      <c r="C34" s="37"/>
      <c r="D34" s="38"/>
      <c r="E34" s="37"/>
      <c r="F34" s="37"/>
      <c r="G34" s="37"/>
      <c r="H34" s="37"/>
      <c r="I34" s="38"/>
      <c r="J34" s="37">
        <v>1</v>
      </c>
      <c r="K34" s="37"/>
      <c r="L34" s="37"/>
      <c r="M34" s="122"/>
      <c r="N34" s="128">
        <f>SUM(C34:M34)+'10월'!I32</f>
        <v>9</v>
      </c>
    </row>
    <row r="35" spans="1:14">
      <c r="A35" s="111"/>
      <c r="B35" s="45" t="s">
        <v>31</v>
      </c>
      <c r="C35" s="42"/>
      <c r="D35" s="43"/>
      <c r="E35" s="42">
        <v>1</v>
      </c>
      <c r="F35" s="42">
        <v>2</v>
      </c>
      <c r="G35" s="42"/>
      <c r="H35" s="42"/>
      <c r="I35" s="43"/>
      <c r="J35" s="42"/>
      <c r="K35" s="42"/>
      <c r="L35" s="42"/>
      <c r="M35" s="123"/>
      <c r="N35" s="119">
        <f>SUM(C35:M35)+'10월'!I33</f>
        <v>17</v>
      </c>
    </row>
    <row r="36" spans="1:14">
      <c r="A36" s="111"/>
      <c r="B36" s="46" t="s">
        <v>64</v>
      </c>
      <c r="C36" s="47">
        <v>1</v>
      </c>
      <c r="D36" s="48">
        <v>1</v>
      </c>
      <c r="E36" s="47">
        <v>5</v>
      </c>
      <c r="F36" s="47"/>
      <c r="G36" s="47"/>
      <c r="H36" s="47">
        <v>1</v>
      </c>
      <c r="I36" s="48"/>
      <c r="J36" s="47">
        <v>1</v>
      </c>
      <c r="K36" s="47">
        <v>1</v>
      </c>
      <c r="L36" s="47"/>
      <c r="M36" s="48"/>
      <c r="N36" s="129">
        <f>SUM(C36:M36)+'10월'!I34</f>
        <v>23</v>
      </c>
    </row>
    <row r="37" spans="1:14">
      <c r="A37" s="111"/>
      <c r="B37" s="46" t="s">
        <v>65</v>
      </c>
      <c r="C37" s="49"/>
      <c r="D37" s="50"/>
      <c r="E37" s="49"/>
      <c r="F37" s="49"/>
      <c r="G37" s="49"/>
      <c r="H37" s="49"/>
      <c r="I37" s="50"/>
      <c r="J37" s="49"/>
      <c r="K37" s="49"/>
      <c r="L37" s="49"/>
      <c r="M37" s="115"/>
      <c r="N37" s="117">
        <f>SUM(C37:M37)+'10월'!I36</f>
        <v>8</v>
      </c>
    </row>
    <row r="38" spans="1:14">
      <c r="A38" s="111"/>
      <c r="B38" s="46" t="s">
        <v>66</v>
      </c>
      <c r="C38" s="51">
        <v>1</v>
      </c>
      <c r="D38" s="52">
        <v>1</v>
      </c>
      <c r="E38" s="51">
        <v>5</v>
      </c>
      <c r="F38" s="51"/>
      <c r="G38" s="51"/>
      <c r="H38" s="51"/>
      <c r="I38" s="52"/>
      <c r="J38" s="51"/>
      <c r="K38" s="51">
        <v>1</v>
      </c>
      <c r="L38" s="51"/>
      <c r="M38" s="52">
        <v>1</v>
      </c>
      <c r="N38" s="130">
        <f>SUM(C38:M38)+'10월'!I37</f>
        <v>28</v>
      </c>
    </row>
    <row r="39" spans="1:14">
      <c r="A39" s="111"/>
      <c r="B39" s="46" t="s">
        <v>67</v>
      </c>
      <c r="C39" s="49"/>
      <c r="D39" s="50"/>
      <c r="E39" s="49"/>
      <c r="F39" s="49"/>
      <c r="G39" s="49"/>
      <c r="H39" s="49"/>
      <c r="I39" s="50"/>
      <c r="J39" s="49"/>
      <c r="K39" s="49"/>
      <c r="L39" s="49"/>
      <c r="M39" s="115"/>
      <c r="N39" s="117">
        <f>SUM(C39:M39)+'10월'!I38</f>
        <v>6</v>
      </c>
    </row>
    <row r="40" spans="1:14">
      <c r="A40" s="111"/>
      <c r="B40" s="46" t="s">
        <v>35</v>
      </c>
      <c r="C40" s="53"/>
      <c r="D40" s="54"/>
      <c r="E40" s="53"/>
      <c r="F40" s="53">
        <v>1</v>
      </c>
      <c r="G40" s="53"/>
      <c r="H40" s="53">
        <v>3</v>
      </c>
      <c r="I40" s="54"/>
      <c r="J40" s="53"/>
      <c r="K40" s="53">
        <v>2</v>
      </c>
      <c r="L40" s="53"/>
      <c r="M40" s="116"/>
      <c r="N40" s="130">
        <f>SUM(C40:M40)+'10월'!I39</f>
        <v>14</v>
      </c>
    </row>
    <row r="41" spans="1:14">
      <c r="A41" s="111"/>
      <c r="B41" s="46" t="s">
        <v>68</v>
      </c>
      <c r="C41" s="49"/>
      <c r="D41" s="50"/>
      <c r="E41" s="49">
        <v>5</v>
      </c>
      <c r="F41" s="49"/>
      <c r="G41" s="49"/>
      <c r="H41" s="49"/>
      <c r="I41" s="50"/>
      <c r="J41" s="49"/>
      <c r="K41" s="49"/>
      <c r="L41" s="49"/>
      <c r="M41" s="115"/>
      <c r="N41" s="117">
        <f>SUM(C41:M41)+'10월'!I40</f>
        <v>12</v>
      </c>
    </row>
    <row r="42" spans="1:14">
      <c r="A42" s="111"/>
      <c r="B42" s="46" t="s">
        <v>69</v>
      </c>
      <c r="C42" s="51"/>
      <c r="D42" s="52"/>
      <c r="E42" s="51"/>
      <c r="F42" s="51"/>
      <c r="G42" s="51"/>
      <c r="H42" s="51"/>
      <c r="I42" s="52"/>
      <c r="J42" s="51"/>
      <c r="K42" s="51"/>
      <c r="L42" s="51"/>
      <c r="M42" s="52"/>
      <c r="N42" s="130">
        <f>SUM(C42:M42)+'10월'!I41</f>
        <v>16</v>
      </c>
    </row>
    <row r="43" spans="1:14">
      <c r="A43" s="111"/>
      <c r="B43" s="46" t="s">
        <v>70</v>
      </c>
      <c r="C43" s="49"/>
      <c r="D43" s="50"/>
      <c r="E43" s="49"/>
      <c r="F43" s="49"/>
      <c r="G43" s="49"/>
      <c r="H43" s="49"/>
      <c r="I43" s="50"/>
      <c r="J43" s="49"/>
      <c r="K43" s="49"/>
      <c r="L43" s="49"/>
      <c r="M43" s="115"/>
      <c r="N43" s="117">
        <f>SUM(C43:M43)+'10월'!I42</f>
        <v>6</v>
      </c>
    </row>
    <row r="44" spans="1:14">
      <c r="A44" s="111"/>
      <c r="B44" s="46" t="s">
        <v>71</v>
      </c>
      <c r="C44" s="51"/>
      <c r="D44" s="52"/>
      <c r="E44" s="51"/>
      <c r="F44" s="51"/>
      <c r="G44" s="51"/>
      <c r="H44" s="51"/>
      <c r="I44" s="52">
        <v>1</v>
      </c>
      <c r="J44" s="51"/>
      <c r="K44" s="51"/>
      <c r="L44" s="51"/>
      <c r="M44" s="52"/>
      <c r="N44" s="130">
        <f>SUM(C44:M44)+'10월'!I43</f>
        <v>7</v>
      </c>
    </row>
    <row r="45" spans="1:14">
      <c r="A45" s="111"/>
      <c r="B45" s="46" t="s">
        <v>72</v>
      </c>
      <c r="C45" s="49"/>
      <c r="D45" s="50"/>
      <c r="E45" s="49"/>
      <c r="F45" s="49"/>
      <c r="G45" s="49"/>
      <c r="H45" s="49"/>
      <c r="I45" s="50"/>
      <c r="J45" s="49"/>
      <c r="K45" s="49"/>
      <c r="L45" s="49"/>
      <c r="M45" s="115"/>
      <c r="N45" s="117">
        <f>SUM(C45:M45)+'10월'!I45</f>
        <v>6</v>
      </c>
    </row>
    <row r="46" spans="1:14">
      <c r="A46" s="111"/>
      <c r="B46" s="46" t="s">
        <v>73</v>
      </c>
      <c r="C46" s="53"/>
      <c r="D46" s="54"/>
      <c r="E46" s="53"/>
      <c r="F46" s="53"/>
      <c r="G46" s="53"/>
      <c r="H46" s="53"/>
      <c r="I46" s="54"/>
      <c r="J46" s="53"/>
      <c r="K46" s="53"/>
      <c r="L46" s="53"/>
      <c r="M46" s="116"/>
      <c r="N46" s="130">
        <f>SUM(C46:M46)+'10월'!I46</f>
        <v>3</v>
      </c>
    </row>
    <row r="47" spans="1:14">
      <c r="A47" s="111"/>
      <c r="B47" s="46" t="s">
        <v>74</v>
      </c>
      <c r="C47" s="49"/>
      <c r="D47" s="50"/>
      <c r="E47" s="49"/>
      <c r="F47" s="49"/>
      <c r="G47" s="49"/>
      <c r="H47" s="49"/>
      <c r="I47" s="50"/>
      <c r="J47" s="49"/>
      <c r="K47" s="49"/>
      <c r="L47" s="49"/>
      <c r="M47" s="115"/>
      <c r="N47" s="118">
        <f>SUM(C47:M47)+'10월'!I47</f>
        <v>11</v>
      </c>
    </row>
    <row r="48" spans="1:14">
      <c r="A48" s="111"/>
      <c r="B48" s="46" t="s">
        <v>75</v>
      </c>
      <c r="C48" s="51">
        <v>1</v>
      </c>
      <c r="D48" s="52">
        <v>1</v>
      </c>
      <c r="E48" s="51">
        <v>5</v>
      </c>
      <c r="F48" s="51"/>
      <c r="G48" s="51"/>
      <c r="H48" s="51"/>
      <c r="I48" s="52"/>
      <c r="J48" s="51">
        <v>1</v>
      </c>
      <c r="K48" s="51">
        <v>1</v>
      </c>
      <c r="L48" s="51">
        <v>1</v>
      </c>
      <c r="M48" s="52"/>
      <c r="N48" s="131">
        <f>SUM(C48:M48)+'10월'!I48</f>
        <v>33</v>
      </c>
    </row>
    <row r="49" spans="1:14">
      <c r="A49" s="111"/>
      <c r="B49" s="46" t="s">
        <v>29</v>
      </c>
      <c r="C49" s="49"/>
      <c r="D49" s="50">
        <v>2</v>
      </c>
      <c r="E49" s="49">
        <v>5</v>
      </c>
      <c r="F49" s="49"/>
      <c r="G49" s="49"/>
      <c r="H49" s="49">
        <v>1</v>
      </c>
      <c r="I49" s="50"/>
      <c r="J49" s="49"/>
      <c r="K49" s="49"/>
      <c r="L49" s="49"/>
      <c r="M49" s="115"/>
      <c r="N49" s="118">
        <f>SUM(C49:M49)+'10월'!I49</f>
        <v>19</v>
      </c>
    </row>
    <row r="50" spans="1:14">
      <c r="A50" s="112"/>
      <c r="B50" s="55" t="s">
        <v>76</v>
      </c>
      <c r="C50" s="56"/>
      <c r="D50" s="57"/>
      <c r="E50" s="56"/>
      <c r="F50" s="56"/>
      <c r="G50" s="56"/>
      <c r="H50" s="56"/>
      <c r="I50" s="57"/>
      <c r="J50" s="56"/>
      <c r="K50" s="56"/>
      <c r="L50" s="56"/>
      <c r="M50" s="57"/>
      <c r="N50" s="132">
        <f>SUM(C50:M50)+'10월'!I50</f>
        <v>9</v>
      </c>
    </row>
    <row r="51" spans="1:14">
      <c r="A51" s="104" t="s">
        <v>77</v>
      </c>
      <c r="B51" s="113"/>
      <c r="C51" s="58">
        <f t="shared" ref="C51:M51" si="0">COUNT(C5:C50)</f>
        <v>10</v>
      </c>
      <c r="D51" s="58">
        <f t="shared" si="0"/>
        <v>9</v>
      </c>
      <c r="E51" s="58">
        <f t="shared" si="0"/>
        <v>9</v>
      </c>
      <c r="F51" s="58">
        <f t="shared" si="0"/>
        <v>3</v>
      </c>
      <c r="G51" s="58">
        <f t="shared" si="0"/>
        <v>5</v>
      </c>
      <c r="H51" s="58">
        <f t="shared" si="0"/>
        <v>8</v>
      </c>
      <c r="I51" s="58">
        <f t="shared" si="0"/>
        <v>3</v>
      </c>
      <c r="J51" s="58">
        <f t="shared" si="0"/>
        <v>6</v>
      </c>
      <c r="K51" s="58">
        <f t="shared" si="0"/>
        <v>7</v>
      </c>
      <c r="L51" s="58">
        <f t="shared" si="0"/>
        <v>4</v>
      </c>
      <c r="M51" s="58">
        <f t="shared" si="0"/>
        <v>4</v>
      </c>
    </row>
  </sheetData>
  <mergeCells count="5">
    <mergeCell ref="A1:A4"/>
    <mergeCell ref="N1:N4"/>
    <mergeCell ref="A5:A15"/>
    <mergeCell ref="A16:A50"/>
    <mergeCell ref="A51:B51"/>
  </mergeCells>
  <phoneticPr fontId="4" type="noConversion"/>
  <pageMargins left="0.7" right="0.7" top="0.75" bottom="0.75" header="0" footer="0"/>
  <pageSetup paperSize="9" orientation="portrait"/>
  <ignoredErrors>
    <ignoredError sqref="C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opLeftCell="A22" workbookViewId="0">
      <selection activeCell="I29" sqref="I29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8" width="18.42578125" customWidth="1"/>
    <col min="9" max="9" width="11.140625" customWidth="1"/>
    <col min="10" max="26" width="8.7109375" customWidth="1"/>
  </cols>
  <sheetData>
    <row r="1" spans="1:9">
      <c r="A1" s="92" t="s">
        <v>78</v>
      </c>
      <c r="B1" s="1" t="s">
        <v>1</v>
      </c>
      <c r="C1" s="2" t="s">
        <v>79</v>
      </c>
      <c r="D1" s="59" t="s">
        <v>80</v>
      </c>
      <c r="E1" s="59" t="s">
        <v>81</v>
      </c>
      <c r="F1" s="2" t="s">
        <v>82</v>
      </c>
      <c r="G1" s="59" t="s">
        <v>83</v>
      </c>
      <c r="H1" s="2" t="s">
        <v>84</v>
      </c>
      <c r="I1" s="95" t="s">
        <v>13</v>
      </c>
    </row>
    <row r="2" spans="1:9">
      <c r="A2" s="93"/>
      <c r="B2" s="3" t="s">
        <v>14</v>
      </c>
      <c r="C2" s="3" t="s">
        <v>15</v>
      </c>
      <c r="D2" s="4" t="s">
        <v>85</v>
      </c>
      <c r="E2" s="4" t="s">
        <v>86</v>
      </c>
      <c r="F2" s="3" t="s">
        <v>15</v>
      </c>
      <c r="G2" s="4" t="s">
        <v>87</v>
      </c>
      <c r="H2" s="3" t="s">
        <v>15</v>
      </c>
      <c r="I2" s="96"/>
    </row>
    <row r="3" spans="1:9">
      <c r="A3" s="93"/>
      <c r="B3" s="5" t="s">
        <v>18</v>
      </c>
      <c r="C3" s="5" t="s">
        <v>88</v>
      </c>
      <c r="D3" s="6" t="s">
        <v>89</v>
      </c>
      <c r="E3" s="6" t="s">
        <v>90</v>
      </c>
      <c r="F3" s="5" t="s">
        <v>88</v>
      </c>
      <c r="G3" s="6" t="s">
        <v>91</v>
      </c>
      <c r="H3" s="5" t="s">
        <v>88</v>
      </c>
      <c r="I3" s="96"/>
    </row>
    <row r="4" spans="1:9">
      <c r="A4" s="94"/>
      <c r="B4" s="7" t="s">
        <v>27</v>
      </c>
      <c r="C4" s="7" t="s">
        <v>32</v>
      </c>
      <c r="D4" s="8" t="s">
        <v>30</v>
      </c>
      <c r="E4" s="8" t="s">
        <v>30</v>
      </c>
      <c r="F4" s="7" t="s">
        <v>36</v>
      </c>
      <c r="G4" s="8" t="s">
        <v>30</v>
      </c>
      <c r="H4" s="7" t="s">
        <v>92</v>
      </c>
      <c r="I4" s="97"/>
    </row>
    <row r="5" spans="1:9">
      <c r="A5" s="98" t="s">
        <v>37</v>
      </c>
      <c r="B5" s="9" t="s">
        <v>38</v>
      </c>
      <c r="C5" s="10"/>
      <c r="D5" s="11">
        <v>3</v>
      </c>
      <c r="E5" s="10">
        <v>3</v>
      </c>
      <c r="F5" s="10">
        <v>1</v>
      </c>
      <c r="G5" s="10">
        <v>5</v>
      </c>
      <c r="H5" s="10">
        <v>1</v>
      </c>
      <c r="I5" s="60">
        <f>SUM(C5:H5)+'9월'!M5</f>
        <v>34</v>
      </c>
    </row>
    <row r="6" spans="1:9">
      <c r="A6" s="99"/>
      <c r="B6" s="12" t="s">
        <v>36</v>
      </c>
      <c r="C6" s="13">
        <v>1</v>
      </c>
      <c r="D6" s="14"/>
      <c r="E6" s="13"/>
      <c r="F6" s="13">
        <v>2</v>
      </c>
      <c r="G6" s="13">
        <v>5</v>
      </c>
      <c r="H6" s="13"/>
      <c r="I6" s="61">
        <f>SUM(C6:H6)+'9월'!M6</f>
        <v>21</v>
      </c>
    </row>
    <row r="7" spans="1:9">
      <c r="A7" s="99"/>
      <c r="B7" s="15" t="s">
        <v>39</v>
      </c>
      <c r="C7" s="16"/>
      <c r="D7" s="17"/>
      <c r="E7" s="16"/>
      <c r="F7" s="16"/>
      <c r="G7" s="16"/>
      <c r="H7" s="16"/>
      <c r="I7" s="62">
        <f>SUM(C7:H7)+'9월'!M7</f>
        <v>8</v>
      </c>
    </row>
    <row r="8" spans="1:9">
      <c r="A8" s="99"/>
      <c r="B8" s="18" t="s">
        <v>32</v>
      </c>
      <c r="C8" s="13">
        <v>2</v>
      </c>
      <c r="D8" s="14"/>
      <c r="E8" s="13"/>
      <c r="F8" s="13"/>
      <c r="G8" s="13">
        <v>5</v>
      </c>
      <c r="H8" s="13"/>
      <c r="I8" s="61">
        <f>SUM(C8:H8)+'9월'!M8</f>
        <v>20</v>
      </c>
    </row>
    <row r="9" spans="1:9">
      <c r="A9" s="99"/>
      <c r="B9" s="15" t="s">
        <v>40</v>
      </c>
      <c r="C9" s="19">
        <v>1</v>
      </c>
      <c r="D9" s="20"/>
      <c r="E9" s="19"/>
      <c r="F9" s="19"/>
      <c r="G9" s="19"/>
      <c r="H9" s="19"/>
      <c r="I9" s="62">
        <f>SUM(C9:H9)+'9월'!M9</f>
        <v>6</v>
      </c>
    </row>
    <row r="10" spans="1:9">
      <c r="A10" s="100"/>
      <c r="B10" s="63" t="s">
        <v>41</v>
      </c>
      <c r="C10" s="64"/>
      <c r="D10" s="65"/>
      <c r="E10" s="64"/>
      <c r="F10" s="64"/>
      <c r="G10" s="64">
        <v>5</v>
      </c>
      <c r="H10" s="64"/>
      <c r="I10" s="66">
        <f>SUM(C10:H10)+'9월'!M10</f>
        <v>13</v>
      </c>
    </row>
    <row r="11" spans="1:9">
      <c r="A11" s="101" t="s">
        <v>46</v>
      </c>
      <c r="B11" s="67" t="s">
        <v>34</v>
      </c>
      <c r="C11" s="68">
        <v>1</v>
      </c>
      <c r="D11" s="69"/>
      <c r="E11" s="68"/>
      <c r="F11" s="68"/>
      <c r="G11" s="68"/>
      <c r="H11" s="68"/>
      <c r="I11" s="70">
        <f>SUM(C11:H11)+'9월'!M11</f>
        <v>3</v>
      </c>
    </row>
    <row r="12" spans="1:9">
      <c r="A12" s="102"/>
      <c r="B12" s="33" t="s">
        <v>33</v>
      </c>
      <c r="C12" s="34"/>
      <c r="D12" s="35"/>
      <c r="E12" s="34"/>
      <c r="F12" s="34"/>
      <c r="G12" s="34">
        <v>5</v>
      </c>
      <c r="H12" s="34"/>
      <c r="I12" s="61">
        <f>SUM(C12:H12)+'9월'!M12</f>
        <v>8</v>
      </c>
    </row>
    <row r="13" spans="1:9">
      <c r="A13" s="102"/>
      <c r="B13" s="36" t="s">
        <v>47</v>
      </c>
      <c r="C13" s="37"/>
      <c r="D13" s="38">
        <v>1</v>
      </c>
      <c r="E13" s="37"/>
      <c r="F13" s="37"/>
      <c r="G13" s="37"/>
      <c r="H13" s="37"/>
      <c r="I13" s="71">
        <f>SUM(C13:H13)+'9월'!M13</f>
        <v>1</v>
      </c>
    </row>
    <row r="14" spans="1:9">
      <c r="A14" s="102"/>
      <c r="B14" s="36" t="s">
        <v>48</v>
      </c>
      <c r="C14" s="34">
        <v>1</v>
      </c>
      <c r="D14" s="35"/>
      <c r="E14" s="34"/>
      <c r="F14" s="34"/>
      <c r="G14" s="34"/>
      <c r="H14" s="34">
        <v>1</v>
      </c>
      <c r="I14" s="61">
        <f>SUM(C14:H14)+'9월'!M14</f>
        <v>4</v>
      </c>
    </row>
    <row r="15" spans="1:9">
      <c r="A15" s="102"/>
      <c r="B15" s="36" t="s">
        <v>49</v>
      </c>
      <c r="C15" s="37"/>
      <c r="D15" s="38"/>
      <c r="E15" s="37"/>
      <c r="F15" s="37"/>
      <c r="G15" s="37">
        <v>5</v>
      </c>
      <c r="H15" s="37"/>
      <c r="I15" s="71">
        <f>SUM(C15:H15)+'9월'!M15</f>
        <v>9</v>
      </c>
    </row>
    <row r="16" spans="1:9">
      <c r="A16" s="102"/>
      <c r="B16" s="36" t="s">
        <v>28</v>
      </c>
      <c r="C16" s="34"/>
      <c r="D16" s="35">
        <v>1</v>
      </c>
      <c r="E16" s="34"/>
      <c r="F16" s="34"/>
      <c r="G16" s="34"/>
      <c r="H16" s="34">
        <v>1</v>
      </c>
      <c r="I16" s="61">
        <f>SUM(C16:H16)+'9월'!M16</f>
        <v>13</v>
      </c>
    </row>
    <row r="17" spans="1:9">
      <c r="A17" s="102"/>
      <c r="B17" s="36" t="s">
        <v>50</v>
      </c>
      <c r="C17" s="37"/>
      <c r="D17" s="38"/>
      <c r="E17" s="37"/>
      <c r="F17" s="37"/>
      <c r="G17" s="37">
        <v>5</v>
      </c>
      <c r="H17" s="37"/>
      <c r="I17" s="71">
        <f>SUM(C17:H17)+'9월'!M17</f>
        <v>6</v>
      </c>
    </row>
    <row r="18" spans="1:9">
      <c r="A18" s="102"/>
      <c r="B18" s="39" t="s">
        <v>51</v>
      </c>
      <c r="C18" s="34">
        <v>1</v>
      </c>
      <c r="D18" s="35"/>
      <c r="E18" s="34"/>
      <c r="F18" s="34"/>
      <c r="G18" s="34">
        <v>5</v>
      </c>
      <c r="H18" s="34"/>
      <c r="I18" s="61">
        <f>SUM(C18:H18)+'9월'!M18</f>
        <v>10</v>
      </c>
    </row>
    <row r="19" spans="1:9">
      <c r="A19" s="102"/>
      <c r="B19" s="39" t="s">
        <v>52</v>
      </c>
      <c r="C19" s="37"/>
      <c r="D19" s="40"/>
      <c r="E19" s="37"/>
      <c r="F19" s="37"/>
      <c r="G19" s="37"/>
      <c r="H19" s="37"/>
      <c r="I19" s="71">
        <f>SUM(C19:H19)+'9월'!M19</f>
        <v>0</v>
      </c>
    </row>
    <row r="20" spans="1:9">
      <c r="A20" s="102"/>
      <c r="B20" s="41" t="s">
        <v>53</v>
      </c>
      <c r="C20" s="34"/>
      <c r="D20" s="35"/>
      <c r="E20" s="34"/>
      <c r="F20" s="34"/>
      <c r="G20" s="34"/>
      <c r="H20" s="34"/>
      <c r="I20" s="61">
        <f>SUM(C20:H20)+'9월'!M20</f>
        <v>0</v>
      </c>
    </row>
    <row r="21" spans="1:9">
      <c r="A21" s="102"/>
      <c r="B21" s="39" t="s">
        <v>54</v>
      </c>
      <c r="C21" s="37"/>
      <c r="D21" s="38"/>
      <c r="E21" s="37"/>
      <c r="F21" s="37"/>
      <c r="G21" s="37">
        <v>5</v>
      </c>
      <c r="H21" s="37"/>
      <c r="I21" s="71">
        <f>SUM(C21:H21)+'9월'!M21</f>
        <v>14</v>
      </c>
    </row>
    <row r="22" spans="1:9">
      <c r="A22" s="102"/>
      <c r="B22" s="30" t="s">
        <v>55</v>
      </c>
      <c r="C22" s="34"/>
      <c r="D22" s="35"/>
      <c r="E22" s="34"/>
      <c r="F22" s="34"/>
      <c r="G22" s="34"/>
      <c r="H22" s="34"/>
      <c r="I22" s="61">
        <f>SUM(C22:H22)+'9월'!M22</f>
        <v>0</v>
      </c>
    </row>
    <row r="23" spans="1:9">
      <c r="A23" s="102"/>
      <c r="B23" s="41" t="s">
        <v>56</v>
      </c>
      <c r="C23" s="37"/>
      <c r="D23" s="38"/>
      <c r="E23" s="37"/>
      <c r="F23" s="37"/>
      <c r="G23" s="37">
        <v>5</v>
      </c>
      <c r="H23" s="37"/>
      <c r="I23" s="71">
        <f>SUM(C23:H23)+'9월'!M23</f>
        <v>8</v>
      </c>
    </row>
    <row r="24" spans="1:9">
      <c r="A24" s="102"/>
      <c r="B24" s="44" t="s">
        <v>57</v>
      </c>
      <c r="C24" s="42"/>
      <c r="D24" s="43">
        <v>3</v>
      </c>
      <c r="E24" s="42"/>
      <c r="F24" s="42"/>
      <c r="G24" s="42"/>
      <c r="H24" s="42"/>
      <c r="I24" s="61">
        <f>SUM(C24:H24)+'9월'!M24</f>
        <v>8</v>
      </c>
    </row>
    <row r="25" spans="1:9">
      <c r="A25" s="102"/>
      <c r="B25" s="44" t="s">
        <v>58</v>
      </c>
      <c r="C25" s="37"/>
      <c r="D25" s="38"/>
      <c r="E25" s="37"/>
      <c r="F25" s="37"/>
      <c r="G25" s="37"/>
      <c r="H25" s="37"/>
      <c r="I25" s="71">
        <f>SUM(C25:H25)+'9월'!M25</f>
        <v>0</v>
      </c>
    </row>
    <row r="26" spans="1:9">
      <c r="A26" s="102"/>
      <c r="B26" s="44" t="s">
        <v>59</v>
      </c>
      <c r="C26" s="42">
        <v>1</v>
      </c>
      <c r="D26" s="43"/>
      <c r="E26" s="42"/>
      <c r="F26" s="42"/>
      <c r="G26" s="42"/>
      <c r="H26" s="42"/>
      <c r="I26" s="61">
        <f>SUM(C26:H26)+'9월'!M26</f>
        <v>4</v>
      </c>
    </row>
    <row r="27" spans="1:9">
      <c r="A27" s="102"/>
      <c r="B27" s="39" t="s">
        <v>60</v>
      </c>
      <c r="C27" s="37"/>
      <c r="D27" s="38"/>
      <c r="E27" s="37"/>
      <c r="F27" s="37"/>
      <c r="G27" s="37"/>
      <c r="H27" s="37"/>
      <c r="I27" s="71">
        <f>SUM(C27:H27)+'9월'!M27</f>
        <v>0</v>
      </c>
    </row>
    <row r="28" spans="1:9">
      <c r="A28" s="102"/>
      <c r="B28" s="41" t="s">
        <v>61</v>
      </c>
      <c r="C28" s="42"/>
      <c r="D28" s="43"/>
      <c r="E28" s="42"/>
      <c r="F28" s="42"/>
      <c r="G28" s="42"/>
      <c r="H28" s="42"/>
      <c r="I28" s="61">
        <f>SUM(C28:H28)+'9월'!M28</f>
        <v>0</v>
      </c>
    </row>
    <row r="29" spans="1:9">
      <c r="A29" s="102"/>
      <c r="B29" s="44" t="s">
        <v>42</v>
      </c>
      <c r="C29" s="37"/>
      <c r="D29" s="38">
        <v>3</v>
      </c>
      <c r="E29" s="37"/>
      <c r="F29" s="37"/>
      <c r="G29" s="37">
        <v>5</v>
      </c>
      <c r="H29" s="37"/>
      <c r="I29" s="71">
        <f>SUM(C29:H29)+'9월'!M29</f>
        <v>20</v>
      </c>
    </row>
    <row r="30" spans="1:9">
      <c r="A30" s="102"/>
      <c r="B30" s="44" t="s">
        <v>62</v>
      </c>
      <c r="C30" s="42"/>
      <c r="D30" s="43"/>
      <c r="E30" s="42"/>
      <c r="F30" s="42"/>
      <c r="G30" s="42"/>
      <c r="H30" s="42"/>
      <c r="I30" s="61">
        <f>SUM(C30:H30)+'9월'!M30</f>
        <v>0</v>
      </c>
    </row>
    <row r="31" spans="1:9">
      <c r="A31" s="102"/>
      <c r="B31" s="44" t="s">
        <v>43</v>
      </c>
      <c r="C31" s="37">
        <v>1</v>
      </c>
      <c r="D31" s="38"/>
      <c r="E31" s="37"/>
      <c r="F31" s="37"/>
      <c r="G31" s="37"/>
      <c r="H31" s="37">
        <v>1</v>
      </c>
      <c r="I31" s="71">
        <f>SUM(C31:H31)+'9월'!M31</f>
        <v>8</v>
      </c>
    </row>
    <row r="32" spans="1:9">
      <c r="A32" s="102"/>
      <c r="B32" s="44" t="s">
        <v>63</v>
      </c>
      <c r="C32" s="72"/>
      <c r="D32" s="73"/>
      <c r="E32" s="72"/>
      <c r="F32" s="72"/>
      <c r="G32" s="72">
        <v>5</v>
      </c>
      <c r="H32" s="72"/>
      <c r="I32" s="61">
        <f>SUM(C32:H32)+'9월'!M32</f>
        <v>8</v>
      </c>
    </row>
    <row r="33" spans="1:9">
      <c r="A33" s="102"/>
      <c r="B33" s="45" t="s">
        <v>31</v>
      </c>
      <c r="C33" s="31"/>
      <c r="D33" s="32">
        <v>1</v>
      </c>
      <c r="E33" s="31"/>
      <c r="F33" s="31"/>
      <c r="G33" s="31"/>
      <c r="H33" s="31">
        <v>1</v>
      </c>
      <c r="I33" s="74">
        <f>SUM(C33:H33)+'9월'!M33</f>
        <v>14</v>
      </c>
    </row>
    <row r="34" spans="1:9">
      <c r="A34" s="102"/>
      <c r="B34" s="46" t="s">
        <v>64</v>
      </c>
      <c r="C34" s="47">
        <v>1</v>
      </c>
      <c r="D34" s="48"/>
      <c r="E34" s="47"/>
      <c r="F34" s="47"/>
      <c r="G34" s="47">
        <v>5</v>
      </c>
      <c r="H34" s="47"/>
      <c r="I34" s="75">
        <f>SUM(C34:H34)+'9월'!M34</f>
        <v>13</v>
      </c>
    </row>
    <row r="35" spans="1:9">
      <c r="A35" s="102"/>
      <c r="B35" s="46" t="s">
        <v>44</v>
      </c>
      <c r="C35" s="49">
        <v>1</v>
      </c>
      <c r="D35" s="50"/>
      <c r="E35" s="49"/>
      <c r="F35" s="49"/>
      <c r="G35" s="49">
        <v>5</v>
      </c>
      <c r="H35" s="49"/>
      <c r="I35" s="61">
        <f>SUM(C35:H35)+'9월'!M35</f>
        <v>13</v>
      </c>
    </row>
    <row r="36" spans="1:9">
      <c r="A36" s="102"/>
      <c r="B36" s="46" t="s">
        <v>65</v>
      </c>
      <c r="C36" s="51"/>
      <c r="D36" s="52"/>
      <c r="E36" s="51"/>
      <c r="F36" s="51"/>
      <c r="G36" s="51"/>
      <c r="H36" s="51"/>
      <c r="I36" s="76">
        <f>SUM(C36:H36)+'9월'!M36</f>
        <v>8</v>
      </c>
    </row>
    <row r="37" spans="1:9">
      <c r="A37" s="102"/>
      <c r="B37" s="46" t="s">
        <v>66</v>
      </c>
      <c r="C37" s="49">
        <v>1</v>
      </c>
      <c r="D37" s="50"/>
      <c r="E37" s="49"/>
      <c r="F37" s="49"/>
      <c r="G37" s="49">
        <v>5</v>
      </c>
      <c r="H37" s="49">
        <v>1</v>
      </c>
      <c r="I37" s="61">
        <f>SUM(C37:H37)+'9월'!M37</f>
        <v>19</v>
      </c>
    </row>
    <row r="38" spans="1:9">
      <c r="A38" s="102"/>
      <c r="B38" s="46" t="s">
        <v>67</v>
      </c>
      <c r="C38" s="51"/>
      <c r="D38" s="52"/>
      <c r="E38" s="51"/>
      <c r="F38" s="51"/>
      <c r="G38" s="51"/>
      <c r="H38" s="51"/>
      <c r="I38" s="76">
        <f>SUM(C38:H38)+'9월'!M38</f>
        <v>6</v>
      </c>
    </row>
    <row r="39" spans="1:9">
      <c r="A39" s="102"/>
      <c r="B39" s="46" t="s">
        <v>35</v>
      </c>
      <c r="C39" s="49"/>
      <c r="D39" s="50"/>
      <c r="E39" s="49"/>
      <c r="F39" s="49"/>
      <c r="G39" s="49">
        <v>5</v>
      </c>
      <c r="H39" s="49"/>
      <c r="I39" s="61">
        <f>SUM(C39:H39)+'9월'!M39</f>
        <v>8</v>
      </c>
    </row>
    <row r="40" spans="1:9">
      <c r="A40" s="102"/>
      <c r="B40" s="46" t="s">
        <v>68</v>
      </c>
      <c r="C40" s="53">
        <v>1</v>
      </c>
      <c r="D40" s="54"/>
      <c r="E40" s="53"/>
      <c r="F40" s="53"/>
      <c r="G40" s="53"/>
      <c r="H40" s="53"/>
      <c r="I40" s="76">
        <f>SUM(C40:H40)+'9월'!M40</f>
        <v>7</v>
      </c>
    </row>
    <row r="41" spans="1:9">
      <c r="A41" s="102"/>
      <c r="B41" s="46" t="s">
        <v>69</v>
      </c>
      <c r="C41" s="49">
        <v>1</v>
      </c>
      <c r="D41" s="50"/>
      <c r="E41" s="49"/>
      <c r="F41" s="49"/>
      <c r="G41" s="49">
        <v>5</v>
      </c>
      <c r="H41" s="49">
        <v>1</v>
      </c>
      <c r="I41" s="61">
        <f>SUM(C41:H41)+'9월'!M41</f>
        <v>16</v>
      </c>
    </row>
    <row r="42" spans="1:9">
      <c r="A42" s="102"/>
      <c r="B42" s="46" t="s">
        <v>70</v>
      </c>
      <c r="C42" s="51"/>
      <c r="D42" s="52"/>
      <c r="E42" s="51"/>
      <c r="F42" s="51"/>
      <c r="G42" s="51"/>
      <c r="H42" s="51"/>
      <c r="I42" s="76">
        <f>SUM(C42:H42)+'9월'!M42</f>
        <v>6</v>
      </c>
    </row>
    <row r="43" spans="1:9">
      <c r="A43" s="102"/>
      <c r="B43" s="46" t="s">
        <v>71</v>
      </c>
      <c r="C43" s="49">
        <v>1</v>
      </c>
      <c r="D43" s="50"/>
      <c r="E43" s="49"/>
      <c r="F43" s="49"/>
      <c r="G43" s="49"/>
      <c r="H43" s="49"/>
      <c r="I43" s="61">
        <f>SUM(C43:H43)+'9월'!M43</f>
        <v>6</v>
      </c>
    </row>
    <row r="44" spans="1:9">
      <c r="A44" s="102"/>
      <c r="B44" s="46" t="s">
        <v>45</v>
      </c>
      <c r="C44" s="51">
        <v>1</v>
      </c>
      <c r="D44" s="52">
        <v>3</v>
      </c>
      <c r="E44" s="51">
        <v>3</v>
      </c>
      <c r="F44" s="51">
        <v>1</v>
      </c>
      <c r="G44" s="51">
        <v>5</v>
      </c>
      <c r="H44" s="51">
        <v>1</v>
      </c>
      <c r="I44" s="76">
        <f>SUM(C44:H44)+'9월'!M44</f>
        <v>32</v>
      </c>
    </row>
    <row r="45" spans="1:9">
      <c r="A45" s="102"/>
      <c r="B45" s="46" t="s">
        <v>72</v>
      </c>
      <c r="C45" s="49"/>
      <c r="D45" s="50"/>
      <c r="E45" s="49"/>
      <c r="F45" s="49"/>
      <c r="G45" s="49">
        <v>5</v>
      </c>
      <c r="H45" s="49"/>
      <c r="I45" s="61">
        <f>SUM(C45:H45)+'9월'!M45</f>
        <v>6</v>
      </c>
    </row>
    <row r="46" spans="1:9">
      <c r="A46" s="102"/>
      <c r="B46" s="46" t="s">
        <v>73</v>
      </c>
      <c r="C46" s="53"/>
      <c r="D46" s="54"/>
      <c r="E46" s="53"/>
      <c r="F46" s="53"/>
      <c r="G46" s="53"/>
      <c r="H46" s="53"/>
      <c r="I46" s="76">
        <f>SUM(C46:H46)+'9월'!M46</f>
        <v>3</v>
      </c>
    </row>
    <row r="47" spans="1:9">
      <c r="A47" s="102"/>
      <c r="B47" s="46" t="s">
        <v>74</v>
      </c>
      <c r="C47" s="49"/>
      <c r="D47" s="50"/>
      <c r="E47" s="49"/>
      <c r="F47" s="49"/>
      <c r="G47" s="49"/>
      <c r="H47" s="49"/>
      <c r="I47" s="61">
        <f>SUM(C47:H47)+'9월'!M47</f>
        <v>11</v>
      </c>
    </row>
    <row r="48" spans="1:9">
      <c r="A48" s="102"/>
      <c r="B48" s="46" t="s">
        <v>75</v>
      </c>
      <c r="C48" s="51">
        <v>1</v>
      </c>
      <c r="D48" s="52"/>
      <c r="E48" s="51"/>
      <c r="F48" s="51">
        <v>1</v>
      </c>
      <c r="G48" s="51">
        <v>5</v>
      </c>
      <c r="H48" s="51"/>
      <c r="I48" s="76">
        <f>SUM(C48:H48)+'9월'!M48</f>
        <v>23</v>
      </c>
    </row>
    <row r="49" spans="1:9">
      <c r="A49" s="102"/>
      <c r="B49" s="46" t="s">
        <v>29</v>
      </c>
      <c r="C49" s="77"/>
      <c r="D49" s="78"/>
      <c r="E49" s="77"/>
      <c r="F49" s="77"/>
      <c r="G49" s="77">
        <v>5</v>
      </c>
      <c r="H49" s="77"/>
      <c r="I49" s="61">
        <f>SUM(C49:H49)+'9월'!M49</f>
        <v>11</v>
      </c>
    </row>
    <row r="50" spans="1:9">
      <c r="A50" s="103"/>
      <c r="B50" s="55" t="s">
        <v>76</v>
      </c>
      <c r="C50" s="56"/>
      <c r="D50" s="57"/>
      <c r="E50" s="56"/>
      <c r="F50" s="56"/>
      <c r="G50" s="56"/>
      <c r="H50" s="56"/>
      <c r="I50" s="79">
        <f>SUM(C50:H50)+'9월'!M50</f>
        <v>9</v>
      </c>
    </row>
    <row r="51" spans="1:9">
      <c r="A51" s="104" t="s">
        <v>77</v>
      </c>
      <c r="B51" s="105"/>
      <c r="C51" s="58">
        <f t="shared" ref="C51:H51" si="0">COUNT(C5:C50)</f>
        <v>16</v>
      </c>
      <c r="D51" s="58">
        <f t="shared" si="0"/>
        <v>7</v>
      </c>
      <c r="E51" s="58">
        <f t="shared" si="0"/>
        <v>2</v>
      </c>
      <c r="F51" s="58">
        <f t="shared" si="0"/>
        <v>4</v>
      </c>
      <c r="G51" s="58">
        <f t="shared" si="0"/>
        <v>21</v>
      </c>
      <c r="H51" s="58">
        <f t="shared" si="0"/>
        <v>8</v>
      </c>
    </row>
  </sheetData>
  <mergeCells count="5">
    <mergeCell ref="A1:A4"/>
    <mergeCell ref="I1:I4"/>
    <mergeCell ref="A5:A10"/>
    <mergeCell ref="A11:A50"/>
    <mergeCell ref="A51:B51"/>
  </mergeCells>
  <phoneticPr fontId="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workbookViewId="0">
      <selection sqref="A1:A4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12" width="18.42578125" customWidth="1"/>
    <col min="13" max="13" width="11.140625" customWidth="1"/>
  </cols>
  <sheetData>
    <row r="1" spans="1:13">
      <c r="A1" s="92" t="s">
        <v>93</v>
      </c>
      <c r="B1" s="1" t="s">
        <v>1</v>
      </c>
      <c r="C1" s="59" t="s">
        <v>94</v>
      </c>
      <c r="D1" s="2" t="s">
        <v>95</v>
      </c>
      <c r="E1" s="59" t="s">
        <v>96</v>
      </c>
      <c r="F1" s="59" t="s">
        <v>97</v>
      </c>
      <c r="G1" s="2" t="s">
        <v>98</v>
      </c>
      <c r="H1" s="2" t="s">
        <v>99</v>
      </c>
      <c r="I1" s="59" t="s">
        <v>100</v>
      </c>
      <c r="J1" s="2" t="s">
        <v>101</v>
      </c>
      <c r="K1" s="2" t="s">
        <v>102</v>
      </c>
      <c r="L1" s="59" t="s">
        <v>103</v>
      </c>
      <c r="M1" s="95" t="s">
        <v>13</v>
      </c>
    </row>
    <row r="2" spans="1:13">
      <c r="A2" s="93"/>
      <c r="B2" s="3" t="s">
        <v>14</v>
      </c>
      <c r="C2" s="4" t="s">
        <v>104</v>
      </c>
      <c r="D2" s="3" t="s">
        <v>15</v>
      </c>
      <c r="E2" s="4" t="s">
        <v>105</v>
      </c>
      <c r="F2" s="4" t="s">
        <v>106</v>
      </c>
      <c r="G2" s="3" t="s">
        <v>15</v>
      </c>
      <c r="H2" s="3" t="s">
        <v>15</v>
      </c>
      <c r="I2" s="4" t="s">
        <v>107</v>
      </c>
      <c r="J2" s="3" t="s">
        <v>15</v>
      </c>
      <c r="K2" s="3" t="s">
        <v>15</v>
      </c>
      <c r="L2" s="4" t="s">
        <v>108</v>
      </c>
      <c r="M2" s="96"/>
    </row>
    <row r="3" spans="1:13">
      <c r="A3" s="93"/>
      <c r="B3" s="5" t="s">
        <v>18</v>
      </c>
      <c r="C3" s="6" t="s">
        <v>30</v>
      </c>
      <c r="D3" s="5" t="s">
        <v>109</v>
      </c>
      <c r="E3" s="6" t="s">
        <v>110</v>
      </c>
      <c r="F3" s="6" t="s">
        <v>111</v>
      </c>
      <c r="G3" s="5" t="s">
        <v>112</v>
      </c>
      <c r="H3" s="5" t="s">
        <v>88</v>
      </c>
      <c r="I3" s="6" t="s">
        <v>113</v>
      </c>
      <c r="J3" s="5" t="s">
        <v>20</v>
      </c>
      <c r="K3" s="5" t="s">
        <v>20</v>
      </c>
      <c r="L3" s="6" t="s">
        <v>114</v>
      </c>
      <c r="M3" s="96"/>
    </row>
    <row r="4" spans="1:13">
      <c r="A4" s="94"/>
      <c r="B4" s="7" t="s">
        <v>27</v>
      </c>
      <c r="C4" s="8" t="s">
        <v>30</v>
      </c>
      <c r="D4" s="7" t="s">
        <v>38</v>
      </c>
      <c r="E4" s="8" t="s">
        <v>30</v>
      </c>
      <c r="F4" s="8" t="s">
        <v>30</v>
      </c>
      <c r="G4" s="7" t="s">
        <v>115</v>
      </c>
      <c r="H4" s="7" t="s">
        <v>38</v>
      </c>
      <c r="I4" s="8" t="s">
        <v>30</v>
      </c>
      <c r="J4" s="7" t="s">
        <v>75</v>
      </c>
      <c r="K4" s="7" t="s">
        <v>42</v>
      </c>
      <c r="L4" s="8" t="s">
        <v>30</v>
      </c>
      <c r="M4" s="97"/>
    </row>
    <row r="5" spans="1:13">
      <c r="A5" s="98" t="s">
        <v>37</v>
      </c>
      <c r="B5" s="9" t="s">
        <v>38</v>
      </c>
      <c r="C5" s="10">
        <v>5</v>
      </c>
      <c r="D5" s="11">
        <v>2</v>
      </c>
      <c r="E5" s="10">
        <v>3</v>
      </c>
      <c r="F5" s="10">
        <v>1</v>
      </c>
      <c r="G5" s="10">
        <v>1</v>
      </c>
      <c r="H5" s="10">
        <v>2</v>
      </c>
      <c r="I5" s="10">
        <v>3</v>
      </c>
      <c r="J5" s="10"/>
      <c r="K5" s="10">
        <v>1</v>
      </c>
      <c r="L5" s="10">
        <v>3</v>
      </c>
      <c r="M5" s="60">
        <f t="shared" ref="M5:M50" si="0">SUM(C5:L5)</f>
        <v>21</v>
      </c>
    </row>
    <row r="6" spans="1:13">
      <c r="A6" s="99"/>
      <c r="B6" s="12" t="s">
        <v>36</v>
      </c>
      <c r="C6" s="13">
        <v>5</v>
      </c>
      <c r="D6" s="14"/>
      <c r="E6" s="13">
        <v>3</v>
      </c>
      <c r="F6" s="13">
        <v>1</v>
      </c>
      <c r="G6" s="13"/>
      <c r="H6" s="13"/>
      <c r="I6" s="13">
        <v>3</v>
      </c>
      <c r="J6" s="13"/>
      <c r="K6" s="13">
        <v>1</v>
      </c>
      <c r="L6" s="13"/>
      <c r="M6" s="61">
        <f t="shared" si="0"/>
        <v>13</v>
      </c>
    </row>
    <row r="7" spans="1:13">
      <c r="A7" s="99"/>
      <c r="B7" s="15" t="s">
        <v>39</v>
      </c>
      <c r="C7" s="16">
        <v>5</v>
      </c>
      <c r="D7" s="17"/>
      <c r="E7" s="16"/>
      <c r="F7" s="16">
        <v>3</v>
      </c>
      <c r="G7" s="16"/>
      <c r="H7" s="16"/>
      <c r="I7" s="16"/>
      <c r="J7" s="16"/>
      <c r="K7" s="16"/>
      <c r="L7" s="16"/>
      <c r="M7" s="62">
        <f t="shared" si="0"/>
        <v>8</v>
      </c>
    </row>
    <row r="8" spans="1:13">
      <c r="A8" s="99"/>
      <c r="B8" s="18" t="s">
        <v>32</v>
      </c>
      <c r="C8" s="13">
        <v>5</v>
      </c>
      <c r="D8" s="14"/>
      <c r="E8" s="13">
        <v>3</v>
      </c>
      <c r="F8" s="13">
        <v>1</v>
      </c>
      <c r="G8" s="13">
        <v>1</v>
      </c>
      <c r="H8" s="13"/>
      <c r="I8" s="13">
        <v>3</v>
      </c>
      <c r="J8" s="13"/>
      <c r="K8" s="13"/>
      <c r="L8" s="13"/>
      <c r="M8" s="61">
        <f t="shared" si="0"/>
        <v>13</v>
      </c>
    </row>
    <row r="9" spans="1:13">
      <c r="A9" s="99"/>
      <c r="B9" s="15" t="s">
        <v>40</v>
      </c>
      <c r="C9" s="19">
        <v>3</v>
      </c>
      <c r="D9" s="20"/>
      <c r="E9" s="19"/>
      <c r="F9" s="19"/>
      <c r="G9" s="19"/>
      <c r="H9" s="19"/>
      <c r="I9" s="19">
        <v>1</v>
      </c>
      <c r="J9" s="19"/>
      <c r="K9" s="19">
        <v>1</v>
      </c>
      <c r="L9" s="19"/>
      <c r="M9" s="80">
        <f t="shared" si="0"/>
        <v>5</v>
      </c>
    </row>
    <row r="10" spans="1:13">
      <c r="A10" s="100"/>
      <c r="B10" s="63" t="s">
        <v>41</v>
      </c>
      <c r="C10" s="64">
        <v>5</v>
      </c>
      <c r="D10" s="65"/>
      <c r="E10" s="64"/>
      <c r="F10" s="64"/>
      <c r="G10" s="64"/>
      <c r="H10" s="64"/>
      <c r="I10" s="64">
        <v>3</v>
      </c>
      <c r="J10" s="64"/>
      <c r="K10" s="64"/>
      <c r="L10" s="64"/>
      <c r="M10" s="81">
        <f t="shared" si="0"/>
        <v>8</v>
      </c>
    </row>
    <row r="11" spans="1:13">
      <c r="A11" s="101" t="s">
        <v>46</v>
      </c>
      <c r="B11" s="67" t="s">
        <v>34</v>
      </c>
      <c r="C11" s="68"/>
      <c r="D11" s="69"/>
      <c r="E11" s="68"/>
      <c r="F11" s="68"/>
      <c r="G11" s="68">
        <v>2</v>
      </c>
      <c r="H11" s="68"/>
      <c r="I11" s="68"/>
      <c r="J11" s="68"/>
      <c r="K11" s="68"/>
      <c r="L11" s="68"/>
      <c r="M11" s="82">
        <f t="shared" si="0"/>
        <v>2</v>
      </c>
    </row>
    <row r="12" spans="1:13">
      <c r="A12" s="102"/>
      <c r="B12" s="33" t="s">
        <v>33</v>
      </c>
      <c r="C12" s="34"/>
      <c r="D12" s="35"/>
      <c r="E12" s="34"/>
      <c r="F12" s="34"/>
      <c r="G12" s="34"/>
      <c r="H12" s="34"/>
      <c r="I12" s="34">
        <v>3</v>
      </c>
      <c r="J12" s="34"/>
      <c r="K12" s="34"/>
      <c r="L12" s="34"/>
      <c r="M12" s="83">
        <f t="shared" si="0"/>
        <v>3</v>
      </c>
    </row>
    <row r="13" spans="1:13">
      <c r="A13" s="102"/>
      <c r="B13" s="36" t="s">
        <v>47</v>
      </c>
      <c r="C13" s="37"/>
      <c r="D13" s="38"/>
      <c r="E13" s="37"/>
      <c r="F13" s="37"/>
      <c r="G13" s="37"/>
      <c r="H13" s="37"/>
      <c r="I13" s="37"/>
      <c r="J13" s="37"/>
      <c r="K13" s="37"/>
      <c r="L13" s="37"/>
      <c r="M13" s="84">
        <f t="shared" si="0"/>
        <v>0</v>
      </c>
    </row>
    <row r="14" spans="1:13">
      <c r="A14" s="102"/>
      <c r="B14" s="36" t="s">
        <v>48</v>
      </c>
      <c r="C14" s="34"/>
      <c r="D14" s="35"/>
      <c r="E14" s="34"/>
      <c r="F14" s="34"/>
      <c r="G14" s="34">
        <v>2</v>
      </c>
      <c r="H14" s="34"/>
      <c r="I14" s="34"/>
      <c r="J14" s="34"/>
      <c r="K14" s="34"/>
      <c r="L14" s="34"/>
      <c r="M14" s="83">
        <f t="shared" si="0"/>
        <v>2</v>
      </c>
    </row>
    <row r="15" spans="1:13">
      <c r="A15" s="102"/>
      <c r="B15" s="36" t="s">
        <v>49</v>
      </c>
      <c r="C15" s="37"/>
      <c r="D15" s="38"/>
      <c r="E15" s="37"/>
      <c r="F15" s="37">
        <v>3</v>
      </c>
      <c r="G15" s="37">
        <v>1</v>
      </c>
      <c r="H15" s="37"/>
      <c r="I15" s="37"/>
      <c r="J15" s="37"/>
      <c r="K15" s="37"/>
      <c r="L15" s="37"/>
      <c r="M15" s="70">
        <f t="shared" si="0"/>
        <v>4</v>
      </c>
    </row>
    <row r="16" spans="1:13">
      <c r="A16" s="102"/>
      <c r="B16" s="36" t="s">
        <v>28</v>
      </c>
      <c r="C16" s="34">
        <v>5</v>
      </c>
      <c r="D16" s="35"/>
      <c r="E16" s="34">
        <v>3</v>
      </c>
      <c r="F16" s="34"/>
      <c r="G16" s="34"/>
      <c r="H16" s="34"/>
      <c r="I16" s="34">
        <v>3</v>
      </c>
      <c r="J16" s="34"/>
      <c r="K16" s="34"/>
      <c r="L16" s="34"/>
      <c r="M16" s="83">
        <f t="shared" si="0"/>
        <v>11</v>
      </c>
    </row>
    <row r="17" spans="1:13">
      <c r="A17" s="102"/>
      <c r="B17" s="36" t="s">
        <v>50</v>
      </c>
      <c r="C17" s="37"/>
      <c r="D17" s="38"/>
      <c r="E17" s="37"/>
      <c r="F17" s="37">
        <v>1</v>
      </c>
      <c r="G17" s="37"/>
      <c r="H17" s="37"/>
      <c r="I17" s="37"/>
      <c r="J17" s="37"/>
      <c r="K17" s="37"/>
      <c r="L17" s="37"/>
      <c r="M17" s="84">
        <f t="shared" si="0"/>
        <v>1</v>
      </c>
    </row>
    <row r="18" spans="1:13">
      <c r="A18" s="102"/>
      <c r="B18" s="39" t="s">
        <v>51</v>
      </c>
      <c r="C18" s="34">
        <v>3</v>
      </c>
      <c r="D18" s="35"/>
      <c r="E18" s="34">
        <v>1</v>
      </c>
      <c r="F18" s="34"/>
      <c r="G18" s="34"/>
      <c r="H18" s="34"/>
      <c r="I18" s="34"/>
      <c r="J18" s="34"/>
      <c r="K18" s="34"/>
      <c r="L18" s="34"/>
      <c r="M18" s="83">
        <f t="shared" si="0"/>
        <v>4</v>
      </c>
    </row>
    <row r="19" spans="1:13">
      <c r="A19" s="102"/>
      <c r="B19" s="39" t="s">
        <v>52</v>
      </c>
      <c r="C19" s="37"/>
      <c r="D19" s="40"/>
      <c r="E19" s="37"/>
      <c r="F19" s="37"/>
      <c r="G19" s="37"/>
      <c r="H19" s="37"/>
      <c r="I19" s="37"/>
      <c r="J19" s="37"/>
      <c r="K19" s="37"/>
      <c r="L19" s="37"/>
      <c r="M19" s="84">
        <f t="shared" si="0"/>
        <v>0</v>
      </c>
    </row>
    <row r="20" spans="1:13">
      <c r="A20" s="102"/>
      <c r="B20" s="41" t="s">
        <v>53</v>
      </c>
      <c r="C20" s="34"/>
      <c r="D20" s="35"/>
      <c r="E20" s="34"/>
      <c r="F20" s="34"/>
      <c r="G20" s="34"/>
      <c r="H20" s="34"/>
      <c r="I20" s="34"/>
      <c r="J20" s="34"/>
      <c r="K20" s="34"/>
      <c r="L20" s="34"/>
      <c r="M20" s="85">
        <f t="shared" si="0"/>
        <v>0</v>
      </c>
    </row>
    <row r="21" spans="1:13">
      <c r="A21" s="102"/>
      <c r="B21" s="39" t="s">
        <v>54</v>
      </c>
      <c r="C21" s="37">
        <v>3</v>
      </c>
      <c r="D21" s="38">
        <v>1</v>
      </c>
      <c r="E21" s="37">
        <v>1</v>
      </c>
      <c r="F21" s="37">
        <v>1</v>
      </c>
      <c r="G21" s="37"/>
      <c r="H21" s="37"/>
      <c r="I21" s="37"/>
      <c r="J21" s="37"/>
      <c r="K21" s="37"/>
      <c r="L21" s="37">
        <v>3</v>
      </c>
      <c r="M21" s="84">
        <f t="shared" si="0"/>
        <v>9</v>
      </c>
    </row>
    <row r="22" spans="1:13">
      <c r="A22" s="102"/>
      <c r="B22" s="30" t="s">
        <v>55</v>
      </c>
      <c r="C22" s="34"/>
      <c r="D22" s="35"/>
      <c r="E22" s="34"/>
      <c r="F22" s="34"/>
      <c r="G22" s="34"/>
      <c r="H22" s="34"/>
      <c r="I22" s="34"/>
      <c r="J22" s="34"/>
      <c r="K22" s="34"/>
      <c r="L22" s="34"/>
      <c r="M22" s="83">
        <f t="shared" si="0"/>
        <v>0</v>
      </c>
    </row>
    <row r="23" spans="1:13">
      <c r="A23" s="102"/>
      <c r="B23" s="41" t="s">
        <v>56</v>
      </c>
      <c r="C23" s="37"/>
      <c r="D23" s="38"/>
      <c r="E23" s="37">
        <v>3</v>
      </c>
      <c r="F23" s="37"/>
      <c r="G23" s="37"/>
      <c r="H23" s="37"/>
      <c r="I23" s="37"/>
      <c r="J23" s="37"/>
      <c r="K23" s="37"/>
      <c r="L23" s="37"/>
      <c r="M23" s="70">
        <f t="shared" si="0"/>
        <v>3</v>
      </c>
    </row>
    <row r="24" spans="1:13">
      <c r="A24" s="102"/>
      <c r="B24" s="44" t="s">
        <v>57</v>
      </c>
      <c r="C24" s="42">
        <v>5</v>
      </c>
      <c r="D24" s="43"/>
      <c r="E24" s="42"/>
      <c r="F24" s="42"/>
      <c r="G24" s="42"/>
      <c r="H24" s="42"/>
      <c r="I24" s="42"/>
      <c r="J24" s="42"/>
      <c r="K24" s="42"/>
      <c r="L24" s="42"/>
      <c r="M24" s="86">
        <f t="shared" si="0"/>
        <v>5</v>
      </c>
    </row>
    <row r="25" spans="1:13">
      <c r="A25" s="102"/>
      <c r="B25" s="44" t="s">
        <v>58</v>
      </c>
      <c r="C25" s="37"/>
      <c r="D25" s="38"/>
      <c r="E25" s="37"/>
      <c r="F25" s="37"/>
      <c r="G25" s="37"/>
      <c r="H25" s="37"/>
      <c r="I25" s="37"/>
      <c r="J25" s="37"/>
      <c r="K25" s="37"/>
      <c r="L25" s="37"/>
      <c r="M25" s="87">
        <f t="shared" si="0"/>
        <v>0</v>
      </c>
    </row>
    <row r="26" spans="1:13">
      <c r="A26" s="102"/>
      <c r="B26" s="44" t="s">
        <v>59</v>
      </c>
      <c r="C26" s="42">
        <v>3</v>
      </c>
      <c r="D26" s="43"/>
      <c r="E26" s="42"/>
      <c r="F26" s="42"/>
      <c r="G26" s="42"/>
      <c r="H26" s="42"/>
      <c r="I26" s="42"/>
      <c r="J26" s="42"/>
      <c r="K26" s="42"/>
      <c r="L26" s="42"/>
      <c r="M26" s="83">
        <f t="shared" si="0"/>
        <v>3</v>
      </c>
    </row>
    <row r="27" spans="1:13">
      <c r="A27" s="102"/>
      <c r="B27" s="39" t="s">
        <v>60</v>
      </c>
      <c r="C27" s="37"/>
      <c r="D27" s="38"/>
      <c r="E27" s="37"/>
      <c r="F27" s="37"/>
      <c r="G27" s="37"/>
      <c r="H27" s="37"/>
      <c r="I27" s="37"/>
      <c r="J27" s="37"/>
      <c r="K27" s="37"/>
      <c r="L27" s="37"/>
      <c r="M27" s="70">
        <f t="shared" si="0"/>
        <v>0</v>
      </c>
    </row>
    <row r="28" spans="1:13">
      <c r="A28" s="102"/>
      <c r="B28" s="41" t="s">
        <v>61</v>
      </c>
      <c r="C28" s="42"/>
      <c r="D28" s="43"/>
      <c r="E28" s="42"/>
      <c r="F28" s="42"/>
      <c r="G28" s="42"/>
      <c r="H28" s="42"/>
      <c r="I28" s="42"/>
      <c r="J28" s="42"/>
      <c r="K28" s="42"/>
      <c r="L28" s="42"/>
      <c r="M28" s="83">
        <f t="shared" si="0"/>
        <v>0</v>
      </c>
    </row>
    <row r="29" spans="1:13">
      <c r="A29" s="102"/>
      <c r="B29" s="44" t="s">
        <v>42</v>
      </c>
      <c r="C29" s="37">
        <v>3</v>
      </c>
      <c r="D29" s="38"/>
      <c r="E29" s="37">
        <v>3</v>
      </c>
      <c r="F29" s="37"/>
      <c r="G29" s="37"/>
      <c r="H29" s="37"/>
      <c r="I29" s="37"/>
      <c r="J29" s="37">
        <v>1</v>
      </c>
      <c r="K29" s="37">
        <v>2</v>
      </c>
      <c r="L29" s="37">
        <v>3</v>
      </c>
      <c r="M29" s="70">
        <f t="shared" si="0"/>
        <v>12</v>
      </c>
    </row>
    <row r="30" spans="1:13">
      <c r="A30" s="102"/>
      <c r="B30" s="44" t="s">
        <v>62</v>
      </c>
      <c r="C30" s="42"/>
      <c r="D30" s="43"/>
      <c r="E30" s="42"/>
      <c r="F30" s="42"/>
      <c r="G30" s="42"/>
      <c r="H30" s="42"/>
      <c r="I30" s="42"/>
      <c r="J30" s="42"/>
      <c r="K30" s="42"/>
      <c r="L30" s="42"/>
      <c r="M30" s="83">
        <f t="shared" si="0"/>
        <v>0</v>
      </c>
    </row>
    <row r="31" spans="1:13">
      <c r="A31" s="102"/>
      <c r="B31" s="44" t="s">
        <v>43</v>
      </c>
      <c r="C31" s="37"/>
      <c r="D31" s="38"/>
      <c r="E31" s="37">
        <v>1</v>
      </c>
      <c r="F31" s="37"/>
      <c r="G31" s="37">
        <v>1</v>
      </c>
      <c r="H31" s="37"/>
      <c r="I31" s="37">
        <v>3</v>
      </c>
      <c r="J31" s="37">
        <v>1</v>
      </c>
      <c r="K31" s="37"/>
      <c r="L31" s="37"/>
      <c r="M31" s="70">
        <f t="shared" si="0"/>
        <v>6</v>
      </c>
    </row>
    <row r="32" spans="1:13">
      <c r="A32" s="102"/>
      <c r="B32" s="44" t="s">
        <v>63</v>
      </c>
      <c r="C32" s="72"/>
      <c r="D32" s="73"/>
      <c r="E32" s="72">
        <v>3</v>
      </c>
      <c r="F32" s="72"/>
      <c r="G32" s="72"/>
      <c r="H32" s="72"/>
      <c r="I32" s="72"/>
      <c r="J32" s="72"/>
      <c r="K32" s="72"/>
      <c r="L32" s="72"/>
      <c r="M32" s="88">
        <f t="shared" si="0"/>
        <v>3</v>
      </c>
    </row>
    <row r="33" spans="1:13">
      <c r="A33" s="102"/>
      <c r="B33" s="45" t="s">
        <v>31</v>
      </c>
      <c r="C33" s="31">
        <v>5</v>
      </c>
      <c r="D33" s="32">
        <v>1</v>
      </c>
      <c r="E33" s="31">
        <v>3</v>
      </c>
      <c r="F33" s="31">
        <v>1</v>
      </c>
      <c r="G33" s="31">
        <v>1</v>
      </c>
      <c r="H33" s="31">
        <v>1</v>
      </c>
      <c r="I33" s="31"/>
      <c r="J33" s="31"/>
      <c r="K33" s="31"/>
      <c r="L33" s="31"/>
      <c r="M33" s="70">
        <f t="shared" si="0"/>
        <v>12</v>
      </c>
    </row>
    <row r="34" spans="1:13">
      <c r="A34" s="102"/>
      <c r="B34" s="46" t="s">
        <v>64</v>
      </c>
      <c r="C34" s="47"/>
      <c r="D34" s="48"/>
      <c r="E34" s="47">
        <v>3</v>
      </c>
      <c r="F34" s="47"/>
      <c r="G34" s="47"/>
      <c r="H34" s="47"/>
      <c r="I34" s="47">
        <v>3</v>
      </c>
      <c r="J34" s="47">
        <v>1</v>
      </c>
      <c r="K34" s="47"/>
      <c r="L34" s="47"/>
      <c r="M34" s="89">
        <f t="shared" si="0"/>
        <v>7</v>
      </c>
    </row>
    <row r="35" spans="1:13">
      <c r="A35" s="102"/>
      <c r="B35" s="46" t="s">
        <v>44</v>
      </c>
      <c r="C35" s="49">
        <v>5</v>
      </c>
      <c r="D35" s="50">
        <v>1</v>
      </c>
      <c r="E35" s="49">
        <v>1</v>
      </c>
      <c r="F35" s="49"/>
      <c r="G35" s="49"/>
      <c r="H35" s="49"/>
      <c r="I35" s="49"/>
      <c r="J35" s="49"/>
      <c r="K35" s="49"/>
      <c r="L35" s="49"/>
      <c r="M35" s="85">
        <f t="shared" si="0"/>
        <v>7</v>
      </c>
    </row>
    <row r="36" spans="1:13">
      <c r="A36" s="102"/>
      <c r="B36" s="46" t="s">
        <v>65</v>
      </c>
      <c r="C36" s="51">
        <v>5</v>
      </c>
      <c r="D36" s="52"/>
      <c r="E36" s="51"/>
      <c r="F36" s="51">
        <v>3</v>
      </c>
      <c r="G36" s="51"/>
      <c r="H36" s="51"/>
      <c r="I36" s="51"/>
      <c r="J36" s="51"/>
      <c r="K36" s="51"/>
      <c r="L36" s="51"/>
      <c r="M36" s="76">
        <f t="shared" si="0"/>
        <v>8</v>
      </c>
    </row>
    <row r="37" spans="1:13">
      <c r="A37" s="102"/>
      <c r="B37" s="46" t="s">
        <v>66</v>
      </c>
      <c r="C37" s="49">
        <v>5</v>
      </c>
      <c r="D37" s="50"/>
      <c r="E37" s="49">
        <v>3</v>
      </c>
      <c r="F37" s="49"/>
      <c r="G37" s="49"/>
      <c r="H37" s="49"/>
      <c r="I37" s="49">
        <v>3</v>
      </c>
      <c r="J37" s="49">
        <v>1</v>
      </c>
      <c r="K37" s="49"/>
      <c r="L37" s="49"/>
      <c r="M37" s="90">
        <f t="shared" si="0"/>
        <v>12</v>
      </c>
    </row>
    <row r="38" spans="1:13">
      <c r="A38" s="102"/>
      <c r="B38" s="46" t="s">
        <v>67</v>
      </c>
      <c r="C38" s="51">
        <v>5</v>
      </c>
      <c r="D38" s="52">
        <v>1</v>
      </c>
      <c r="E38" s="51"/>
      <c r="F38" s="51"/>
      <c r="G38" s="51"/>
      <c r="H38" s="51"/>
      <c r="I38" s="51"/>
      <c r="J38" s="51"/>
      <c r="K38" s="51"/>
      <c r="L38" s="51"/>
      <c r="M38" s="75">
        <f t="shared" si="0"/>
        <v>6</v>
      </c>
    </row>
    <row r="39" spans="1:13">
      <c r="A39" s="102"/>
      <c r="B39" s="46" t="s">
        <v>35</v>
      </c>
      <c r="C39" s="49"/>
      <c r="D39" s="50"/>
      <c r="E39" s="49">
        <v>3</v>
      </c>
      <c r="F39" s="49"/>
      <c r="G39" s="49"/>
      <c r="H39" s="49"/>
      <c r="I39" s="49"/>
      <c r="J39" s="49"/>
      <c r="K39" s="49"/>
      <c r="L39" s="49"/>
      <c r="M39" s="90">
        <f t="shared" si="0"/>
        <v>3</v>
      </c>
    </row>
    <row r="40" spans="1:13">
      <c r="A40" s="102"/>
      <c r="B40" s="46" t="s">
        <v>68</v>
      </c>
      <c r="C40" s="53">
        <v>5</v>
      </c>
      <c r="D40" s="54">
        <v>1</v>
      </c>
      <c r="E40" s="53"/>
      <c r="F40" s="53"/>
      <c r="G40" s="53"/>
      <c r="H40" s="53"/>
      <c r="I40" s="53"/>
      <c r="J40" s="53"/>
      <c r="K40" s="53"/>
      <c r="L40" s="53"/>
      <c r="M40" s="91">
        <f t="shared" si="0"/>
        <v>6</v>
      </c>
    </row>
    <row r="41" spans="1:13">
      <c r="A41" s="102"/>
      <c r="B41" s="46" t="s">
        <v>69</v>
      </c>
      <c r="C41" s="49">
        <v>5</v>
      </c>
      <c r="D41" s="50"/>
      <c r="E41" s="49"/>
      <c r="F41" s="49"/>
      <c r="G41" s="49">
        <v>1</v>
      </c>
      <c r="H41" s="49"/>
      <c r="I41" s="49">
        <v>3</v>
      </c>
      <c r="J41" s="49"/>
      <c r="K41" s="49"/>
      <c r="L41" s="49"/>
      <c r="M41" s="90">
        <f t="shared" si="0"/>
        <v>9</v>
      </c>
    </row>
    <row r="42" spans="1:13">
      <c r="A42" s="102"/>
      <c r="B42" s="46" t="s">
        <v>70</v>
      </c>
      <c r="C42" s="51">
        <v>5</v>
      </c>
      <c r="D42" s="52"/>
      <c r="E42" s="51"/>
      <c r="F42" s="51"/>
      <c r="G42" s="51">
        <v>1</v>
      </c>
      <c r="H42" s="51"/>
      <c r="I42" s="51"/>
      <c r="J42" s="51"/>
      <c r="K42" s="51"/>
      <c r="L42" s="51"/>
      <c r="M42" s="75">
        <f t="shared" si="0"/>
        <v>6</v>
      </c>
    </row>
    <row r="43" spans="1:13">
      <c r="A43" s="102"/>
      <c r="B43" s="46" t="s">
        <v>71</v>
      </c>
      <c r="C43" s="49">
        <v>5</v>
      </c>
      <c r="D43" s="50"/>
      <c r="E43" s="49"/>
      <c r="F43" s="49"/>
      <c r="G43" s="49"/>
      <c r="H43" s="49"/>
      <c r="I43" s="49"/>
      <c r="J43" s="49"/>
      <c r="K43" s="49"/>
      <c r="L43" s="49"/>
      <c r="M43" s="90">
        <f t="shared" si="0"/>
        <v>5</v>
      </c>
    </row>
    <row r="44" spans="1:13">
      <c r="A44" s="102"/>
      <c r="B44" s="46" t="s">
        <v>45</v>
      </c>
      <c r="C44" s="51">
        <v>5</v>
      </c>
      <c r="D44" s="52"/>
      <c r="E44" s="51">
        <v>3</v>
      </c>
      <c r="F44" s="51">
        <v>3</v>
      </c>
      <c r="G44" s="51"/>
      <c r="H44" s="51"/>
      <c r="I44" s="51">
        <v>3</v>
      </c>
      <c r="J44" s="51">
        <v>1</v>
      </c>
      <c r="K44" s="51"/>
      <c r="L44" s="51">
        <v>3</v>
      </c>
      <c r="M44" s="75">
        <f t="shared" si="0"/>
        <v>18</v>
      </c>
    </row>
    <row r="45" spans="1:13">
      <c r="A45" s="102"/>
      <c r="B45" s="46" t="s">
        <v>72</v>
      </c>
      <c r="C45" s="49"/>
      <c r="D45" s="50">
        <v>1</v>
      </c>
      <c r="E45" s="49"/>
      <c r="F45" s="49"/>
      <c r="G45" s="49"/>
      <c r="H45" s="49"/>
      <c r="I45" s="49"/>
      <c r="J45" s="49"/>
      <c r="K45" s="49"/>
      <c r="L45" s="49"/>
      <c r="M45" s="90">
        <f t="shared" si="0"/>
        <v>1</v>
      </c>
    </row>
    <row r="46" spans="1:13">
      <c r="A46" s="102"/>
      <c r="B46" s="46" t="s">
        <v>73</v>
      </c>
      <c r="C46" s="53"/>
      <c r="D46" s="54"/>
      <c r="E46" s="53">
        <v>3</v>
      </c>
      <c r="F46" s="53"/>
      <c r="G46" s="53"/>
      <c r="H46" s="53"/>
      <c r="I46" s="53"/>
      <c r="J46" s="53"/>
      <c r="K46" s="53"/>
      <c r="L46" s="53"/>
      <c r="M46" s="91">
        <f t="shared" si="0"/>
        <v>3</v>
      </c>
    </row>
    <row r="47" spans="1:13">
      <c r="A47" s="102"/>
      <c r="B47" s="46" t="s">
        <v>74</v>
      </c>
      <c r="C47" s="49">
        <v>5</v>
      </c>
      <c r="D47" s="50"/>
      <c r="E47" s="49">
        <v>3</v>
      </c>
      <c r="F47" s="49"/>
      <c r="G47" s="49"/>
      <c r="H47" s="49"/>
      <c r="I47" s="49">
        <v>3</v>
      </c>
      <c r="J47" s="49"/>
      <c r="K47" s="49"/>
      <c r="L47" s="49"/>
      <c r="M47" s="90">
        <f t="shared" si="0"/>
        <v>11</v>
      </c>
    </row>
    <row r="48" spans="1:13">
      <c r="A48" s="102"/>
      <c r="B48" s="46" t="s">
        <v>75</v>
      </c>
      <c r="C48" s="51">
        <v>5</v>
      </c>
      <c r="D48" s="52">
        <v>1</v>
      </c>
      <c r="E48" s="51">
        <v>3</v>
      </c>
      <c r="F48" s="51">
        <v>1</v>
      </c>
      <c r="G48" s="51"/>
      <c r="H48" s="51">
        <v>1</v>
      </c>
      <c r="I48" s="51">
        <v>3</v>
      </c>
      <c r="J48" s="51">
        <v>2</v>
      </c>
      <c r="K48" s="51"/>
      <c r="L48" s="51"/>
      <c r="M48" s="75">
        <f t="shared" si="0"/>
        <v>16</v>
      </c>
    </row>
    <row r="49" spans="1:13">
      <c r="A49" s="102"/>
      <c r="B49" s="46" t="s">
        <v>29</v>
      </c>
      <c r="C49" s="77">
        <v>5</v>
      </c>
      <c r="D49" s="78"/>
      <c r="E49" s="77"/>
      <c r="F49" s="77"/>
      <c r="G49" s="77"/>
      <c r="H49" s="77"/>
      <c r="I49" s="77">
        <v>1</v>
      </c>
      <c r="J49" s="77"/>
      <c r="K49" s="77"/>
      <c r="L49" s="77"/>
      <c r="M49" s="61">
        <f t="shared" si="0"/>
        <v>6</v>
      </c>
    </row>
    <row r="50" spans="1:13">
      <c r="A50" s="103"/>
      <c r="B50" s="55" t="s">
        <v>76</v>
      </c>
      <c r="C50" s="56">
        <v>5</v>
      </c>
      <c r="D50" s="57"/>
      <c r="E50" s="56"/>
      <c r="F50" s="56"/>
      <c r="G50" s="56">
        <v>1</v>
      </c>
      <c r="H50" s="56"/>
      <c r="I50" s="56">
        <v>3</v>
      </c>
      <c r="J50" s="56"/>
      <c r="K50" s="56"/>
      <c r="L50" s="56"/>
      <c r="M50" s="79">
        <f t="shared" si="0"/>
        <v>9</v>
      </c>
    </row>
    <row r="51" spans="1:13">
      <c r="A51" s="104" t="s">
        <v>77</v>
      </c>
      <c r="B51" s="105"/>
      <c r="C51" s="58">
        <f t="shared" ref="C51:L51" si="1">COUNT(C5:C50)</f>
        <v>26</v>
      </c>
      <c r="D51" s="58">
        <f t="shared" si="1"/>
        <v>8</v>
      </c>
      <c r="E51" s="58">
        <f t="shared" si="1"/>
        <v>19</v>
      </c>
      <c r="F51" s="58">
        <f t="shared" si="1"/>
        <v>11</v>
      </c>
      <c r="G51" s="58">
        <f t="shared" si="1"/>
        <v>10</v>
      </c>
      <c r="H51" s="58">
        <f t="shared" si="1"/>
        <v>3</v>
      </c>
      <c r="I51" s="58">
        <f t="shared" si="1"/>
        <v>16</v>
      </c>
      <c r="J51" s="58">
        <f t="shared" si="1"/>
        <v>6</v>
      </c>
      <c r="K51" s="58">
        <f t="shared" si="1"/>
        <v>4</v>
      </c>
      <c r="L51" s="58">
        <f t="shared" si="1"/>
        <v>4</v>
      </c>
    </row>
  </sheetData>
  <mergeCells count="5">
    <mergeCell ref="A1:A4"/>
    <mergeCell ref="M1:M4"/>
    <mergeCell ref="A5:A10"/>
    <mergeCell ref="A11:A50"/>
    <mergeCell ref="A51:B51"/>
  </mergeCells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11월</vt:lpstr>
      <vt:lpstr>10월</vt:lpstr>
      <vt:lpstr>9월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2023-11-30T08:55:11Z</dcterms:modified>
</cp:coreProperties>
</file>