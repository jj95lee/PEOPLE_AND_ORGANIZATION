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월" sheetId="1" r:id="rId4"/>
    <sheet state="visible" name="1월" sheetId="2" r:id="rId5"/>
  </sheets>
  <definedNames/>
  <calcPr/>
  <extLst>
    <ext uri="GoogleSheetsCustomDataVersion1">
      <go:sheetsCustomData xmlns:go="http://customooxmlschemas.google.com/" r:id="rId6" roundtripDataSignature="AMtx7mgy3r057sPdo1MVQWTHg70pWej0NA=="/>
    </ext>
  </extLst>
</workbook>
</file>

<file path=xl/sharedStrings.xml><?xml version="1.0" encoding="utf-8"?>
<sst xmlns="http://schemas.openxmlformats.org/spreadsheetml/2006/main" count="114" uniqueCount="61">
  <si>
    <t>1월</t>
  </si>
  <si>
    <t>날짜</t>
  </si>
  <si>
    <t>02.01</t>
  </si>
  <si>
    <t>02.04</t>
  </si>
  <si>
    <t>02.09</t>
  </si>
  <si>
    <t>02.10</t>
  </si>
  <si>
    <t>02.20</t>
  </si>
  <si>
    <t>누적 점수</t>
  </si>
  <si>
    <t>구분</t>
  </si>
  <si>
    <t>비정기모임</t>
  </si>
  <si>
    <t>2차 정기모임</t>
  </si>
  <si>
    <t>3차 정기모임</t>
  </si>
  <si>
    <t>활동</t>
  </si>
  <si>
    <t>캐리비안베이</t>
  </si>
  <si>
    <t>신촌 칼싸움</t>
  </si>
  <si>
    <t>종각 볼링</t>
  </si>
  <si>
    <t>신촌 술</t>
  </si>
  <si>
    <t>강남 원데이클래스</t>
  </si>
  <si>
    <t>건대 술(다은 생일)</t>
  </si>
  <si>
    <t>주최자</t>
  </si>
  <si>
    <t>이주희</t>
  </si>
  <si>
    <t>홍석범</t>
  </si>
  <si>
    <t>-</t>
  </si>
  <si>
    <t>이규엽</t>
  </si>
  <si>
    <t>이진진</t>
  </si>
  <si>
    <t>운영진</t>
  </si>
  <si>
    <t>백다은</t>
  </si>
  <si>
    <t>오소현</t>
  </si>
  <si>
    <t>활동회원</t>
  </si>
  <si>
    <t>임정연</t>
  </si>
  <si>
    <t>황인우</t>
  </si>
  <si>
    <t>김승현</t>
  </si>
  <si>
    <t>박서현</t>
  </si>
  <si>
    <t>김해찬</t>
  </si>
  <si>
    <t>이원준</t>
  </si>
  <si>
    <t>강석훈</t>
  </si>
  <si>
    <t>윤민식</t>
  </si>
  <si>
    <t>이광민</t>
  </si>
  <si>
    <t>김도현</t>
  </si>
  <si>
    <t>김주곤</t>
  </si>
  <si>
    <t>김태형</t>
  </si>
  <si>
    <t>류혜원</t>
  </si>
  <si>
    <t>유지원</t>
  </si>
  <si>
    <t>이성현</t>
  </si>
  <si>
    <t>이수민</t>
  </si>
  <si>
    <t>이장현</t>
  </si>
  <si>
    <t>이주하</t>
  </si>
  <si>
    <t>정예원</t>
  </si>
  <si>
    <t>주연희</t>
  </si>
  <si>
    <t>최지훈</t>
  </si>
  <si>
    <t>홍지은</t>
  </si>
  <si>
    <t>합계</t>
  </si>
  <si>
    <t>01.14</t>
  </si>
  <si>
    <t>01.18</t>
  </si>
  <si>
    <t>01.23</t>
  </si>
  <si>
    <t>01.27</t>
  </si>
  <si>
    <t>오리엔테이션</t>
  </si>
  <si>
    <t>1차 정기모임</t>
  </si>
  <si>
    <t>강남 술</t>
  </si>
  <si>
    <t>왕십리 보드게임</t>
  </si>
  <si>
    <t>참여 인원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</si>
</sst>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71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57070"/>
      </right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B7B7B"/>
      </right>
      <top style="thin">
        <color rgb="FF757070"/>
      </top>
      <bottom style="thin">
        <color rgb="FFAEABAB"/>
      </bottom>
    </border>
    <border>
      <left/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B7B7B"/>
      </left>
      <right style="thin">
        <color rgb="FF757070"/>
      </right>
      <top style="thin">
        <color rgb="FF757070"/>
      </top>
      <bottom style="thin">
        <color rgb="FFA5A5A5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</border>
    <border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57070"/>
      </right>
    </border>
    <border>
      <left/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57070"/>
      </right>
      <top style="thin">
        <color rgb="FFA5A5A5"/>
      </top>
      <bottom/>
    </border>
    <border>
      <left style="thin">
        <color rgb="FF7B7B7B"/>
      </left>
      <right style="thin">
        <color rgb="FF757070"/>
      </right>
      <top style="thin">
        <color rgb="FFA5A5A5"/>
      </top>
      <bottom style="thin">
        <color rgb="FFA5A5A5"/>
      </bottom>
    </border>
    <border>
      <left style="thin">
        <color rgb="FF757070"/>
      </left>
      <right style="thin">
        <color rgb="FF757070"/>
      </right>
      <bottom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B7B7B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7B7B7B"/>
      </bottom>
    </border>
    <border>
      <left/>
      <right style="thin">
        <color rgb="FFAEABAB"/>
      </right>
      <top style="thin">
        <color rgb="FFAEABAB"/>
      </top>
      <bottom style="thin">
        <color rgb="FF7B7B7B"/>
      </bottom>
    </border>
    <border>
      <left/>
      <right style="thin">
        <color rgb="FF7B7B7B"/>
      </right>
      <top/>
      <bottom style="thin">
        <color rgb="FFAEABAB"/>
      </bottom>
    </border>
    <border>
      <left style="thin">
        <color rgb="FF757070"/>
      </left>
      <right style="thin">
        <color rgb="FF757070"/>
      </right>
      <top/>
      <bottom style="thin">
        <color rgb="FFAEABAB"/>
      </bottom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AEABAB"/>
      </bottom>
    </border>
    <border>
      <left/>
      <right style="thin">
        <color rgb="FF7B7B7B"/>
      </right>
      <top style="thin">
        <color rgb="FF7B7B7B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757070"/>
      </top>
      <bottom/>
    </border>
    <border>
      <left style="thin">
        <color rgb="FF7B7B7B"/>
      </left>
      <right style="thin">
        <color rgb="FF7B7B7B"/>
      </right>
      <top style="thin">
        <color rgb="FFAEABAB"/>
      </top>
      <bottom style="thin">
        <color rgb="FFAEABAB"/>
      </bottom>
    </border>
    <border>
      <right style="thin">
        <color rgb="FF7B7B7B"/>
      </righ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A5A5A5"/>
      </top>
    </border>
    <border>
      <left/>
      <right style="thin">
        <color rgb="FF7B7B7B"/>
      </righ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A5A5A5"/>
      </top>
      <bottom/>
    </border>
    <border>
      <left style="thin">
        <color rgb="FF7B7B7B"/>
      </left>
      <right style="thin">
        <color rgb="FF7B7B7B"/>
      </right>
      <top style="thin">
        <color rgb="FFA5A5A5"/>
      </top>
      <bottom style="thin">
        <color rgb="FFA5A5A5"/>
      </bottom>
    </border>
    <border>
      <left/>
      <right style="thin">
        <color rgb="FFAEABAB"/>
      </right>
      <top/>
      <bottom/>
    </border>
    <border>
      <left style="thin">
        <color rgb="FF7B7B7B"/>
      </left>
      <right style="thin">
        <color rgb="FF7B7B7B"/>
      </right>
    </border>
    <border>
      <left/>
      <right/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AEABAB"/>
      </top>
      <bottom style="thin">
        <color rgb="FF757070"/>
      </bottom>
    </border>
    <border>
      <left/>
      <right style="thin">
        <color rgb="FF7B7B7B"/>
      </right>
      <top style="thin">
        <color rgb="FFAEABAB"/>
      </top>
      <bottom style="thin">
        <color rgb="FF757070"/>
      </bottom>
    </border>
    <border>
      <left style="thin">
        <color rgb="FF7B7B7B"/>
      </left>
      <right style="thin">
        <color rgb="FF7B7B7B"/>
      </right>
      <top style="thin">
        <color rgb="FFA5A5A5"/>
      </top>
      <bottom style="thin">
        <color rgb="FF757070"/>
      </bottom>
    </border>
    <border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757070"/>
      </top>
      <bottom style="thin">
        <color rgb="FFA5A5A5"/>
      </bottom>
    </border>
    <border>
      <left style="thin">
        <color rgb="FF757070"/>
      </left>
      <right style="thin">
        <color rgb="FFAEABAB"/>
      </right>
      <top style="thin">
        <color rgb="FFAEABAB"/>
      </top>
      <bottom/>
    </border>
    <border>
      <left style="thin">
        <color rgb="FF757070"/>
      </left>
      <right style="thin">
        <color rgb="FF7B7B7B"/>
      </right>
      <top style="thin">
        <color rgb="FFAEABAB"/>
      </top>
      <bottom/>
    </border>
    <border>
      <left/>
      <right style="thin">
        <color rgb="FFAEABAB"/>
      </right>
      <top style="thin">
        <color rgb="FFAEABAB"/>
      </top>
      <bottom/>
    </border>
    <border>
      <left style="thin">
        <color rgb="FF7B7B7B"/>
      </left>
      <right style="thin">
        <color rgb="FF7B7B7B"/>
      </right>
      <top/>
      <bottom style="thin">
        <color rgb="FF7B7B7B"/>
      </bottom>
    </border>
    <border>
      <left style="thin">
        <color rgb="FF757070"/>
      </left>
      <top style="thin">
        <color rgb="FF7B7B7B"/>
      </top>
      <bottom style="thin">
        <color rgb="FF757070"/>
      </bottom>
    </border>
    <border>
      <right style="thin">
        <color rgb="FF7B7B7B"/>
      </right>
      <top style="thin">
        <color rgb="FF7B7B7B"/>
      </top>
      <bottom style="thin">
        <color rgb="FF757070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57070"/>
      </bottom>
    </border>
    <border>
      <left/>
      <right/>
      <top style="thin">
        <color rgb="FF7B7B7B"/>
      </top>
      <bottom style="thin">
        <color rgb="FF757070"/>
      </bottom>
    </border>
    <border>
      <left style="thin">
        <color rgb="FF7B7B7B"/>
      </left>
      <top style="thin">
        <color rgb="FF7B7B7B"/>
      </top>
    </border>
    <border>
      <left style="thin">
        <color rgb="FF757070"/>
      </left>
      <right style="thin">
        <color rgb="FF7B7B7B"/>
      </right>
      <top style="thin">
        <color rgb="FF757070"/>
      </top>
    </border>
    <border>
      <left style="thin">
        <color rgb="FF757070"/>
      </left>
      <right style="thin">
        <color rgb="FF7B7B7B"/>
      </right>
    </border>
    <border>
      <left style="thin">
        <color rgb="FF757070"/>
      </left>
      <right style="thin">
        <color rgb="FF7B7B7B"/>
      </right>
      <bottom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AEABAB"/>
      </left>
      <right/>
      <top style="thin">
        <color rgb="FF757070"/>
      </top>
      <bottom style="thin">
        <color rgb="FFAEABAB"/>
      </bottom>
    </border>
    <border>
      <left style="thin">
        <color rgb="FF7B7B7B"/>
      </left>
      <right style="thin">
        <color rgb="FF7B7B7B"/>
      </right>
      <top style="thin">
        <color rgb="FF757070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top style="thin">
        <color rgb="FFAEABAB"/>
      </top>
      <bottom style="thin">
        <color rgb="FFAEABAB"/>
      </bottom>
    </border>
    <border>
      <left style="thin">
        <color rgb="FFAEABAB"/>
      </left>
      <right/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B7B7B"/>
      </bottom>
    </border>
    <border>
      <left style="thin">
        <color rgb="FFAEABAB"/>
      </left>
      <right/>
      <top style="thin">
        <color rgb="FFAEABAB"/>
      </top>
      <bottom style="thin">
        <color rgb="FF7B7B7B"/>
      </bottom>
    </border>
    <border>
      <left style="thin">
        <color rgb="FF7B7B7B"/>
      </left>
      <right style="thin">
        <color rgb="FF7B7B7B"/>
      </right>
      <top style="thin">
        <color rgb="FFAEABAB"/>
      </top>
      <bottom style="thin">
        <color rgb="FF7B7B7B"/>
      </bottom>
    </border>
    <border>
      <left style="thin">
        <color rgb="FFAEABAB"/>
      </left>
      <right style="thin">
        <color rgb="FFAEABAB"/>
      </right>
      <top/>
      <bottom style="thin">
        <color rgb="FFAEABAB"/>
      </bottom>
    </border>
    <border>
      <left style="thin">
        <color rgb="FFAEABAB"/>
      </left>
      <right/>
      <top/>
      <bottom style="thin">
        <color rgb="FFAEABAB"/>
      </bottom>
    </border>
    <border>
      <left style="thin">
        <color rgb="FF757070"/>
      </left>
      <right style="thin">
        <color rgb="FF7B7B7B"/>
      </right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/>
    </border>
    <border>
      <left/>
      <right style="thin">
        <color rgb="FFAEABAB"/>
      </right>
      <top style="thin">
        <color rgb="FF7B7B7B"/>
      </top>
      <bottom style="thin">
        <color rgb="FF757070"/>
      </bottom>
    </border>
    <border>
      <left style="thin">
        <color rgb="FFAEABAB"/>
      </left>
      <right style="thin">
        <color rgb="FFAEABAB"/>
      </right>
      <top style="thin">
        <color rgb="FF7B7B7B"/>
      </top>
      <bottom style="thin">
        <color rgb="FF757070"/>
      </bottom>
    </border>
    <border>
      <left style="thin">
        <color rgb="FFAEABAB"/>
      </left>
      <right style="thin">
        <color rgb="FF7B7B7B"/>
      </right>
      <top style="thin">
        <color rgb="FF7B7B7B"/>
      </top>
      <bottom style="thin">
        <color rgb="FF75707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quotePrefix="1" borderId="2" fillId="3" fontId="1" numFmtId="0" xfId="0" applyAlignment="1" applyBorder="1" applyFont="1">
      <alignment horizontal="center" vertical="center"/>
    </xf>
    <xf quotePrefix="1" borderId="2" fillId="3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4" fontId="1" numFmtId="0" xfId="0" applyAlignment="1" applyBorder="1" applyFill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6" fillId="4" fontId="1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7" fillId="7" fontId="1" numFmtId="0" xfId="0" applyAlignment="1" applyBorder="1" applyFill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vertical="center"/>
    </xf>
    <xf borderId="10" fillId="7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1" fillId="7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16" fillId="7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6" fontId="1" numFmtId="0" xfId="0" applyAlignment="1" applyBorder="1" applyFont="1">
      <alignment horizontal="center" vertical="center"/>
    </xf>
    <xf borderId="20" fillId="7" fontId="1" numFmtId="0" xfId="0" applyAlignment="1" applyBorder="1" applyFont="1">
      <alignment horizontal="center" vertical="center"/>
    </xf>
    <xf borderId="21" fillId="7" fontId="1" numFmtId="0" xfId="0" applyAlignment="1" applyBorder="1" applyFont="1">
      <alignment horizontal="center" vertical="center"/>
    </xf>
    <xf borderId="22" fillId="7" fontId="1" numFmtId="0" xfId="0" applyAlignment="1" applyBorder="1" applyFont="1">
      <alignment horizontal="center" vertical="center"/>
    </xf>
    <xf borderId="23" fillId="7" fontId="1" numFmtId="0" xfId="0" applyAlignment="1" applyBorder="1" applyFont="1">
      <alignment horizontal="center" vertical="center"/>
    </xf>
    <xf borderId="24" fillId="8" fontId="1" numFmtId="0" xfId="0" applyAlignment="1" applyBorder="1" applyFill="1" applyFont="1">
      <alignment horizontal="center" vertical="center"/>
    </xf>
    <xf borderId="25" fillId="9" fontId="1" numFmtId="0" xfId="0" applyAlignment="1" applyBorder="1" applyFill="1" applyFont="1">
      <alignment horizontal="center" vertical="center"/>
    </xf>
    <xf borderId="26" fillId="9" fontId="1" numFmtId="0" xfId="0" applyAlignment="1" applyBorder="1" applyFont="1">
      <alignment horizontal="center" vertical="center"/>
    </xf>
    <xf borderId="27" fillId="9" fontId="1" numFmtId="0" xfId="0" applyAlignment="1" applyBorder="1" applyFont="1">
      <alignment horizontal="center" vertical="center"/>
    </xf>
    <xf borderId="23" fillId="9" fontId="1" numFmtId="0" xfId="0" applyAlignment="1" applyBorder="1" applyFont="1">
      <alignment horizontal="center" vertical="center"/>
    </xf>
    <xf borderId="28" fillId="9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center" vertical="center"/>
    </xf>
    <xf borderId="29" fillId="9" fontId="1" numFmtId="0" xfId="0" applyAlignment="1" applyBorder="1" applyFont="1">
      <alignment horizontal="center" vertical="center"/>
    </xf>
    <xf borderId="32" fillId="9" fontId="1" numFmtId="0" xfId="0" applyAlignment="1" applyBorder="1" applyFont="1">
      <alignment horizontal="center" vertical="center"/>
    </xf>
    <xf borderId="33" fillId="9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9" fontId="1" numFmtId="0" xfId="0" applyAlignment="1" applyBorder="1" applyFont="1">
      <alignment horizontal="center" vertical="center"/>
    </xf>
    <xf borderId="34" fillId="9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9" fontId="1" numFmtId="0" xfId="0" applyAlignment="1" applyBorder="1" applyFont="1">
      <alignment horizontal="center" vertical="center"/>
    </xf>
    <xf borderId="38" fillId="9" fontId="1" numFmtId="0" xfId="0" applyAlignment="1" applyBorder="1" applyFont="1">
      <alignment horizontal="center" vertical="center"/>
    </xf>
    <xf borderId="39" fillId="9" fontId="1" numFmtId="0" xfId="0" applyAlignment="1" applyBorder="1" applyFont="1">
      <alignment horizontal="center" vertical="center"/>
    </xf>
    <xf borderId="40" fillId="9" fontId="1" numFmtId="0" xfId="0" applyAlignment="1" applyBorder="1" applyFont="1">
      <alignment horizontal="center" vertical="center"/>
    </xf>
    <xf borderId="2" fillId="10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12" fillId="11" fontId="1" numFmtId="0" xfId="0" applyAlignment="1" applyBorder="1" applyFill="1" applyFont="1">
      <alignment horizontal="center" vertical="center"/>
    </xf>
    <xf borderId="15" fillId="11" fontId="1" numFmtId="0" xfId="0" applyAlignment="1" applyBorder="1" applyFont="1">
      <alignment horizontal="center" vertical="center"/>
    </xf>
    <xf borderId="11" fillId="11" fontId="1" numFmtId="0" xfId="0" applyAlignment="1" applyBorder="1" applyFont="1">
      <alignment horizontal="center" vertical="center"/>
    </xf>
    <xf borderId="34" fillId="11" fontId="1" numFmtId="0" xfId="0" applyAlignment="1" applyBorder="1" applyFont="1">
      <alignment horizontal="center" vertical="center"/>
    </xf>
    <xf borderId="33" fillId="11" fontId="1" numFmtId="0" xfId="0" applyAlignment="1" applyBorder="1" applyFont="1">
      <alignment horizontal="center" vertical="center"/>
    </xf>
    <xf borderId="6" fillId="10" fontId="1" numFmtId="0" xfId="0" applyAlignment="1" applyBorder="1" applyFont="1">
      <alignment horizontal="center" vertical="center"/>
    </xf>
    <xf borderId="43" fillId="11" fontId="1" numFmtId="0" xfId="0" applyAlignment="1" applyBorder="1" applyFont="1">
      <alignment horizontal="center" vertical="center"/>
    </xf>
    <xf borderId="44" fillId="11" fontId="1" numFmtId="0" xfId="0" applyAlignment="1" applyBorder="1" applyFont="1">
      <alignment horizontal="center" vertical="center"/>
    </xf>
    <xf borderId="45" fillId="11" fontId="1" numFmtId="0" xfId="0" applyAlignment="1" applyBorder="1" applyFont="1">
      <alignment horizontal="center" vertical="center"/>
    </xf>
    <xf borderId="21" fillId="11" fontId="1" numFmtId="0" xfId="0" applyAlignment="1" applyBorder="1" applyFont="1">
      <alignment horizontal="center" vertical="center"/>
    </xf>
    <xf borderId="46" fillId="11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vertical="center"/>
    </xf>
    <xf borderId="48" fillId="0" fontId="3" numFmtId="0" xfId="0" applyAlignment="1" applyBorder="1" applyFont="1">
      <alignment vertical="center"/>
    </xf>
    <xf borderId="49" fillId="4" fontId="1" numFmtId="0" xfId="0" applyAlignment="1" applyBorder="1" applyFont="1">
      <alignment horizontal="center" vertical="center"/>
    </xf>
    <xf borderId="50" fillId="4" fontId="1" numFmtId="0" xfId="0" applyAlignment="1" applyBorder="1" applyFont="1">
      <alignment horizontal="center" vertical="center"/>
    </xf>
    <xf borderId="51" fillId="0" fontId="4" numFmtId="0" xfId="0" applyAlignment="1" applyBorder="1" applyFont="1">
      <alignment vertical="center"/>
    </xf>
    <xf borderId="52" fillId="2" fontId="1" numFmtId="0" xfId="0" applyAlignment="1" applyBorder="1" applyFont="1">
      <alignment horizontal="center" vertical="center"/>
    </xf>
    <xf borderId="53" fillId="0" fontId="3" numFmtId="0" xfId="0" applyAlignment="1" applyBorder="1" applyFont="1">
      <alignment vertical="center"/>
    </xf>
    <xf borderId="54" fillId="0" fontId="3" numFmtId="0" xfId="0" applyAlignment="1" applyBorder="1" applyFont="1">
      <alignment vertical="center"/>
    </xf>
    <xf borderId="55" fillId="7" fontId="1" numFmtId="0" xfId="0" applyAlignment="1" applyBorder="1" applyFont="1">
      <alignment horizontal="center" vertical="center"/>
    </xf>
    <xf borderId="56" fillId="7" fontId="1" numFmtId="0" xfId="0" applyAlignment="1" applyBorder="1" applyFont="1">
      <alignment horizontal="center" vertical="center"/>
    </xf>
    <xf borderId="57" fillId="7" fontId="1" numFmtId="0" xfId="0" applyAlignment="1" applyBorder="1" applyFont="1">
      <alignment horizontal="center" vertical="center"/>
    </xf>
    <xf borderId="58" fillId="0" fontId="1" numFmtId="0" xfId="0" applyAlignment="1" applyBorder="1" applyFont="1">
      <alignment horizontal="center" vertical="center"/>
    </xf>
    <xf borderId="59" fillId="0" fontId="1" numFmtId="0" xfId="0" applyAlignment="1" applyBorder="1" applyFont="1">
      <alignment horizontal="center" vertical="center"/>
    </xf>
    <xf borderId="58" fillId="7" fontId="1" numFmtId="0" xfId="0" applyAlignment="1" applyBorder="1" applyFont="1">
      <alignment horizontal="center" vertical="center"/>
    </xf>
    <xf borderId="60" fillId="7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61" fillId="7" fontId="1" numFmtId="0" xfId="0" applyAlignment="1" applyBorder="1" applyFont="1">
      <alignment horizontal="center" vertical="center"/>
    </xf>
    <xf borderId="62" fillId="7" fontId="1" numFmtId="0" xfId="0" applyAlignment="1" applyBorder="1" applyFont="1">
      <alignment horizontal="center" vertical="center"/>
    </xf>
    <xf borderId="63" fillId="7" fontId="1" numFmtId="0" xfId="0" applyAlignment="1" applyBorder="1" applyFont="1">
      <alignment horizontal="center" vertical="center"/>
    </xf>
    <xf borderId="64" fillId="9" fontId="1" numFmtId="0" xfId="0" applyAlignment="1" applyBorder="1" applyFont="1">
      <alignment horizontal="center" vertical="center"/>
    </xf>
    <xf borderId="65" fillId="9" fontId="1" numFmtId="0" xfId="0" applyAlignment="1" applyBorder="1" applyFont="1">
      <alignment horizontal="center" vertical="center"/>
    </xf>
    <xf borderId="58" fillId="9" fontId="1" numFmtId="0" xfId="0" applyAlignment="1" applyBorder="1" applyFont="1">
      <alignment horizontal="center" vertical="center"/>
    </xf>
    <xf borderId="60" fillId="9" fontId="1" numFmtId="0" xfId="0" applyAlignment="1" applyBorder="1" applyFont="1">
      <alignment horizontal="center" vertical="center"/>
    </xf>
    <xf borderId="63" fillId="9" fontId="1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vertical="center"/>
    </xf>
    <xf borderId="66" fillId="0" fontId="1" numFmtId="0" xfId="0" applyAlignment="1" applyBorder="1" applyFont="1">
      <alignment horizontal="center" vertical="center"/>
    </xf>
    <xf borderId="58" fillId="11" fontId="1" numFmtId="0" xfId="0" applyAlignment="1" applyBorder="1" applyFont="1">
      <alignment horizontal="center" vertical="center"/>
    </xf>
    <xf borderId="67" fillId="11" fontId="1" numFmtId="0" xfId="0" applyAlignment="1" applyBorder="1" applyFont="1">
      <alignment horizontal="center" vertical="center"/>
    </xf>
    <xf borderId="68" fillId="4" fontId="1" numFmtId="0" xfId="0" applyAlignment="1" applyBorder="1" applyFont="1">
      <alignment horizontal="center" vertical="center"/>
    </xf>
    <xf borderId="69" fillId="4" fontId="1" numFmtId="0" xfId="0" applyAlignment="1" applyBorder="1" applyFont="1">
      <alignment horizontal="center" vertical="center"/>
    </xf>
    <xf borderId="70" fillId="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8" width="18.43"/>
    <col customWidth="1" min="9" max="9" width="15.29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1" t="s">
        <v>7</v>
      </c>
    </row>
    <row r="2">
      <c r="A2" s="5"/>
      <c r="B2" s="6" t="s">
        <v>8</v>
      </c>
      <c r="C2" s="6" t="s">
        <v>9</v>
      </c>
      <c r="D2" s="6" t="s">
        <v>9</v>
      </c>
      <c r="E2" s="7" t="s">
        <v>10</v>
      </c>
      <c r="F2" s="6" t="s">
        <v>9</v>
      </c>
      <c r="G2" s="7" t="s">
        <v>11</v>
      </c>
      <c r="H2" s="6" t="s">
        <v>9</v>
      </c>
      <c r="I2" s="5"/>
    </row>
    <row r="3">
      <c r="A3" s="5"/>
      <c r="B3" s="8" t="s">
        <v>12</v>
      </c>
      <c r="C3" s="8" t="s">
        <v>13</v>
      </c>
      <c r="D3" s="9" t="s">
        <v>14</v>
      </c>
      <c r="E3" s="10" t="s">
        <v>15</v>
      </c>
      <c r="F3" s="8" t="s">
        <v>16</v>
      </c>
      <c r="G3" s="10" t="s">
        <v>17</v>
      </c>
      <c r="H3" s="8" t="s">
        <v>18</v>
      </c>
      <c r="I3" s="5"/>
    </row>
    <row r="4">
      <c r="A4" s="11"/>
      <c r="B4" s="12" t="s">
        <v>19</v>
      </c>
      <c r="C4" s="12" t="s">
        <v>20</v>
      </c>
      <c r="D4" s="12" t="s">
        <v>21</v>
      </c>
      <c r="E4" s="13" t="s">
        <v>22</v>
      </c>
      <c r="F4" s="12" t="s">
        <v>23</v>
      </c>
      <c r="G4" s="13" t="s">
        <v>22</v>
      </c>
      <c r="H4" s="12" t="s">
        <v>24</v>
      </c>
      <c r="I4" s="11"/>
    </row>
    <row r="5">
      <c r="A5" s="14" t="s">
        <v>25</v>
      </c>
      <c r="B5" s="15" t="s">
        <v>24</v>
      </c>
      <c r="C5" s="16"/>
      <c r="D5" s="16">
        <v>1.0</v>
      </c>
      <c r="E5" s="16">
        <v>3.0</v>
      </c>
      <c r="F5" s="17">
        <v>1.0</v>
      </c>
      <c r="G5" s="18">
        <v>5.0</v>
      </c>
      <c r="H5" s="17">
        <v>2.0</v>
      </c>
      <c r="I5" s="19">
        <f>SUM(C5:H5)+'1월'!G5</f>
        <v>17</v>
      </c>
    </row>
    <row r="6">
      <c r="A6" s="5"/>
      <c r="B6" s="20" t="s">
        <v>26</v>
      </c>
      <c r="C6" s="21"/>
      <c r="D6" s="21"/>
      <c r="E6" s="21"/>
      <c r="F6" s="22"/>
      <c r="G6" s="23">
        <v>5.0</v>
      </c>
      <c r="H6" s="22">
        <v>1.0</v>
      </c>
      <c r="I6" s="24">
        <f>SUM(C6:H6)+'1월'!G6</f>
        <v>13</v>
      </c>
    </row>
    <row r="7">
      <c r="A7" s="5"/>
      <c r="B7" s="20" t="s">
        <v>21</v>
      </c>
      <c r="C7" s="25"/>
      <c r="D7" s="25">
        <v>2.0</v>
      </c>
      <c r="E7" s="25">
        <v>3.0</v>
      </c>
      <c r="F7" s="26"/>
      <c r="G7" s="27">
        <v>5.0</v>
      </c>
      <c r="H7" s="26">
        <v>1.0</v>
      </c>
      <c r="I7" s="28">
        <f>SUM(C7:H7)+'1월'!G7</f>
        <v>16</v>
      </c>
    </row>
    <row r="8">
      <c r="A8" s="5"/>
      <c r="B8" s="20" t="s">
        <v>27</v>
      </c>
      <c r="C8" s="21"/>
      <c r="D8" s="21"/>
      <c r="E8" s="21">
        <v>3.0</v>
      </c>
      <c r="F8" s="22"/>
      <c r="G8" s="23"/>
      <c r="H8" s="22"/>
      <c r="I8" s="29">
        <f>SUM(C8:H8)+'1월'!G8</f>
        <v>6</v>
      </c>
    </row>
    <row r="9">
      <c r="A9" s="30"/>
      <c r="B9" s="31" t="s">
        <v>23</v>
      </c>
      <c r="C9" s="32"/>
      <c r="D9" s="32">
        <v>1.0</v>
      </c>
      <c r="E9" s="32">
        <v>1.0</v>
      </c>
      <c r="F9" s="33">
        <v>2.0</v>
      </c>
      <c r="G9" s="34"/>
      <c r="H9" s="33"/>
      <c r="I9" s="35">
        <f>SUM(C9:H9)+'1월'!G9</f>
        <v>9</v>
      </c>
    </row>
    <row r="10">
      <c r="A10" s="14" t="s">
        <v>28</v>
      </c>
      <c r="B10" s="36" t="s">
        <v>29</v>
      </c>
      <c r="C10" s="37"/>
      <c r="D10" s="38"/>
      <c r="E10" s="38"/>
      <c r="F10" s="39"/>
      <c r="G10" s="39">
        <v>5.0</v>
      </c>
      <c r="H10" s="40">
        <v>1.0</v>
      </c>
      <c r="I10" s="41">
        <f>SUM(C10:H10)+'1월'!G10</f>
        <v>8</v>
      </c>
    </row>
    <row r="11">
      <c r="A11" s="5"/>
      <c r="B11" s="42" t="s">
        <v>30</v>
      </c>
      <c r="C11" s="22"/>
      <c r="D11" s="43"/>
      <c r="E11" s="43">
        <v>1.0</v>
      </c>
      <c r="F11" s="44"/>
      <c r="G11" s="23"/>
      <c r="H11" s="22"/>
      <c r="I11" s="45">
        <f>SUM(C11:H11)+'1월'!G11</f>
        <v>5</v>
      </c>
    </row>
    <row r="12">
      <c r="A12" s="5"/>
      <c r="B12" s="42" t="s">
        <v>31</v>
      </c>
      <c r="C12" s="46">
        <v>1.0</v>
      </c>
      <c r="D12" s="47"/>
      <c r="E12" s="47">
        <v>3.0</v>
      </c>
      <c r="F12" s="48"/>
      <c r="G12" s="48"/>
      <c r="H12" s="48">
        <v>1.0</v>
      </c>
      <c r="I12" s="49">
        <f>SUM(C12:H12)+'1월'!G12</f>
        <v>13</v>
      </c>
    </row>
    <row r="13">
      <c r="A13" s="5"/>
      <c r="B13" s="42" t="s">
        <v>32</v>
      </c>
      <c r="C13" s="22"/>
      <c r="D13" s="43"/>
      <c r="E13" s="43"/>
      <c r="F13" s="44"/>
      <c r="G13" s="44">
        <v>1.0</v>
      </c>
      <c r="H13" s="44">
        <v>1.0</v>
      </c>
      <c r="I13" s="50">
        <f>SUM(C13:H13)+'1월'!G13</f>
        <v>2</v>
      </c>
    </row>
    <row r="14">
      <c r="A14" s="5"/>
      <c r="B14" s="42" t="s">
        <v>33</v>
      </c>
      <c r="C14" s="46"/>
      <c r="D14" s="47">
        <v>1.0</v>
      </c>
      <c r="E14" s="47">
        <v>1.0</v>
      </c>
      <c r="F14" s="48"/>
      <c r="G14" s="48"/>
      <c r="H14" s="48"/>
      <c r="I14" s="51">
        <f>SUM(C13:H13)+'1월'!G13</f>
        <v>2</v>
      </c>
    </row>
    <row r="15">
      <c r="A15" s="5"/>
      <c r="B15" s="42" t="s">
        <v>34</v>
      </c>
      <c r="C15" s="22"/>
      <c r="D15" s="43"/>
      <c r="E15" s="43">
        <v>1.0</v>
      </c>
      <c r="F15" s="44"/>
      <c r="G15" s="44"/>
      <c r="H15" s="44"/>
      <c r="I15" s="50">
        <f>SUM(C15:H15)+'1월'!G15</f>
        <v>4</v>
      </c>
    </row>
    <row r="16">
      <c r="A16" s="5"/>
      <c r="B16" s="42" t="s">
        <v>35</v>
      </c>
      <c r="C16" s="46"/>
      <c r="D16" s="47"/>
      <c r="E16" s="47"/>
      <c r="F16" s="48"/>
      <c r="G16" s="48"/>
      <c r="H16" s="48"/>
      <c r="I16" s="52">
        <f>SUM(C16:H16)+'1월'!G16</f>
        <v>0</v>
      </c>
    </row>
    <row r="17">
      <c r="A17" s="5"/>
      <c r="B17" s="42" t="s">
        <v>36</v>
      </c>
      <c r="C17" s="22"/>
      <c r="D17" s="43"/>
      <c r="E17" s="43">
        <v>3.0</v>
      </c>
      <c r="F17" s="44"/>
      <c r="G17" s="44">
        <v>5.0</v>
      </c>
      <c r="H17" s="44">
        <v>1.0</v>
      </c>
      <c r="I17" s="53">
        <f>SUM(C17:H17)+'1월'!G17</f>
        <v>18</v>
      </c>
    </row>
    <row r="18">
      <c r="A18" s="5"/>
      <c r="B18" s="42" t="s">
        <v>37</v>
      </c>
      <c r="C18" s="46"/>
      <c r="D18" s="54"/>
      <c r="E18" s="55"/>
      <c r="F18" s="48"/>
      <c r="G18" s="56"/>
      <c r="H18" s="48"/>
      <c r="I18" s="57">
        <f>SUM(C18:H18)+'1월'!G18</f>
        <v>4</v>
      </c>
    </row>
    <row r="19">
      <c r="A19" s="5"/>
      <c r="B19" s="58" t="s">
        <v>38</v>
      </c>
      <c r="C19" s="59"/>
      <c r="D19" s="60"/>
      <c r="E19" s="61"/>
      <c r="F19" s="59"/>
      <c r="G19" s="60"/>
      <c r="H19" s="59"/>
      <c r="I19" s="62">
        <f>SUM(C19:H19)+'1월'!G19</f>
        <v>3</v>
      </c>
    </row>
    <row r="20">
      <c r="A20" s="5"/>
      <c r="B20" s="63" t="s">
        <v>39</v>
      </c>
      <c r="C20" s="64"/>
      <c r="D20" s="65"/>
      <c r="E20" s="66">
        <v>1.0</v>
      </c>
      <c r="F20" s="64"/>
      <c r="G20" s="65">
        <v>5.0</v>
      </c>
      <c r="H20" s="64"/>
      <c r="I20" s="67">
        <f>SUM(C20:H20)+'1월'!G20</f>
        <v>13</v>
      </c>
    </row>
    <row r="21" ht="15.75" customHeight="1">
      <c r="A21" s="5"/>
      <c r="B21" s="63" t="s">
        <v>40</v>
      </c>
      <c r="C21" s="22"/>
      <c r="D21" s="23"/>
      <c r="E21" s="21">
        <v>3.0</v>
      </c>
      <c r="F21" s="22"/>
      <c r="G21" s="23"/>
      <c r="H21" s="22"/>
      <c r="I21" s="53">
        <f>SUM(C21:H21)+'1월'!G21</f>
        <v>6</v>
      </c>
    </row>
    <row r="22" ht="15.75" customHeight="1">
      <c r="A22" s="5"/>
      <c r="B22" s="63" t="s">
        <v>41</v>
      </c>
      <c r="C22" s="64"/>
      <c r="D22" s="65"/>
      <c r="E22" s="66"/>
      <c r="F22" s="64"/>
      <c r="G22" s="65">
        <v>5.0</v>
      </c>
      <c r="H22" s="64"/>
      <c r="I22" s="68">
        <f>SUM(C22:H22)+'1월'!G22</f>
        <v>8</v>
      </c>
    </row>
    <row r="23" ht="15.75" customHeight="1">
      <c r="A23" s="5"/>
      <c r="B23" s="63" t="s">
        <v>42</v>
      </c>
      <c r="C23" s="22"/>
      <c r="D23" s="23"/>
      <c r="E23" s="21"/>
      <c r="F23" s="22"/>
      <c r="G23" s="23"/>
      <c r="H23" s="22"/>
      <c r="I23" s="45">
        <f>SUM(C23:H23)+'1월'!G23</f>
        <v>0</v>
      </c>
    </row>
    <row r="24" ht="15.75" customHeight="1">
      <c r="A24" s="5"/>
      <c r="B24" s="63" t="s">
        <v>43</v>
      </c>
      <c r="C24" s="64"/>
      <c r="D24" s="65"/>
      <c r="E24" s="66"/>
      <c r="F24" s="64"/>
      <c r="G24" s="65"/>
      <c r="H24" s="64">
        <v>1.0</v>
      </c>
      <c r="I24" s="68">
        <f>SUM(C24:H24)+'1월'!G24</f>
        <v>8</v>
      </c>
    </row>
    <row r="25" ht="15.75" customHeight="1">
      <c r="A25" s="5"/>
      <c r="B25" s="63" t="s">
        <v>44</v>
      </c>
      <c r="C25" s="22"/>
      <c r="D25" s="23"/>
      <c r="E25" s="21">
        <v>3.0</v>
      </c>
      <c r="F25" s="22"/>
      <c r="G25" s="23">
        <v>1.0</v>
      </c>
      <c r="H25" s="22"/>
      <c r="I25" s="50">
        <f>SUM(C25:H25)+'1월'!G25</f>
        <v>6</v>
      </c>
    </row>
    <row r="26" ht="15.75" customHeight="1">
      <c r="A26" s="5"/>
      <c r="B26" s="63" t="s">
        <v>45</v>
      </c>
      <c r="C26" s="66"/>
      <c r="D26" s="66"/>
      <c r="E26" s="66"/>
      <c r="F26" s="64"/>
      <c r="G26" s="65">
        <v>5.0</v>
      </c>
      <c r="H26" s="64"/>
      <c r="I26" s="67">
        <f>SUM(C26:H26)+'1월'!G26</f>
        <v>8</v>
      </c>
    </row>
    <row r="27" ht="15.75" customHeight="1">
      <c r="A27" s="5"/>
      <c r="B27" s="63" t="s">
        <v>46</v>
      </c>
      <c r="C27" s="21"/>
      <c r="D27" s="21"/>
      <c r="E27" s="21">
        <v>1.0</v>
      </c>
      <c r="F27" s="22"/>
      <c r="G27" s="23">
        <v>5.0</v>
      </c>
      <c r="H27" s="22"/>
      <c r="I27" s="53">
        <f>SUM(C27:H27)+'1월'!G27</f>
        <v>11</v>
      </c>
    </row>
    <row r="28" ht="15.75" customHeight="1">
      <c r="A28" s="5"/>
      <c r="B28" s="63" t="s">
        <v>20</v>
      </c>
      <c r="C28" s="66">
        <v>2.0</v>
      </c>
      <c r="D28" s="66"/>
      <c r="E28" s="66"/>
      <c r="F28" s="64">
        <v>1.0</v>
      </c>
      <c r="G28" s="65"/>
      <c r="H28" s="64">
        <v>1.0</v>
      </c>
      <c r="I28" s="67">
        <f>SUM(C28:H28)+'1월'!G28</f>
        <v>9</v>
      </c>
    </row>
    <row r="29" ht="15.75" customHeight="1">
      <c r="A29" s="5"/>
      <c r="B29" s="63" t="s">
        <v>47</v>
      </c>
      <c r="C29" s="21"/>
      <c r="D29" s="21"/>
      <c r="E29" s="21">
        <v>3.0</v>
      </c>
      <c r="F29" s="22"/>
      <c r="G29" s="23"/>
      <c r="H29" s="22"/>
      <c r="I29" s="53">
        <f>SUM(C29:H29)+'1월'!G29</f>
        <v>9</v>
      </c>
    </row>
    <row r="30" ht="15.75" customHeight="1">
      <c r="A30" s="5"/>
      <c r="B30" s="63" t="s">
        <v>48</v>
      </c>
      <c r="C30" s="66"/>
      <c r="D30" s="66"/>
      <c r="E30" s="66">
        <v>3.0</v>
      </c>
      <c r="F30" s="64"/>
      <c r="G30" s="65"/>
      <c r="H30" s="64"/>
      <c r="I30" s="68">
        <f>SUM(C30:H30)+'1월'!G30</f>
        <v>3</v>
      </c>
    </row>
    <row r="31" ht="15.75" customHeight="1">
      <c r="A31" s="5"/>
      <c r="B31" s="63" t="s">
        <v>49</v>
      </c>
      <c r="C31" s="21"/>
      <c r="D31" s="21"/>
      <c r="E31" s="21">
        <v>3.0</v>
      </c>
      <c r="F31" s="22"/>
      <c r="G31" s="23">
        <v>5.0</v>
      </c>
      <c r="H31" s="22">
        <v>1.0</v>
      </c>
      <c r="I31" s="50">
        <f>SUM(C31:H31)+'1월'!G31</f>
        <v>14</v>
      </c>
    </row>
    <row r="32" ht="15.75" customHeight="1">
      <c r="A32" s="30"/>
      <c r="B32" s="69" t="s">
        <v>50</v>
      </c>
      <c r="C32" s="70"/>
      <c r="D32" s="70"/>
      <c r="E32" s="70"/>
      <c r="F32" s="71"/>
      <c r="G32" s="72">
        <v>5.0</v>
      </c>
      <c r="H32" s="73"/>
      <c r="I32" s="74">
        <f>SUM(C32:H32)+'1월'!G32</f>
        <v>8</v>
      </c>
    </row>
    <row r="33" ht="15.75" customHeight="1">
      <c r="A33" s="75" t="s">
        <v>51</v>
      </c>
      <c r="B33" s="76"/>
      <c r="C33" s="77">
        <f t="shared" ref="C33:H33" si="1">COUNT(C5:C32)</f>
        <v>2</v>
      </c>
      <c r="D33" s="77">
        <f t="shared" si="1"/>
        <v>4</v>
      </c>
      <c r="E33" s="78">
        <f t="shared" si="1"/>
        <v>16</v>
      </c>
      <c r="F33" s="77">
        <f t="shared" si="1"/>
        <v>3</v>
      </c>
      <c r="G33" s="77">
        <f t="shared" si="1"/>
        <v>13</v>
      </c>
      <c r="H33" s="78">
        <f t="shared" si="1"/>
        <v>10</v>
      </c>
      <c r="I33" s="7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I1:I4"/>
    <mergeCell ref="A5:A9"/>
    <mergeCell ref="A10:A32"/>
    <mergeCell ref="A33:B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6" width="18.43"/>
    <col customWidth="1" min="7" max="7" width="11.14"/>
    <col customWidth="1" min="8" max="26" width="8.71"/>
  </cols>
  <sheetData>
    <row r="1">
      <c r="A1" s="1" t="s">
        <v>0</v>
      </c>
      <c r="B1" s="2" t="s">
        <v>1</v>
      </c>
      <c r="C1" s="4" t="s">
        <v>52</v>
      </c>
      <c r="D1" s="3" t="s">
        <v>53</v>
      </c>
      <c r="E1" s="3" t="s">
        <v>54</v>
      </c>
      <c r="F1" s="4" t="s">
        <v>55</v>
      </c>
      <c r="G1" s="80" t="s">
        <v>7</v>
      </c>
    </row>
    <row r="2">
      <c r="A2" s="5"/>
      <c r="B2" s="6" t="s">
        <v>8</v>
      </c>
      <c r="C2" s="7" t="s">
        <v>56</v>
      </c>
      <c r="D2" s="6" t="s">
        <v>9</v>
      </c>
      <c r="E2" s="6" t="s">
        <v>9</v>
      </c>
      <c r="F2" s="7" t="s">
        <v>57</v>
      </c>
      <c r="G2" s="81"/>
    </row>
    <row r="3">
      <c r="A3" s="5"/>
      <c r="B3" s="8" t="s">
        <v>12</v>
      </c>
      <c r="C3" s="10" t="s">
        <v>56</v>
      </c>
      <c r="D3" s="8" t="s">
        <v>16</v>
      </c>
      <c r="E3" s="8" t="s">
        <v>58</v>
      </c>
      <c r="F3" s="10" t="s">
        <v>59</v>
      </c>
      <c r="G3" s="81"/>
    </row>
    <row r="4">
      <c r="A4" s="11"/>
      <c r="B4" s="12" t="s">
        <v>19</v>
      </c>
      <c r="C4" s="12" t="s">
        <v>22</v>
      </c>
      <c r="D4" s="12" t="s">
        <v>36</v>
      </c>
      <c r="E4" s="12" t="s">
        <v>29</v>
      </c>
      <c r="F4" s="12" t="s">
        <v>22</v>
      </c>
      <c r="G4" s="82"/>
    </row>
    <row r="5">
      <c r="A5" s="14" t="s">
        <v>25</v>
      </c>
      <c r="B5" s="15" t="s">
        <v>24</v>
      </c>
      <c r="C5" s="16">
        <v>3.0</v>
      </c>
      <c r="D5" s="83">
        <v>1.0</v>
      </c>
      <c r="E5" s="83"/>
      <c r="F5" s="84">
        <v>1.0</v>
      </c>
      <c r="G5" s="85">
        <f t="shared" ref="G5:G32" si="1">SUM(C5:F5)</f>
        <v>5</v>
      </c>
    </row>
    <row r="6">
      <c r="A6" s="5"/>
      <c r="B6" s="20" t="s">
        <v>26</v>
      </c>
      <c r="C6" s="21">
        <v>3.0</v>
      </c>
      <c r="D6" s="86">
        <v>1.0</v>
      </c>
      <c r="E6" s="86"/>
      <c r="F6" s="87">
        <v>3.0</v>
      </c>
      <c r="G6" s="43">
        <f t="shared" si="1"/>
        <v>7</v>
      </c>
    </row>
    <row r="7">
      <c r="A7" s="5"/>
      <c r="B7" s="20" t="s">
        <v>21</v>
      </c>
      <c r="C7" s="25">
        <v>3.0</v>
      </c>
      <c r="D7" s="88">
        <v>1.0</v>
      </c>
      <c r="E7" s="88"/>
      <c r="F7" s="89">
        <v>1.0</v>
      </c>
      <c r="G7" s="90">
        <f t="shared" si="1"/>
        <v>5</v>
      </c>
    </row>
    <row r="8">
      <c r="A8" s="5"/>
      <c r="B8" s="20" t="s">
        <v>27</v>
      </c>
      <c r="C8" s="21">
        <v>3.0</v>
      </c>
      <c r="D8" s="86"/>
      <c r="E8" s="86"/>
      <c r="F8" s="87"/>
      <c r="G8" s="43">
        <f t="shared" si="1"/>
        <v>3</v>
      </c>
    </row>
    <row r="9">
      <c r="A9" s="30"/>
      <c r="B9" s="31" t="s">
        <v>23</v>
      </c>
      <c r="C9" s="32">
        <v>3.0</v>
      </c>
      <c r="D9" s="91">
        <v>1.0</v>
      </c>
      <c r="E9" s="91"/>
      <c r="F9" s="92">
        <v>1.0</v>
      </c>
      <c r="G9" s="93">
        <f t="shared" si="1"/>
        <v>5</v>
      </c>
    </row>
    <row r="10">
      <c r="A10" s="14" t="s">
        <v>28</v>
      </c>
      <c r="B10" s="36" t="s">
        <v>29</v>
      </c>
      <c r="C10" s="94"/>
      <c r="D10" s="94"/>
      <c r="E10" s="94">
        <v>2.0</v>
      </c>
      <c r="F10" s="95"/>
      <c r="G10" s="38">
        <f t="shared" si="1"/>
        <v>2</v>
      </c>
    </row>
    <row r="11">
      <c r="A11" s="5"/>
      <c r="B11" s="42" t="s">
        <v>30</v>
      </c>
      <c r="C11" s="21">
        <v>3.0</v>
      </c>
      <c r="D11" s="86"/>
      <c r="E11" s="86"/>
      <c r="F11" s="87">
        <v>1.0</v>
      </c>
      <c r="G11" s="43">
        <f t="shared" si="1"/>
        <v>4</v>
      </c>
    </row>
    <row r="12">
      <c r="A12" s="5"/>
      <c r="B12" s="42" t="s">
        <v>31</v>
      </c>
      <c r="C12" s="96">
        <v>3.0</v>
      </c>
      <c r="D12" s="96">
        <v>1.0</v>
      </c>
      <c r="E12" s="96">
        <v>1.0</v>
      </c>
      <c r="F12" s="97">
        <v>3.0</v>
      </c>
      <c r="G12" s="47">
        <f t="shared" si="1"/>
        <v>8</v>
      </c>
    </row>
    <row r="13">
      <c r="A13" s="5"/>
      <c r="B13" s="42" t="s">
        <v>32</v>
      </c>
      <c r="C13" s="21"/>
      <c r="D13" s="86"/>
      <c r="E13" s="86"/>
      <c r="F13" s="87"/>
      <c r="G13" s="43">
        <f t="shared" si="1"/>
        <v>0</v>
      </c>
    </row>
    <row r="14">
      <c r="A14" s="5"/>
      <c r="B14" s="42" t="s">
        <v>33</v>
      </c>
      <c r="C14" s="96">
        <v>3.0</v>
      </c>
      <c r="D14" s="96">
        <v>1.0</v>
      </c>
      <c r="E14" s="96"/>
      <c r="F14" s="97"/>
      <c r="G14" s="47">
        <f t="shared" si="1"/>
        <v>4</v>
      </c>
    </row>
    <row r="15">
      <c r="A15" s="5"/>
      <c r="B15" s="42" t="s">
        <v>34</v>
      </c>
      <c r="C15" s="21"/>
      <c r="D15" s="86"/>
      <c r="E15" s="86"/>
      <c r="F15" s="87">
        <v>3.0</v>
      </c>
      <c r="G15" s="43">
        <f t="shared" si="1"/>
        <v>3</v>
      </c>
    </row>
    <row r="16">
      <c r="A16" s="5"/>
      <c r="B16" s="42" t="s">
        <v>35</v>
      </c>
      <c r="C16" s="96"/>
      <c r="D16" s="96"/>
      <c r="E16" s="96"/>
      <c r="F16" s="97"/>
      <c r="G16" s="47">
        <f t="shared" si="1"/>
        <v>0</v>
      </c>
    </row>
    <row r="17">
      <c r="A17" s="5"/>
      <c r="B17" s="42" t="s">
        <v>36</v>
      </c>
      <c r="C17" s="21">
        <v>3.0</v>
      </c>
      <c r="D17" s="86">
        <v>2.0</v>
      </c>
      <c r="E17" s="86">
        <v>1.0</v>
      </c>
      <c r="F17" s="87">
        <v>3.0</v>
      </c>
      <c r="G17" s="43">
        <f t="shared" si="1"/>
        <v>9</v>
      </c>
    </row>
    <row r="18">
      <c r="A18" s="5"/>
      <c r="B18" s="42" t="s">
        <v>37</v>
      </c>
      <c r="C18" s="96">
        <v>3.0</v>
      </c>
      <c r="D18" s="96"/>
      <c r="E18" s="96"/>
      <c r="F18" s="97">
        <v>1.0</v>
      </c>
      <c r="G18" s="98">
        <f t="shared" si="1"/>
        <v>4</v>
      </c>
    </row>
    <row r="19">
      <c r="A19" s="5"/>
      <c r="B19" s="58" t="s">
        <v>38</v>
      </c>
      <c r="C19" s="61">
        <v>3.0</v>
      </c>
      <c r="D19" s="99"/>
      <c r="E19" s="99"/>
      <c r="F19" s="99"/>
      <c r="G19" s="100">
        <f t="shared" si="1"/>
        <v>3</v>
      </c>
    </row>
    <row r="20">
      <c r="A20" s="5"/>
      <c r="B20" s="63" t="s">
        <v>39</v>
      </c>
      <c r="C20" s="66">
        <v>3.0</v>
      </c>
      <c r="D20" s="101"/>
      <c r="E20" s="101">
        <v>1.0</v>
      </c>
      <c r="F20" s="101">
        <v>3.0</v>
      </c>
      <c r="G20" s="64">
        <f t="shared" si="1"/>
        <v>7</v>
      </c>
    </row>
    <row r="21" ht="15.75" customHeight="1">
      <c r="A21" s="5"/>
      <c r="B21" s="63" t="s">
        <v>40</v>
      </c>
      <c r="C21" s="21">
        <v>3.0</v>
      </c>
      <c r="D21" s="86"/>
      <c r="E21" s="86"/>
      <c r="F21" s="86"/>
      <c r="G21" s="22">
        <f t="shared" si="1"/>
        <v>3</v>
      </c>
    </row>
    <row r="22" ht="15.75" customHeight="1">
      <c r="A22" s="5"/>
      <c r="B22" s="63" t="s">
        <v>41</v>
      </c>
      <c r="C22" s="66">
        <v>3.0</v>
      </c>
      <c r="D22" s="101"/>
      <c r="E22" s="101"/>
      <c r="F22" s="101"/>
      <c r="G22" s="64">
        <f t="shared" si="1"/>
        <v>3</v>
      </c>
    </row>
    <row r="23" ht="15.75" customHeight="1">
      <c r="A23" s="5"/>
      <c r="B23" s="63" t="s">
        <v>42</v>
      </c>
      <c r="C23" s="21"/>
      <c r="D23" s="86"/>
      <c r="E23" s="86"/>
      <c r="F23" s="86"/>
      <c r="G23" s="22">
        <f t="shared" si="1"/>
        <v>0</v>
      </c>
    </row>
    <row r="24" ht="15.75" customHeight="1">
      <c r="A24" s="5"/>
      <c r="B24" s="63" t="s">
        <v>43</v>
      </c>
      <c r="C24" s="66">
        <v>3.0</v>
      </c>
      <c r="D24" s="101"/>
      <c r="E24" s="101">
        <v>1.0</v>
      </c>
      <c r="F24" s="101">
        <v>3.0</v>
      </c>
      <c r="G24" s="64">
        <f t="shared" si="1"/>
        <v>7</v>
      </c>
    </row>
    <row r="25" ht="15.75" customHeight="1">
      <c r="A25" s="5"/>
      <c r="B25" s="63" t="s">
        <v>44</v>
      </c>
      <c r="C25" s="21"/>
      <c r="D25" s="86"/>
      <c r="E25" s="86">
        <v>1.0</v>
      </c>
      <c r="F25" s="86">
        <v>1.0</v>
      </c>
      <c r="G25" s="22">
        <f t="shared" si="1"/>
        <v>2</v>
      </c>
    </row>
    <row r="26" ht="15.75" customHeight="1">
      <c r="A26" s="5"/>
      <c r="B26" s="63" t="s">
        <v>45</v>
      </c>
      <c r="C26" s="66">
        <v>3.0</v>
      </c>
      <c r="D26" s="101"/>
      <c r="E26" s="101"/>
      <c r="F26" s="101"/>
      <c r="G26" s="64">
        <f t="shared" si="1"/>
        <v>3</v>
      </c>
    </row>
    <row r="27" ht="15.75" customHeight="1">
      <c r="A27" s="5"/>
      <c r="B27" s="63" t="s">
        <v>46</v>
      </c>
      <c r="C27" s="21">
        <v>3.0</v>
      </c>
      <c r="D27" s="86"/>
      <c r="E27" s="86">
        <v>1.0</v>
      </c>
      <c r="F27" s="86">
        <v>1.0</v>
      </c>
      <c r="G27" s="22">
        <f t="shared" si="1"/>
        <v>5</v>
      </c>
    </row>
    <row r="28" ht="15.75" customHeight="1">
      <c r="A28" s="5"/>
      <c r="B28" s="63" t="s">
        <v>20</v>
      </c>
      <c r="C28" s="66">
        <v>3.0</v>
      </c>
      <c r="D28" s="101">
        <v>1.0</v>
      </c>
      <c r="E28" s="101">
        <v>1.0</v>
      </c>
      <c r="F28" s="101"/>
      <c r="G28" s="64">
        <f t="shared" si="1"/>
        <v>5</v>
      </c>
    </row>
    <row r="29" ht="15.75" customHeight="1">
      <c r="A29" s="5"/>
      <c r="B29" s="63" t="s">
        <v>47</v>
      </c>
      <c r="C29" s="21">
        <v>3.0</v>
      </c>
      <c r="D29" s="86"/>
      <c r="E29" s="86"/>
      <c r="F29" s="86">
        <v>3.0</v>
      </c>
      <c r="G29" s="22">
        <f t="shared" si="1"/>
        <v>6</v>
      </c>
    </row>
    <row r="30" ht="15.75" customHeight="1">
      <c r="A30" s="5"/>
      <c r="B30" s="63" t="s">
        <v>48</v>
      </c>
      <c r="C30" s="66"/>
      <c r="D30" s="101"/>
      <c r="E30" s="101"/>
      <c r="F30" s="101"/>
      <c r="G30" s="64">
        <f t="shared" si="1"/>
        <v>0</v>
      </c>
    </row>
    <row r="31" ht="15.75" customHeight="1">
      <c r="A31" s="5"/>
      <c r="B31" s="63" t="s">
        <v>49</v>
      </c>
      <c r="C31" s="21">
        <v>3.0</v>
      </c>
      <c r="D31" s="86">
        <v>1.0</v>
      </c>
      <c r="E31" s="86"/>
      <c r="F31" s="86">
        <v>1.0</v>
      </c>
      <c r="G31" s="22">
        <f t="shared" si="1"/>
        <v>5</v>
      </c>
    </row>
    <row r="32" ht="15.75" customHeight="1">
      <c r="A32" s="30"/>
      <c r="B32" s="69" t="s">
        <v>50</v>
      </c>
      <c r="C32" s="70">
        <v>3.0</v>
      </c>
      <c r="D32" s="102"/>
      <c r="E32" s="102"/>
      <c r="F32" s="102"/>
      <c r="G32" s="73">
        <f t="shared" si="1"/>
        <v>3</v>
      </c>
    </row>
    <row r="33" ht="15.75" customHeight="1">
      <c r="A33" s="75" t="s">
        <v>60</v>
      </c>
      <c r="B33" s="76"/>
      <c r="C33" s="103">
        <f t="shared" ref="C33:F33" si="2">COUNT(C5:C32)</f>
        <v>21</v>
      </c>
      <c r="D33" s="104">
        <f t="shared" si="2"/>
        <v>9</v>
      </c>
      <c r="E33" s="104">
        <f t="shared" si="2"/>
        <v>8</v>
      </c>
      <c r="F33" s="105">
        <f t="shared" si="2"/>
        <v>15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G1:G4"/>
    <mergeCell ref="A5:A9"/>
    <mergeCell ref="A10:A32"/>
    <mergeCell ref="A33:B3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2022-12-30T09:25:14Z</dcterms:created>
  <dc:creator>이진진</dc:creator>
</cp:coreProperties>
</file>