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월" sheetId="1" r:id="rId4"/>
  </sheets>
  <definedNames/>
  <calcPr/>
  <extLst>
    <ext uri="GoogleSheetsCustomDataVersion2">
      <go:sheetsCustomData xmlns:go="http://customooxmlschemas.google.com/" r:id="rId5" roundtripDataChecksum="EXPQreGzoW1fqWFWyX1f5WJcwoq+REu76I2GkwUNeQw="/>
    </ext>
  </extLst>
</workbook>
</file>

<file path=xl/sharedStrings.xml><?xml version="1.0" encoding="utf-8"?>
<sst xmlns="http://schemas.openxmlformats.org/spreadsheetml/2006/main" count="76" uniqueCount="68">
  <si>
    <t>3월</t>
  </si>
  <si>
    <t>날짜</t>
  </si>
  <si>
    <t>03.01</t>
  </si>
  <si>
    <t>03.04</t>
  </si>
  <si>
    <t>03.09</t>
  </si>
  <si>
    <t>03.15</t>
  </si>
  <si>
    <t>03.23</t>
  </si>
  <si>
    <t>03.24</t>
  </si>
  <si>
    <t>03.30</t>
  </si>
  <si>
    <t>누적 점수</t>
  </si>
  <si>
    <t>구분</t>
  </si>
  <si>
    <t>0차 정기모임</t>
  </si>
  <si>
    <t>비정기모임</t>
  </si>
  <si>
    <t>오리엔테이션</t>
  </si>
  <si>
    <t>1차 정기모임</t>
  </si>
  <si>
    <t>2차 정기모임</t>
  </si>
  <si>
    <t>3차 정기모임</t>
  </si>
  <si>
    <t>활동</t>
  </si>
  <si>
    <t>강남</t>
  </si>
  <si>
    <t>신촌 술</t>
  </si>
  <si>
    <t>-</t>
  </si>
  <si>
    <t>왕십리 보드게임</t>
  </si>
  <si>
    <t>합정</t>
  </si>
  <si>
    <t>신촌 정통집</t>
  </si>
  <si>
    <t>등산</t>
  </si>
  <si>
    <t>주최자</t>
  </si>
  <si>
    <t>이진진</t>
  </si>
  <si>
    <t>운영진</t>
  </si>
  <si>
    <t>이원준</t>
  </si>
  <si>
    <t>이예림</t>
  </si>
  <si>
    <t>신희찬</t>
  </si>
  <si>
    <t>문제원</t>
  </si>
  <si>
    <t>유지훈</t>
  </si>
  <si>
    <t>이주연</t>
  </si>
  <si>
    <t>활동회원</t>
  </si>
  <si>
    <t>홍석범</t>
  </si>
  <si>
    <t>황인우</t>
  </si>
  <si>
    <t>김해찬</t>
  </si>
  <si>
    <t>이규엽</t>
  </si>
  <si>
    <t>하은희</t>
  </si>
  <si>
    <t>윤민식</t>
  </si>
  <si>
    <t>이광민</t>
  </si>
  <si>
    <t>이성현</t>
  </si>
  <si>
    <t>이수민</t>
  </si>
  <si>
    <t>이지원</t>
  </si>
  <si>
    <t>박소현</t>
  </si>
  <si>
    <t>양진석</t>
  </si>
  <si>
    <t>홍채원</t>
  </si>
  <si>
    <t>권지연</t>
  </si>
  <si>
    <t>권희원</t>
  </si>
  <si>
    <t>배규현</t>
  </si>
  <si>
    <t>배환규</t>
  </si>
  <si>
    <t>안우석</t>
  </si>
  <si>
    <t>김동현</t>
  </si>
  <si>
    <t>김태호</t>
  </si>
  <si>
    <t>김혜연</t>
  </si>
  <si>
    <t>박민기</t>
  </si>
  <si>
    <t>박상현</t>
  </si>
  <si>
    <t>방규현</t>
  </si>
  <si>
    <t>송예나</t>
  </si>
  <si>
    <t>심준보</t>
  </si>
  <si>
    <t>양정우</t>
  </si>
  <si>
    <t>양지현</t>
  </si>
  <si>
    <t>유지현</t>
  </si>
  <si>
    <t>윤기화</t>
  </si>
  <si>
    <t>이수현</t>
  </si>
  <si>
    <t>이태성</t>
  </si>
  <si>
    <t>참여 인원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</si>
</sst>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sz val="11.0"/>
      <color theme="1"/>
      <name val="&quot;Malgun Gothic&quot;"/>
    </font>
  </fonts>
  <fills count="12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66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F7F7F"/>
      </right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757070"/>
      </left>
      <right style="thin">
        <color rgb="FF7F7F7F"/>
      </right>
      <bottom style="thin">
        <color rgb="FF7F7F7F"/>
      </bottom>
    </border>
    <border>
      <left/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/>
      <top style="thin">
        <color rgb="FF757070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757070"/>
      </right>
    </border>
    <border>
      <left style="thin">
        <color rgb="FF757070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</border>
    <border>
      <left style="thin">
        <color rgb="FF757070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  <bottom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757070"/>
      </left>
      <right/>
      <top style="thin">
        <color rgb="FFAEABAB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AEABAB"/>
      </right>
      <bottom style="thin">
        <color rgb="FF7F7F7F"/>
      </bottom>
    </border>
    <border>
      <left style="thin">
        <color rgb="FF757070"/>
      </lef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7F7F7F"/>
      </top>
      <bottom style="thin">
        <color rgb="FFAEABAB"/>
      </bottom>
    </border>
    <border>
      <left style="thin">
        <color rgb="FF7B7B7B"/>
      </left>
      <right/>
      <top style="thin">
        <color rgb="FF7F7F7F"/>
      </top>
      <bottom style="thin">
        <color rgb="FFAEABAB"/>
      </bottom>
    </border>
    <border>
      <left/>
      <right style="thin">
        <color rgb="FF7F7F7F"/>
      </right>
    </border>
    <border>
      <left style="thin">
        <color rgb="FF7F7F7F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B7B7B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/>
      <bottom/>
    </border>
    <border>
      <left/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</border>
    <border>
      <left style="thin">
        <color rgb="FF757070"/>
      </left>
      <right style="thin">
        <color rgb="FF7B7B7B"/>
      </right>
      <top style="thin">
        <color rgb="FFAEABAB"/>
      </top>
    </border>
    <border>
      <left style="thin">
        <color rgb="FF7B7B7B"/>
      </left>
      <top style="thin">
        <color rgb="FFAEABAB"/>
      </top>
    </border>
    <border>
      <left style="thin">
        <color rgb="FF7B7B7B"/>
      </left>
      <right style="thin">
        <color rgb="FF7F7F7F"/>
      </right>
      <top style="thin">
        <color rgb="FFA5A5A5"/>
      </top>
    </border>
    <border>
      <left style="thin">
        <color rgb="FF7B7B7B"/>
      </left>
      <right style="thin">
        <color rgb="FF7F7F7F"/>
      </right>
      <top style="thin">
        <color rgb="FFA5A5A5"/>
      </top>
      <bottom/>
    </border>
    <border>
      <left style="thin">
        <color rgb="FF7F7F7F"/>
      </left>
      <right style="thin">
        <color rgb="FF757070"/>
      </right>
      <bottom style="thin">
        <color rgb="FF7F7F7F"/>
      </bottom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F7F7F"/>
      </left>
      <right/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</border>
    <border>
      <left style="thin">
        <color rgb="FF7F7F7F"/>
      </left>
      <right style="thin">
        <color rgb="FF757070"/>
      </right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F7F7F"/>
      </left>
      <top style="thin">
        <color rgb="FFAEABAB"/>
      </top>
      <bottom style="thin">
        <color rgb="FFAEABAB"/>
      </bottom>
    </border>
    <border>
      <left style="thin">
        <color rgb="FF7F7F7F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57070"/>
      </right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EABAB"/>
      </top>
      <bottom/>
    </border>
    <border>
      <left style="thin">
        <color rgb="FF7F7F7F"/>
      </left>
      <right/>
      <top style="thin">
        <color rgb="FFAEABAB"/>
      </top>
      <bottom/>
    </border>
    <border>
      <left/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666666"/>
      </bottom>
    </border>
    <border>
      <left style="thin">
        <color rgb="FF7F7F7F"/>
      </left>
      <top style="thin">
        <color rgb="FFAEABAB"/>
      </top>
      <bottom style="thin">
        <color rgb="FF666666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666666"/>
      </bottom>
    </border>
    <border>
      <left style="thin">
        <color rgb="FF757070"/>
      </left>
      <top/>
      <bottom style="thin">
        <color rgb="FF757070"/>
      </bottom>
    </border>
    <border>
      <right style="thin">
        <color rgb="FF7B7B7B"/>
      </right>
      <top/>
      <bottom style="thin">
        <color rgb="FF757070"/>
      </bottom>
    </border>
    <border>
      <left style="thin">
        <color rgb="FF7B7B7B"/>
      </left>
      <right style="thin">
        <color rgb="FF7B7B7B"/>
      </right>
      <bottom style="thin">
        <color rgb="FF75707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vertical="center"/>
    </xf>
    <xf quotePrefix="1" borderId="2" fillId="3" fontId="2" numFmtId="0" xfId="0" applyAlignment="1" applyBorder="1" applyFont="1">
      <alignment horizontal="center" readingOrder="0" vertical="center"/>
    </xf>
    <xf quotePrefix="1" borderId="2" fillId="3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8" fillId="4" fontId="1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vertical="center"/>
    </xf>
    <xf borderId="10" fillId="5" fontId="1" numFmtId="0" xfId="0" applyAlignment="1" applyBorder="1" applyFill="1" applyFont="1">
      <alignment horizontal="center" vertical="center"/>
    </xf>
    <xf borderId="11" fillId="6" fontId="4" numFmtId="0" xfId="0" applyAlignment="1" applyBorder="1" applyFill="1" applyFont="1">
      <alignment horizontal="center" vertical="center"/>
    </xf>
    <xf borderId="12" fillId="7" fontId="1" numFmtId="0" xfId="0" applyAlignment="1" applyBorder="1" applyFill="1" applyFont="1">
      <alignment horizontal="center" vertical="center"/>
    </xf>
    <xf borderId="13" fillId="7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4" fillId="6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6" fontId="4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7" fillId="7" fontId="1" numFmtId="0" xfId="0" applyAlignment="1" applyBorder="1" applyFont="1">
      <alignment horizontal="center" readingOrder="0" vertical="center"/>
    </xf>
    <xf borderId="20" fillId="7" fontId="1" numFmtId="0" xfId="0" applyAlignment="1" applyBorder="1" applyFont="1">
      <alignment horizontal="center" vertical="center"/>
    </xf>
    <xf borderId="17" fillId="7" fontId="1" numFmtId="0" xfId="0" applyAlignment="1" applyBorder="1" applyFont="1">
      <alignment horizontal="center" vertical="center"/>
    </xf>
    <xf borderId="21" fillId="6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18" fillId="7" fontId="1" numFmtId="0" xfId="0" applyAlignment="1" applyBorder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3" numFmtId="0" xfId="0" applyAlignment="1" applyBorder="1" applyFont="1">
      <alignment vertical="center"/>
    </xf>
    <xf borderId="26" fillId="6" fontId="4" numFmtId="0" xfId="0" applyAlignment="1" applyBorder="1" applyFont="1">
      <alignment horizontal="center" vertical="center"/>
    </xf>
    <xf borderId="27" fillId="7" fontId="1" numFmtId="0" xfId="0" applyAlignment="1" applyBorder="1" applyFont="1">
      <alignment horizontal="center" readingOrder="0" vertical="center"/>
    </xf>
    <xf borderId="28" fillId="7" fontId="1" numFmtId="0" xfId="0" applyAlignment="1" applyBorder="1" applyFont="1">
      <alignment horizontal="center" vertical="center"/>
    </xf>
    <xf borderId="27" fillId="7" fontId="1" numFmtId="0" xfId="0" applyAlignment="1" applyBorder="1" applyFont="1">
      <alignment horizontal="center" vertical="center"/>
    </xf>
    <xf borderId="29" fillId="6" fontId="1" numFmtId="0" xfId="0" applyAlignment="1" applyBorder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31" fillId="8" fontId="4" numFmtId="0" xfId="0" applyAlignment="1" applyBorder="1" applyFill="1" applyFont="1">
      <alignment horizontal="center" vertical="center"/>
    </xf>
    <xf borderId="32" fillId="9" fontId="1" numFmtId="0" xfId="0" applyAlignment="1" applyBorder="1" applyFill="1" applyFont="1">
      <alignment horizontal="center" vertical="center"/>
    </xf>
    <xf borderId="33" fillId="9" fontId="1" numFmtId="0" xfId="0" applyAlignment="1" applyBorder="1" applyFont="1">
      <alignment horizontal="center" vertical="center"/>
    </xf>
    <xf borderId="32" fillId="9" fontId="1" numFmtId="0" xfId="0" applyAlignment="1" applyBorder="1" applyFont="1">
      <alignment horizontal="center" readingOrder="0" vertical="center"/>
    </xf>
    <xf borderId="14" fillId="8" fontId="1" numFmtId="0" xfId="0" applyAlignment="1" applyBorder="1" applyFont="1">
      <alignment horizontal="center" vertical="center"/>
    </xf>
    <xf borderId="34" fillId="0" fontId="3" numFmtId="0" xfId="0" applyAlignment="1" applyBorder="1" applyFont="1">
      <alignment vertical="center"/>
    </xf>
    <xf borderId="35" fillId="8" fontId="4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6" fillId="9" fontId="1" numFmtId="0" xfId="0" applyAlignment="1" applyBorder="1" applyFont="1">
      <alignment horizontal="center" vertical="center"/>
    </xf>
    <xf borderId="39" fillId="9" fontId="1" numFmtId="0" xfId="0" applyAlignment="1" applyBorder="1" applyFont="1">
      <alignment horizontal="center" vertical="center"/>
    </xf>
    <xf borderId="36" fillId="9" fontId="1" numFmtId="0" xfId="0" applyAlignment="1" applyBorder="1" applyFont="1">
      <alignment horizontal="center" readingOrder="0" vertical="center"/>
    </xf>
    <xf borderId="38" fillId="8" fontId="1" numFmtId="0" xfId="0" applyAlignment="1" applyBorder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40" fillId="8" fontId="1" numFmtId="0" xfId="0" applyAlignment="1" applyBorder="1" applyFont="1">
      <alignment horizontal="center" vertical="center"/>
    </xf>
    <xf borderId="41" fillId="9" fontId="1" numFmtId="0" xfId="0" applyAlignment="1" applyBorder="1" applyFont="1">
      <alignment horizontal="center" readingOrder="0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46" fillId="8" fontId="1" numFmtId="0" xfId="0" applyAlignment="1" applyBorder="1" applyFont="1">
      <alignment horizontal="center" vertical="center"/>
    </xf>
    <xf borderId="47" fillId="8" fontId="4" numFmtId="0" xfId="0" applyAlignment="1" applyBorder="1" applyFont="1">
      <alignment horizontal="center" vertical="center"/>
    </xf>
    <xf borderId="48" fillId="10" fontId="4" numFmtId="0" xfId="0" applyAlignment="1" applyBorder="1" applyFill="1" applyFont="1">
      <alignment horizontal="center" vertical="center"/>
    </xf>
    <xf borderId="49" fillId="11" fontId="1" numFmtId="0" xfId="0" applyAlignment="1" applyBorder="1" applyFill="1" applyFont="1">
      <alignment horizontal="center" vertical="center"/>
    </xf>
    <xf borderId="50" fillId="11" fontId="1" numFmtId="0" xfId="0" applyAlignment="1" applyBorder="1" applyFont="1">
      <alignment horizontal="center" vertical="center"/>
    </xf>
    <xf borderId="49" fillId="11" fontId="1" numFmtId="0" xfId="0" applyAlignment="1" applyBorder="1" applyFont="1">
      <alignment horizontal="center" readingOrder="0" vertical="center"/>
    </xf>
    <xf borderId="51" fillId="10" fontId="1" numFmtId="0" xfId="0" applyAlignment="1" applyBorder="1" applyFont="1">
      <alignment horizontal="center" vertical="center"/>
    </xf>
    <xf borderId="52" fillId="10" fontId="4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readingOrder="0" vertical="center"/>
    </xf>
    <xf borderId="54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3" fillId="11" fontId="1" numFmtId="0" xfId="0" applyAlignment="1" applyBorder="1" applyFont="1">
      <alignment horizontal="center" vertical="center"/>
    </xf>
    <xf borderId="55" fillId="11" fontId="1" numFmtId="0" xfId="0" applyAlignment="1" applyBorder="1" applyFont="1">
      <alignment horizontal="center" vertical="center"/>
    </xf>
    <xf borderId="53" fillId="11" fontId="1" numFmtId="0" xfId="0" applyAlignment="1" applyBorder="1" applyFont="1">
      <alignment horizontal="center" readingOrder="0" vertical="center"/>
    </xf>
    <xf borderId="21" fillId="10" fontId="1" numFmtId="0" xfId="0" applyAlignment="1" applyBorder="1" applyFont="1">
      <alignment horizontal="center" vertical="center"/>
    </xf>
    <xf borderId="35" fillId="10" fontId="4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readingOrder="0" vertical="center"/>
    </xf>
    <xf borderId="56" fillId="10" fontId="4" numFmtId="0" xfId="0" applyAlignment="1" applyBorder="1" applyFont="1">
      <alignment horizontal="center" vertical="center"/>
    </xf>
    <xf borderId="40" fillId="10" fontId="1" numFmtId="0" xfId="0" applyAlignment="1" applyBorder="1" applyFont="1">
      <alignment horizontal="center" vertical="center"/>
    </xf>
    <xf borderId="57" fillId="11" fontId="1" numFmtId="0" xfId="0" applyAlignment="1" applyBorder="1" applyFont="1">
      <alignment horizontal="center" vertical="center"/>
    </xf>
    <xf borderId="58" fillId="11" fontId="1" numFmtId="0" xfId="0" applyAlignment="1" applyBorder="1" applyFont="1">
      <alignment horizontal="center" vertical="center"/>
    </xf>
    <xf borderId="57" fillId="11" fontId="1" numFmtId="0" xfId="0" applyAlignment="1" applyBorder="1" applyFont="1">
      <alignment horizontal="center" readingOrder="0" vertical="center"/>
    </xf>
    <xf borderId="24" fillId="10" fontId="1" numFmtId="0" xfId="0" applyAlignment="1" applyBorder="1" applyFont="1">
      <alignment horizontal="center" vertical="center"/>
    </xf>
    <xf borderId="59" fillId="0" fontId="3" numFmtId="0" xfId="0" applyAlignment="1" applyBorder="1" applyFont="1">
      <alignment vertical="center"/>
    </xf>
    <xf borderId="47" fillId="10" fontId="4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center" vertical="center"/>
    </xf>
    <xf borderId="61" fillId="0" fontId="1" numFmtId="0" xfId="0" applyAlignment="1" applyBorder="1" applyFont="1">
      <alignment horizontal="center" vertical="center"/>
    </xf>
    <xf borderId="60" fillId="0" fontId="1" numFmtId="0" xfId="0" applyAlignment="1" applyBorder="1" applyFont="1">
      <alignment horizontal="center" readingOrder="0" vertical="center"/>
    </xf>
    <xf borderId="62" fillId="0" fontId="1" numFmtId="0" xfId="0" applyAlignment="1" applyBorder="1" applyFont="1">
      <alignment horizontal="center" vertical="center"/>
    </xf>
    <xf borderId="63" fillId="4" fontId="1" numFmtId="0" xfId="0" applyAlignment="1" applyBorder="1" applyFont="1">
      <alignment horizontal="center" vertical="center"/>
    </xf>
    <xf borderId="64" fillId="0" fontId="3" numFmtId="0" xfId="0" applyAlignment="1" applyBorder="1" applyFont="1">
      <alignment vertical="center"/>
    </xf>
    <xf borderId="65" fillId="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9" width="18.43"/>
    <col customWidth="1" min="10" max="10" width="11.1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</row>
    <row r="2">
      <c r="A2" s="6"/>
      <c r="B2" s="7" t="s">
        <v>10</v>
      </c>
      <c r="C2" s="8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9" t="s">
        <v>12</v>
      </c>
      <c r="I2" s="8" t="s">
        <v>16</v>
      </c>
      <c r="J2" s="10"/>
    </row>
    <row r="3">
      <c r="A3" s="6"/>
      <c r="B3" s="11" t="s">
        <v>17</v>
      </c>
      <c r="C3" s="12" t="s">
        <v>18</v>
      </c>
      <c r="D3" s="11" t="s">
        <v>19</v>
      </c>
      <c r="E3" s="12" t="s">
        <v>20</v>
      </c>
      <c r="F3" s="12" t="s">
        <v>21</v>
      </c>
      <c r="G3" s="12" t="s">
        <v>22</v>
      </c>
      <c r="H3" s="13" t="s">
        <v>23</v>
      </c>
      <c r="I3" s="12" t="s">
        <v>24</v>
      </c>
      <c r="J3" s="10"/>
    </row>
    <row r="4">
      <c r="A4" s="14"/>
      <c r="B4" s="15" t="s">
        <v>25</v>
      </c>
      <c r="C4" s="16" t="s">
        <v>20</v>
      </c>
      <c r="D4" s="15" t="s">
        <v>26</v>
      </c>
      <c r="E4" s="16" t="s">
        <v>20</v>
      </c>
      <c r="F4" s="16" t="s">
        <v>20</v>
      </c>
      <c r="G4" s="16" t="s">
        <v>20</v>
      </c>
      <c r="H4" s="17" t="s">
        <v>26</v>
      </c>
      <c r="I4" s="16" t="s">
        <v>20</v>
      </c>
      <c r="J4" s="18"/>
    </row>
    <row r="5">
      <c r="A5" s="19" t="s">
        <v>27</v>
      </c>
      <c r="B5" s="20" t="s">
        <v>28</v>
      </c>
      <c r="C5" s="21"/>
      <c r="D5" s="22">
        <v>1.0</v>
      </c>
      <c r="E5" s="23">
        <v>5.0</v>
      </c>
      <c r="F5" s="23">
        <v>3.0</v>
      </c>
      <c r="G5" s="23">
        <v>3.0</v>
      </c>
      <c r="H5" s="23">
        <v>1.0</v>
      </c>
      <c r="I5" s="21"/>
      <c r="J5" s="24">
        <f t="shared" ref="J5:J43" si="1">SUM(C5:I5)</f>
        <v>13</v>
      </c>
    </row>
    <row r="6">
      <c r="A6" s="25"/>
      <c r="B6" s="26" t="s">
        <v>26</v>
      </c>
      <c r="C6" s="27">
        <v>3.0</v>
      </c>
      <c r="D6" s="28">
        <v>2.0</v>
      </c>
      <c r="E6" s="27">
        <v>5.0</v>
      </c>
      <c r="F6" s="29"/>
      <c r="G6" s="29"/>
      <c r="H6" s="27">
        <v>2.0</v>
      </c>
      <c r="I6" s="27">
        <v>3.0</v>
      </c>
      <c r="J6" s="30">
        <f t="shared" si="1"/>
        <v>15</v>
      </c>
    </row>
    <row r="7">
      <c r="A7" s="25"/>
      <c r="B7" s="26" t="s">
        <v>29</v>
      </c>
      <c r="C7" s="31">
        <v>1.0</v>
      </c>
      <c r="D7" s="32"/>
      <c r="E7" s="31">
        <v>5.0</v>
      </c>
      <c r="F7" s="33"/>
      <c r="G7" s="33"/>
      <c r="H7" s="33"/>
      <c r="I7" s="31">
        <v>1.0</v>
      </c>
      <c r="J7" s="34">
        <f t="shared" si="1"/>
        <v>7</v>
      </c>
    </row>
    <row r="8">
      <c r="A8" s="25"/>
      <c r="B8" s="26" t="s">
        <v>30</v>
      </c>
      <c r="C8" s="27">
        <v>3.0</v>
      </c>
      <c r="D8" s="35"/>
      <c r="E8" s="27">
        <v>5.0</v>
      </c>
      <c r="F8" s="29"/>
      <c r="G8" s="29"/>
      <c r="H8" s="29"/>
      <c r="I8" s="29"/>
      <c r="J8" s="36">
        <f t="shared" si="1"/>
        <v>8</v>
      </c>
    </row>
    <row r="9">
      <c r="A9" s="25"/>
      <c r="B9" s="26" t="s">
        <v>31</v>
      </c>
      <c r="C9" s="31">
        <v>3.0</v>
      </c>
      <c r="D9" s="37"/>
      <c r="E9" s="31">
        <v>5.0</v>
      </c>
      <c r="F9" s="33"/>
      <c r="G9" s="33"/>
      <c r="H9" s="33"/>
      <c r="I9" s="31">
        <v>3.0</v>
      </c>
      <c r="J9" s="38">
        <f t="shared" si="1"/>
        <v>11</v>
      </c>
    </row>
    <row r="10">
      <c r="A10" s="25"/>
      <c r="B10" s="26" t="s">
        <v>32</v>
      </c>
      <c r="C10" s="39">
        <v>3.0</v>
      </c>
      <c r="D10" s="40"/>
      <c r="E10" s="39">
        <v>5.0</v>
      </c>
      <c r="F10" s="41"/>
      <c r="G10" s="39">
        <v>3.0</v>
      </c>
      <c r="H10" s="39">
        <v>1.0</v>
      </c>
      <c r="I10" s="39">
        <v>3.0</v>
      </c>
      <c r="J10" s="42">
        <f t="shared" si="1"/>
        <v>15</v>
      </c>
    </row>
    <row r="11">
      <c r="A11" s="43"/>
      <c r="B11" s="44" t="s">
        <v>33</v>
      </c>
      <c r="C11" s="45"/>
      <c r="D11" s="46"/>
      <c r="E11" s="45">
        <v>5.0</v>
      </c>
      <c r="F11" s="47"/>
      <c r="G11" s="47"/>
      <c r="H11" s="47"/>
      <c r="I11" s="47"/>
      <c r="J11" s="48">
        <f t="shared" si="1"/>
        <v>5</v>
      </c>
    </row>
    <row r="12">
      <c r="A12" s="49" t="s">
        <v>34</v>
      </c>
      <c r="B12" s="50" t="s">
        <v>35</v>
      </c>
      <c r="C12" s="51"/>
      <c r="D12" s="52"/>
      <c r="E12" s="51"/>
      <c r="F12" s="51"/>
      <c r="G12" s="53">
        <v>3.0</v>
      </c>
      <c r="H12" s="51"/>
      <c r="I12" s="51"/>
      <c r="J12" s="54">
        <f t="shared" si="1"/>
        <v>3</v>
      </c>
    </row>
    <row r="13">
      <c r="A13" s="55"/>
      <c r="B13" s="56" t="s">
        <v>36</v>
      </c>
      <c r="C13" s="57">
        <v>1.0</v>
      </c>
      <c r="D13" s="58"/>
      <c r="E13" s="57">
        <v>5.0</v>
      </c>
      <c r="F13" s="59"/>
      <c r="G13" s="59"/>
      <c r="H13" s="59"/>
      <c r="I13" s="59"/>
      <c r="J13" s="60">
        <f t="shared" si="1"/>
        <v>6</v>
      </c>
    </row>
    <row r="14">
      <c r="A14" s="55"/>
      <c r="B14" s="56" t="s">
        <v>37</v>
      </c>
      <c r="C14" s="61"/>
      <c r="D14" s="62"/>
      <c r="E14" s="63">
        <v>5.0</v>
      </c>
      <c r="F14" s="61"/>
      <c r="G14" s="61"/>
      <c r="H14" s="61"/>
      <c r="I14" s="61"/>
      <c r="J14" s="64">
        <f t="shared" si="1"/>
        <v>5</v>
      </c>
    </row>
    <row r="15">
      <c r="A15" s="55"/>
      <c r="B15" s="65" t="s">
        <v>38</v>
      </c>
      <c r="C15" s="59"/>
      <c r="D15" s="58"/>
      <c r="E15" s="57">
        <v>5.0</v>
      </c>
      <c r="F15" s="59"/>
      <c r="G15" s="57">
        <v>3.0</v>
      </c>
      <c r="H15" s="59"/>
      <c r="I15" s="59"/>
      <c r="J15" s="60">
        <f t="shared" si="1"/>
        <v>8</v>
      </c>
    </row>
    <row r="16">
      <c r="A16" s="55"/>
      <c r="B16" s="65" t="s">
        <v>39</v>
      </c>
      <c r="C16" s="61"/>
      <c r="D16" s="62"/>
      <c r="E16" s="63">
        <v>3.0</v>
      </c>
      <c r="F16" s="61"/>
      <c r="G16" s="61"/>
      <c r="H16" s="61"/>
      <c r="I16" s="61"/>
      <c r="J16" s="66">
        <f t="shared" si="1"/>
        <v>3</v>
      </c>
    </row>
    <row r="17">
      <c r="A17" s="55"/>
      <c r="B17" s="65" t="s">
        <v>40</v>
      </c>
      <c r="C17" s="57">
        <v>3.0</v>
      </c>
      <c r="D17" s="58"/>
      <c r="E17" s="57">
        <v>3.0</v>
      </c>
      <c r="F17" s="59"/>
      <c r="G17" s="59"/>
      <c r="H17" s="59"/>
      <c r="I17" s="59"/>
      <c r="J17" s="60">
        <f t="shared" si="1"/>
        <v>6</v>
      </c>
    </row>
    <row r="18">
      <c r="A18" s="55"/>
      <c r="B18" s="56" t="s">
        <v>41</v>
      </c>
      <c r="C18" s="63">
        <v>3.0</v>
      </c>
      <c r="D18" s="62"/>
      <c r="E18" s="63">
        <v>5.0</v>
      </c>
      <c r="F18" s="61"/>
      <c r="G18" s="61"/>
      <c r="H18" s="61"/>
      <c r="I18" s="61"/>
      <c r="J18" s="64">
        <f t="shared" si="1"/>
        <v>8</v>
      </c>
    </row>
    <row r="19">
      <c r="A19" s="55"/>
      <c r="B19" s="65" t="s">
        <v>42</v>
      </c>
      <c r="C19" s="59"/>
      <c r="D19" s="58"/>
      <c r="E19" s="57">
        <v>5.0</v>
      </c>
      <c r="F19" s="59"/>
      <c r="G19" s="59"/>
      <c r="H19" s="59"/>
      <c r="I19" s="59"/>
      <c r="J19" s="60">
        <f t="shared" si="1"/>
        <v>5</v>
      </c>
    </row>
    <row r="20">
      <c r="A20" s="55"/>
      <c r="B20" s="56" t="s">
        <v>43</v>
      </c>
      <c r="C20" s="61"/>
      <c r="D20" s="67">
        <v>1.0</v>
      </c>
      <c r="E20" s="63">
        <v>5.0</v>
      </c>
      <c r="F20" s="61"/>
      <c r="G20" s="61"/>
      <c r="H20" s="61"/>
      <c r="I20" s="63">
        <v>1.0</v>
      </c>
      <c r="J20" s="64">
        <f t="shared" si="1"/>
        <v>7</v>
      </c>
    </row>
    <row r="21">
      <c r="A21" s="55"/>
      <c r="B21" s="65" t="s">
        <v>44</v>
      </c>
      <c r="C21" s="59"/>
      <c r="D21" s="58"/>
      <c r="E21" s="57">
        <v>3.0</v>
      </c>
      <c r="F21" s="59"/>
      <c r="G21" s="59"/>
      <c r="H21" s="59"/>
      <c r="I21" s="59"/>
      <c r="J21" s="68">
        <f t="shared" si="1"/>
        <v>3</v>
      </c>
    </row>
    <row r="22">
      <c r="A22" s="55"/>
      <c r="B22" s="56" t="s">
        <v>45</v>
      </c>
      <c r="C22" s="61"/>
      <c r="D22" s="62"/>
      <c r="E22" s="63">
        <v>3.0</v>
      </c>
      <c r="F22" s="61"/>
      <c r="G22" s="61"/>
      <c r="H22" s="61"/>
      <c r="I22" s="61"/>
      <c r="J22" s="64">
        <f t="shared" si="1"/>
        <v>3</v>
      </c>
    </row>
    <row r="23">
      <c r="A23" s="55"/>
      <c r="B23" s="56" t="s">
        <v>46</v>
      </c>
      <c r="C23" s="59"/>
      <c r="D23" s="58"/>
      <c r="E23" s="59"/>
      <c r="F23" s="59"/>
      <c r="G23" s="59"/>
      <c r="H23" s="59"/>
      <c r="I23" s="59"/>
      <c r="J23" s="60">
        <f t="shared" si="1"/>
        <v>0</v>
      </c>
    </row>
    <row r="24">
      <c r="A24" s="55"/>
      <c r="B24" s="56" t="s">
        <v>47</v>
      </c>
      <c r="C24" s="63">
        <v>3.0</v>
      </c>
      <c r="D24" s="62"/>
      <c r="E24" s="63">
        <v>5.0</v>
      </c>
      <c r="F24" s="61"/>
      <c r="G24" s="61"/>
      <c r="H24" s="61"/>
      <c r="I24" s="61"/>
      <c r="J24" s="66">
        <f t="shared" si="1"/>
        <v>8</v>
      </c>
    </row>
    <row r="25">
      <c r="A25" s="55"/>
      <c r="B25" s="56" t="s">
        <v>48</v>
      </c>
      <c r="C25" s="69">
        <v>3.0</v>
      </c>
      <c r="D25" s="70"/>
      <c r="E25" s="69">
        <v>5.0</v>
      </c>
      <c r="F25" s="71"/>
      <c r="G25" s="71"/>
      <c r="H25" s="71"/>
      <c r="I25" s="71"/>
      <c r="J25" s="72">
        <f t="shared" si="1"/>
        <v>8</v>
      </c>
    </row>
    <row r="26">
      <c r="A26" s="55"/>
      <c r="B26" s="56" t="s">
        <v>49</v>
      </c>
      <c r="C26" s="61"/>
      <c r="D26" s="62"/>
      <c r="E26" s="61"/>
      <c r="F26" s="61"/>
      <c r="G26" s="61"/>
      <c r="H26" s="61"/>
      <c r="I26" s="61"/>
      <c r="J26" s="73">
        <f t="shared" si="1"/>
        <v>0</v>
      </c>
    </row>
    <row r="27">
      <c r="A27" s="55"/>
      <c r="B27" s="56" t="s">
        <v>50</v>
      </c>
      <c r="C27" s="71"/>
      <c r="D27" s="70"/>
      <c r="E27" s="71"/>
      <c r="F27" s="71"/>
      <c r="G27" s="71"/>
      <c r="H27" s="71"/>
      <c r="I27" s="71"/>
      <c r="J27" s="60">
        <f t="shared" si="1"/>
        <v>0</v>
      </c>
    </row>
    <row r="28">
      <c r="A28" s="55"/>
      <c r="B28" s="56" t="s">
        <v>51</v>
      </c>
      <c r="C28" s="63">
        <v>3.0</v>
      </c>
      <c r="D28" s="62"/>
      <c r="E28" s="63">
        <v>5.0</v>
      </c>
      <c r="F28" s="61"/>
      <c r="G28" s="63">
        <v>3.0</v>
      </c>
      <c r="H28" s="61"/>
      <c r="I28" s="61"/>
      <c r="J28" s="66">
        <f t="shared" si="1"/>
        <v>11</v>
      </c>
    </row>
    <row r="29">
      <c r="A29" s="55"/>
      <c r="B29" s="74" t="s">
        <v>52</v>
      </c>
      <c r="C29" s="71"/>
      <c r="D29" s="70"/>
      <c r="E29" s="69">
        <v>5.0</v>
      </c>
      <c r="F29" s="71"/>
      <c r="G29" s="71"/>
      <c r="H29" s="71"/>
      <c r="I29" s="71"/>
      <c r="J29" s="60">
        <f t="shared" si="1"/>
        <v>5</v>
      </c>
    </row>
    <row r="30">
      <c r="A30" s="55"/>
      <c r="B30" s="75" t="s">
        <v>53</v>
      </c>
      <c r="C30" s="76"/>
      <c r="D30" s="77"/>
      <c r="E30" s="78">
        <v>5.0</v>
      </c>
      <c r="F30" s="76"/>
      <c r="G30" s="78">
        <v>3.0</v>
      </c>
      <c r="H30" s="76"/>
      <c r="I30" s="76"/>
      <c r="J30" s="79">
        <f t="shared" si="1"/>
        <v>8</v>
      </c>
    </row>
    <row r="31">
      <c r="A31" s="55"/>
      <c r="B31" s="80" t="s">
        <v>54</v>
      </c>
      <c r="C31" s="81">
        <v>3.0</v>
      </c>
      <c r="D31" s="82"/>
      <c r="E31" s="83"/>
      <c r="F31" s="83"/>
      <c r="G31" s="83"/>
      <c r="H31" s="83"/>
      <c r="I31" s="83"/>
      <c r="J31" s="68">
        <f t="shared" si="1"/>
        <v>3</v>
      </c>
    </row>
    <row r="32">
      <c r="A32" s="55"/>
      <c r="B32" s="80" t="s">
        <v>55</v>
      </c>
      <c r="C32" s="84"/>
      <c r="D32" s="85"/>
      <c r="E32" s="86">
        <v>5.0</v>
      </c>
      <c r="F32" s="84"/>
      <c r="G32" s="84"/>
      <c r="H32" s="84"/>
      <c r="I32" s="84"/>
      <c r="J32" s="87">
        <f t="shared" si="1"/>
        <v>5</v>
      </c>
    </row>
    <row r="33">
      <c r="A33" s="55"/>
      <c r="B33" s="88" t="s">
        <v>56</v>
      </c>
      <c r="C33" s="81">
        <v>3.0</v>
      </c>
      <c r="D33" s="89">
        <v>1.0</v>
      </c>
      <c r="E33" s="81">
        <v>5.0</v>
      </c>
      <c r="F33" s="83"/>
      <c r="G33" s="83"/>
      <c r="H33" s="81">
        <v>1.0</v>
      </c>
      <c r="I33" s="81">
        <v>1.0</v>
      </c>
      <c r="J33" s="42">
        <f t="shared" si="1"/>
        <v>11</v>
      </c>
    </row>
    <row r="34">
      <c r="A34" s="55"/>
      <c r="B34" s="90" t="s">
        <v>57</v>
      </c>
      <c r="C34" s="86">
        <v>3.0</v>
      </c>
      <c r="D34" s="85"/>
      <c r="E34" s="86">
        <v>5.0</v>
      </c>
      <c r="F34" s="84"/>
      <c r="G34" s="84"/>
      <c r="H34" s="86">
        <v>1.0</v>
      </c>
      <c r="I34" s="84"/>
      <c r="J34" s="91">
        <f t="shared" si="1"/>
        <v>9</v>
      </c>
    </row>
    <row r="35">
      <c r="A35" s="55"/>
      <c r="B35" s="90" t="s">
        <v>58</v>
      </c>
      <c r="C35" s="81">
        <v>3.0</v>
      </c>
      <c r="D35" s="82"/>
      <c r="E35" s="83"/>
      <c r="F35" s="81">
        <v>3.0</v>
      </c>
      <c r="G35" s="83"/>
      <c r="H35" s="83"/>
      <c r="I35" s="83"/>
      <c r="J35" s="42">
        <f t="shared" si="1"/>
        <v>6</v>
      </c>
    </row>
    <row r="36">
      <c r="A36" s="55"/>
      <c r="B36" s="90" t="s">
        <v>59</v>
      </c>
      <c r="C36" s="92"/>
      <c r="D36" s="93"/>
      <c r="E36" s="94">
        <v>5.0</v>
      </c>
      <c r="F36" s="92"/>
      <c r="G36" s="92"/>
      <c r="H36" s="92"/>
      <c r="I36" s="92"/>
      <c r="J36" s="95">
        <f t="shared" si="1"/>
        <v>5</v>
      </c>
    </row>
    <row r="37">
      <c r="A37" s="55"/>
      <c r="B37" s="90" t="s">
        <v>60</v>
      </c>
      <c r="C37" s="83"/>
      <c r="D37" s="82"/>
      <c r="E37" s="83"/>
      <c r="F37" s="83"/>
      <c r="G37" s="83"/>
      <c r="H37" s="83"/>
      <c r="I37" s="83"/>
      <c r="J37" s="42">
        <f t="shared" si="1"/>
        <v>0</v>
      </c>
    </row>
    <row r="38">
      <c r="A38" s="55"/>
      <c r="B38" s="90" t="s">
        <v>61</v>
      </c>
      <c r="C38" s="86">
        <v>3.0</v>
      </c>
      <c r="D38" s="85"/>
      <c r="E38" s="86">
        <v>5.0</v>
      </c>
      <c r="F38" s="86">
        <v>3.0</v>
      </c>
      <c r="G38" s="86">
        <v>3.0</v>
      </c>
      <c r="H38" s="84"/>
      <c r="I38" s="84"/>
      <c r="J38" s="91">
        <f t="shared" si="1"/>
        <v>14</v>
      </c>
    </row>
    <row r="39">
      <c r="A39" s="55"/>
      <c r="B39" s="90" t="s">
        <v>62</v>
      </c>
      <c r="C39" s="83"/>
      <c r="D39" s="82"/>
      <c r="E39" s="83"/>
      <c r="F39" s="83"/>
      <c r="G39" s="83"/>
      <c r="H39" s="83"/>
      <c r="I39" s="83"/>
      <c r="J39" s="42">
        <f t="shared" si="1"/>
        <v>0</v>
      </c>
    </row>
    <row r="40">
      <c r="A40" s="55"/>
      <c r="B40" s="90" t="s">
        <v>63</v>
      </c>
      <c r="C40" s="84"/>
      <c r="D40" s="85"/>
      <c r="E40" s="84"/>
      <c r="F40" s="84"/>
      <c r="G40" s="84"/>
      <c r="H40" s="84"/>
      <c r="I40" s="84"/>
      <c r="J40" s="91">
        <f t="shared" si="1"/>
        <v>0</v>
      </c>
    </row>
    <row r="41">
      <c r="A41" s="55"/>
      <c r="B41" s="90" t="s">
        <v>64</v>
      </c>
      <c r="C41" s="81">
        <v>3.0</v>
      </c>
      <c r="D41" s="82"/>
      <c r="E41" s="81">
        <v>5.0</v>
      </c>
      <c r="F41" s="83"/>
      <c r="G41" s="81">
        <v>3.0</v>
      </c>
      <c r="H41" s="83"/>
      <c r="I41" s="83"/>
      <c r="J41" s="42">
        <f t="shared" si="1"/>
        <v>11</v>
      </c>
    </row>
    <row r="42">
      <c r="A42" s="55"/>
      <c r="B42" s="90" t="s">
        <v>65</v>
      </c>
      <c r="C42" s="92"/>
      <c r="D42" s="93"/>
      <c r="E42" s="94">
        <v>5.0</v>
      </c>
      <c r="F42" s="92"/>
      <c r="G42" s="92"/>
      <c r="H42" s="92"/>
      <c r="I42" s="92"/>
      <c r="J42" s="95">
        <f t="shared" si="1"/>
        <v>5</v>
      </c>
    </row>
    <row r="43">
      <c r="A43" s="96"/>
      <c r="B43" s="97" t="s">
        <v>66</v>
      </c>
      <c r="C43" s="98"/>
      <c r="D43" s="99"/>
      <c r="E43" s="100">
        <v>5.0</v>
      </c>
      <c r="F43" s="100">
        <v>1.0</v>
      </c>
      <c r="G43" s="98"/>
      <c r="H43" s="100">
        <v>1.0</v>
      </c>
      <c r="I43" s="98"/>
      <c r="J43" s="101">
        <f t="shared" si="1"/>
        <v>7</v>
      </c>
    </row>
    <row r="44">
      <c r="A44" s="102" t="s">
        <v>67</v>
      </c>
      <c r="B44" s="103"/>
      <c r="C44" s="104">
        <f t="shared" ref="C44:I44" si="2">COUNT(C5:C43)</f>
        <v>17</v>
      </c>
      <c r="D44" s="104">
        <f t="shared" si="2"/>
        <v>4</v>
      </c>
      <c r="E44" s="104">
        <f t="shared" si="2"/>
        <v>30</v>
      </c>
      <c r="F44" s="104">
        <f t="shared" si="2"/>
        <v>4</v>
      </c>
      <c r="G44" s="104">
        <f t="shared" si="2"/>
        <v>8</v>
      </c>
      <c r="H44" s="104">
        <f t="shared" si="2"/>
        <v>6</v>
      </c>
      <c r="I44" s="104">
        <f t="shared" si="2"/>
        <v>6</v>
      </c>
    </row>
  </sheetData>
  <mergeCells count="5">
    <mergeCell ref="A1:A4"/>
    <mergeCell ref="J1:J4"/>
    <mergeCell ref="A5:A11"/>
    <mergeCell ref="A12:A43"/>
    <mergeCell ref="A44:B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