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58723F80-0FDA-4773-9AB6-0319995BFC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9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M50" i="1" l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K51" i="1"/>
  <c r="L51" i="1"/>
  <c r="J51" i="1"/>
  <c r="H51" i="1"/>
  <c r="I51" i="1"/>
  <c r="G51" i="1"/>
  <c r="F51" i="1"/>
  <c r="E51" i="1"/>
  <c r="D51" i="1"/>
  <c r="C51" i="1"/>
</calcChain>
</file>

<file path=xl/sharedStrings.xml><?xml version="1.0" encoding="utf-8"?>
<sst xmlns="http://schemas.openxmlformats.org/spreadsheetml/2006/main" count="95" uniqueCount="85">
  <si>
    <t>날짜</t>
  </si>
  <si>
    <t>누적 점수</t>
  </si>
  <si>
    <t>구분</t>
  </si>
  <si>
    <t>활동</t>
  </si>
  <si>
    <t>-</t>
  </si>
  <si>
    <t>주최자</t>
  </si>
  <si>
    <t>이진진</t>
  </si>
  <si>
    <t>박서현</t>
  </si>
  <si>
    <t>임정연</t>
  </si>
  <si>
    <t>운영진</t>
  </si>
  <si>
    <t>이규엽</t>
  </si>
  <si>
    <t>활동회원</t>
  </si>
  <si>
    <t>황인우</t>
  </si>
  <si>
    <t>김해찬</t>
  </si>
  <si>
    <t>이원준</t>
  </si>
  <si>
    <t>김주곤</t>
  </si>
  <si>
    <t>김태형</t>
  </si>
  <si>
    <t>이수민</t>
  </si>
  <si>
    <t>김보라</t>
  </si>
  <si>
    <t>김지우</t>
  </si>
  <si>
    <t>오재민</t>
  </si>
  <si>
    <t>참여 인원</t>
  </si>
  <si>
    <t>오리엔테이션</t>
  </si>
  <si>
    <t>김민구</t>
  </si>
  <si>
    <t>이광민</t>
  </si>
  <si>
    <t>강준</t>
    <phoneticPr fontId="4" type="noConversion"/>
  </si>
  <si>
    <t>김민지</t>
    <phoneticPr fontId="4" type="noConversion"/>
  </si>
  <si>
    <t>김채린</t>
    <phoneticPr fontId="4" type="noConversion"/>
  </si>
  <si>
    <t>박소현</t>
    <phoneticPr fontId="4" type="noConversion"/>
  </si>
  <si>
    <t>양진석</t>
    <phoneticPr fontId="4" type="noConversion"/>
  </si>
  <si>
    <t>이예림</t>
    <phoneticPr fontId="4" type="noConversion"/>
  </si>
  <si>
    <t>조용근</t>
    <phoneticPr fontId="4" type="noConversion"/>
  </si>
  <si>
    <t>홍채원</t>
    <phoneticPr fontId="4" type="noConversion"/>
  </si>
  <si>
    <t>1차 정기모임</t>
    <phoneticPr fontId="4" type="noConversion"/>
  </si>
  <si>
    <t>-</t>
    <phoneticPr fontId="4" type="noConversion"/>
  </si>
  <si>
    <t>2차 정기모임</t>
    <phoneticPr fontId="4" type="noConversion"/>
  </si>
  <si>
    <t>대학로 연극</t>
    <phoneticPr fontId="4" type="noConversion"/>
  </si>
  <si>
    <t>비정기모임</t>
    <phoneticPr fontId="4" type="noConversion"/>
  </si>
  <si>
    <t>9월</t>
    <phoneticPr fontId="4" type="noConversion"/>
  </si>
  <si>
    <t>홍석범</t>
  </si>
  <si>
    <t>류혜원</t>
  </si>
  <si>
    <t>권지연</t>
  </si>
  <si>
    <t>김용현</t>
  </si>
  <si>
    <t>문제원</t>
  </si>
  <si>
    <t>민현호</t>
  </si>
  <si>
    <t>박한웅</t>
  </si>
  <si>
    <t>배규현</t>
  </si>
  <si>
    <t>배환규</t>
  </si>
  <si>
    <t>백성옥</t>
    <phoneticPr fontId="4" type="noConversion"/>
  </si>
  <si>
    <t>송재민</t>
  </si>
  <si>
    <t>신희찬</t>
  </si>
  <si>
    <t>안우석</t>
  </si>
  <si>
    <t>안지윤</t>
  </si>
  <si>
    <t>오승준</t>
  </si>
  <si>
    <t>유지훈</t>
  </si>
  <si>
    <t>이주연</t>
  </si>
  <si>
    <t>최가원</t>
  </si>
  <si>
    <t>오소현</t>
    <phoneticPr fontId="4" type="noConversion"/>
  </si>
  <si>
    <t>윤민식</t>
    <phoneticPr fontId="4" type="noConversion"/>
  </si>
  <si>
    <t>신혜원</t>
    <phoneticPr fontId="4" type="noConversion"/>
  </si>
  <si>
    <t>김세미</t>
    <phoneticPr fontId="4" type="noConversion"/>
  </si>
  <si>
    <t>09.02</t>
    <phoneticPr fontId="4" type="noConversion"/>
  </si>
  <si>
    <t>권희원</t>
    <phoneticPr fontId="4" type="noConversion"/>
  </si>
  <si>
    <t>09.08</t>
    <phoneticPr fontId="4" type="noConversion"/>
  </si>
  <si>
    <t>교대 자전거</t>
    <phoneticPr fontId="4" type="noConversion"/>
  </si>
  <si>
    <t>이진진</t>
    <phoneticPr fontId="4" type="noConversion"/>
  </si>
  <si>
    <t>09.09</t>
    <phoneticPr fontId="4" type="noConversion"/>
  </si>
  <si>
    <t>09.15</t>
    <phoneticPr fontId="4" type="noConversion"/>
  </si>
  <si>
    <t>종로 광장시장</t>
    <phoneticPr fontId="4" type="noConversion"/>
  </si>
  <si>
    <t>-</t>
    <phoneticPr fontId="4" type="noConversion"/>
  </si>
  <si>
    <t>건대 술</t>
    <phoneticPr fontId="4" type="noConversion"/>
  </si>
  <si>
    <t>임정연, 박서현</t>
    <phoneticPr fontId="4" type="noConversion"/>
  </si>
  <si>
    <t>09.16</t>
    <phoneticPr fontId="4" type="noConversion"/>
  </si>
  <si>
    <t>09.22</t>
    <phoneticPr fontId="4" type="noConversion"/>
  </si>
  <si>
    <t>09.23</t>
    <phoneticPr fontId="4" type="noConversion"/>
  </si>
  <si>
    <t>3차 정기모임</t>
    <phoneticPr fontId="4" type="noConversion"/>
  </si>
  <si>
    <t>신촌 술</t>
    <phoneticPr fontId="4" type="noConversion"/>
  </si>
  <si>
    <t>여의도 한강</t>
    <phoneticPr fontId="4" type="noConversion"/>
  </si>
  <si>
    <t>09.30</t>
    <phoneticPr fontId="4" type="noConversion"/>
  </si>
  <si>
    <t>캐리비안베이</t>
    <phoneticPr fontId="4" type="noConversion"/>
  </si>
  <si>
    <t>09.27</t>
    <phoneticPr fontId="4" type="noConversion"/>
  </si>
  <si>
    <t>홍대 술</t>
    <phoneticPr fontId="4" type="noConversion"/>
  </si>
  <si>
    <t>유지훈</t>
    <phoneticPr fontId="4" type="noConversion"/>
  </si>
  <si>
    <t>4차 정기모임</t>
    <phoneticPr fontId="4" type="noConversion"/>
  </si>
  <si>
    <t>09.28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</si>
</sst>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8"/>
      <name val="Calibri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rgb="FFBDD6EE"/>
      </patternFill>
    </fill>
    <fill>
      <patternFill patternType="solid">
        <fgColor rgb="FFECD1FB"/>
        <bgColor rgb="FFC5E0B3"/>
      </patternFill>
    </fill>
    <fill>
      <patternFill patternType="solid">
        <fgColor rgb="FFECD1FB"/>
        <bgColor rgb="FFBDD6EE"/>
      </patternFill>
    </fill>
    <fill>
      <patternFill patternType="solid">
        <fgColor rgb="FFECD1FB"/>
        <bgColor rgb="FFFFE598"/>
      </patternFill>
    </fill>
    <fill>
      <patternFill patternType="solid">
        <fgColor theme="8" tint="0.59999389629810485"/>
        <bgColor rgb="FFFFE59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CD1FB"/>
      </patternFill>
    </fill>
  </fills>
  <borders count="68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B7B7B"/>
      </right>
      <top/>
      <bottom style="thin">
        <color rgb="FF757070"/>
      </bottom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/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rgb="FF757070"/>
      </right>
      <top/>
      <bottom style="thin">
        <color theme="0" tint="-0.34998626667073579"/>
      </bottom>
      <diagonal/>
    </border>
    <border>
      <left/>
      <right style="thin">
        <color rgb="FF757070"/>
      </right>
      <top/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5A5A5"/>
      </bottom>
      <diagonal/>
    </border>
    <border>
      <left/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757070"/>
      </right>
      <top style="thin">
        <color rgb="FFAEABAB"/>
      </top>
      <bottom/>
      <diagonal/>
    </border>
    <border>
      <left/>
      <right style="thin">
        <color rgb="FF757070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/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/>
      <bottom style="thin">
        <color rgb="FFAEABAB"/>
      </bottom>
      <diagonal/>
    </border>
    <border>
      <left style="thin">
        <color rgb="FF7B7B7B"/>
      </left>
      <right/>
      <top/>
      <bottom style="thin">
        <color rgb="FFAEABAB"/>
      </bottom>
      <diagonal/>
    </border>
    <border>
      <left/>
      <right style="thin">
        <color rgb="FF757070"/>
      </right>
      <top/>
      <bottom style="thin">
        <color theme="0" tint="-0.499984740745262"/>
      </bottom>
      <diagonal/>
    </border>
    <border>
      <left style="thin">
        <color rgb="FF757070"/>
      </left>
      <right style="thin">
        <color rgb="FF757070"/>
      </right>
      <top/>
      <bottom style="thin">
        <color theme="0" tint="-0.499984740745262"/>
      </bottom>
      <diagonal/>
    </border>
    <border>
      <left style="thin">
        <color rgb="FF757070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rgb="FF757070"/>
      </left>
      <right/>
      <top/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/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499984740745262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rgb="FF757070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B7B7B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16" borderId="24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 vertical="center"/>
    </xf>
    <xf numFmtId="0" fontId="1" fillId="16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15" borderId="36" xfId="0" applyFont="1" applyFill="1" applyBorder="1" applyAlignment="1">
      <alignment horizontal="center" vertical="center"/>
    </xf>
    <xf numFmtId="0" fontId="1" fillId="15" borderId="38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0" fontId="1" fillId="17" borderId="38" xfId="0" applyFont="1" applyFill="1" applyBorder="1" applyAlignment="1">
      <alignment horizontal="center" vertical="center"/>
    </xf>
    <xf numFmtId="0" fontId="1" fillId="17" borderId="42" xfId="0" applyFont="1" applyFill="1" applyBorder="1" applyAlignment="1">
      <alignment horizontal="center" vertical="center"/>
    </xf>
    <xf numFmtId="0" fontId="1" fillId="14" borderId="44" xfId="0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48" xfId="0" applyFont="1" applyFill="1" applyBorder="1" applyAlignment="1">
      <alignment horizontal="center" vertical="center"/>
    </xf>
    <xf numFmtId="0" fontId="1" fillId="13" borderId="47" xfId="0" applyFont="1" applyFill="1" applyBorder="1" applyAlignment="1">
      <alignment horizontal="center" vertical="center"/>
    </xf>
    <xf numFmtId="0" fontId="1" fillId="13" borderId="49" xfId="0" applyFont="1" applyFill="1" applyBorder="1" applyAlignment="1">
      <alignment horizontal="center" vertical="center"/>
    </xf>
    <xf numFmtId="0" fontId="1" fillId="18" borderId="43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11" borderId="55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14" borderId="39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8" borderId="63" xfId="0" applyFont="1" applyFill="1" applyBorder="1" applyAlignment="1">
      <alignment horizontal="center" vertical="center"/>
    </xf>
    <xf numFmtId="0" fontId="1" fillId="9" borderId="64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14" borderId="6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8" borderId="5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0" fontId="1" fillId="5" borderId="62" xfId="0" applyFont="1" applyFill="1" applyBorder="1" applyAlignment="1">
      <alignment horizontal="center" vertical="center"/>
    </xf>
    <xf numFmtId="0" fontId="1" fillId="5" borderId="67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5" zoomScaleNormal="85" workbookViewId="0">
      <selection activeCell="P9" sqref="P9"/>
    </sheetView>
  </sheetViews>
  <sheetFormatPr defaultColWidth="14.42578125" defaultRowHeight="15"/>
  <cols>
    <col min="1" max="1" width="12.5703125" customWidth="1"/>
    <col min="2" max="2" width="15.5703125" customWidth="1"/>
    <col min="3" max="12" width="18.42578125" customWidth="1"/>
    <col min="13" max="13" width="11.140625" bestFit="1" customWidth="1"/>
  </cols>
  <sheetData>
    <row r="1" spans="1:13" ht="16.5">
      <c r="A1" s="89" t="s">
        <v>38</v>
      </c>
      <c r="B1" s="1" t="s">
        <v>0</v>
      </c>
      <c r="C1" s="3" t="s">
        <v>61</v>
      </c>
      <c r="D1" s="2" t="s">
        <v>63</v>
      </c>
      <c r="E1" s="3" t="s">
        <v>66</v>
      </c>
      <c r="F1" s="3" t="s">
        <v>67</v>
      </c>
      <c r="G1" s="2" t="s">
        <v>72</v>
      </c>
      <c r="H1" s="2" t="s">
        <v>73</v>
      </c>
      <c r="I1" s="3" t="s">
        <v>74</v>
      </c>
      <c r="J1" s="2" t="s">
        <v>80</v>
      </c>
      <c r="K1" s="2" t="s">
        <v>84</v>
      </c>
      <c r="L1" s="3" t="s">
        <v>78</v>
      </c>
      <c r="M1" s="92" t="s">
        <v>1</v>
      </c>
    </row>
    <row r="2" spans="1:13" ht="16.5">
      <c r="A2" s="90"/>
      <c r="B2" s="4" t="s">
        <v>2</v>
      </c>
      <c r="C2" s="5" t="s">
        <v>22</v>
      </c>
      <c r="D2" s="4" t="s">
        <v>37</v>
      </c>
      <c r="E2" s="5" t="s">
        <v>33</v>
      </c>
      <c r="F2" s="5" t="s">
        <v>35</v>
      </c>
      <c r="G2" s="4" t="s">
        <v>37</v>
      </c>
      <c r="H2" s="4" t="s">
        <v>37</v>
      </c>
      <c r="I2" s="5" t="s">
        <v>75</v>
      </c>
      <c r="J2" s="4" t="s">
        <v>37</v>
      </c>
      <c r="K2" s="4" t="s">
        <v>37</v>
      </c>
      <c r="L2" s="5" t="s">
        <v>83</v>
      </c>
      <c r="M2" s="93"/>
    </row>
    <row r="3" spans="1:13" ht="16.5">
      <c r="A3" s="90"/>
      <c r="B3" s="6" t="s">
        <v>3</v>
      </c>
      <c r="C3" s="7" t="s">
        <v>4</v>
      </c>
      <c r="D3" s="6" t="s">
        <v>64</v>
      </c>
      <c r="E3" s="7" t="s">
        <v>68</v>
      </c>
      <c r="F3" s="7" t="s">
        <v>36</v>
      </c>
      <c r="G3" s="6" t="s">
        <v>70</v>
      </c>
      <c r="H3" s="6" t="s">
        <v>76</v>
      </c>
      <c r="I3" s="7" t="s">
        <v>77</v>
      </c>
      <c r="J3" s="6" t="s">
        <v>81</v>
      </c>
      <c r="K3" s="6" t="s">
        <v>81</v>
      </c>
      <c r="L3" s="7" t="s">
        <v>79</v>
      </c>
      <c r="M3" s="93"/>
    </row>
    <row r="4" spans="1:13" ht="16.5">
      <c r="A4" s="91"/>
      <c r="B4" s="8" t="s">
        <v>5</v>
      </c>
      <c r="C4" s="9" t="s">
        <v>4</v>
      </c>
      <c r="D4" s="8" t="s">
        <v>65</v>
      </c>
      <c r="E4" s="9" t="s">
        <v>34</v>
      </c>
      <c r="F4" s="9" t="s">
        <v>69</v>
      </c>
      <c r="G4" s="8" t="s">
        <v>71</v>
      </c>
      <c r="H4" s="8" t="s">
        <v>65</v>
      </c>
      <c r="I4" s="9" t="s">
        <v>34</v>
      </c>
      <c r="J4" s="8" t="s">
        <v>82</v>
      </c>
      <c r="K4" s="8" t="s">
        <v>28</v>
      </c>
      <c r="L4" s="9" t="s">
        <v>34</v>
      </c>
      <c r="M4" s="94"/>
    </row>
    <row r="5" spans="1:13" ht="16.5">
      <c r="A5" s="95" t="s">
        <v>9</v>
      </c>
      <c r="B5" s="10" t="s">
        <v>6</v>
      </c>
      <c r="C5" s="11">
        <v>5</v>
      </c>
      <c r="D5" s="12">
        <v>2</v>
      </c>
      <c r="E5" s="11">
        <v>3</v>
      </c>
      <c r="F5" s="11">
        <v>1</v>
      </c>
      <c r="G5" s="11">
        <v>1</v>
      </c>
      <c r="H5" s="11">
        <v>2</v>
      </c>
      <c r="I5" s="11">
        <v>3</v>
      </c>
      <c r="J5" s="11"/>
      <c r="K5" s="11">
        <v>1</v>
      </c>
      <c r="L5" s="11">
        <v>3</v>
      </c>
      <c r="M5" s="13">
        <f t="shared" ref="M5:M50" si="0">SUM(C5:L5)</f>
        <v>21</v>
      </c>
    </row>
    <row r="6" spans="1:13" ht="16.5">
      <c r="A6" s="96"/>
      <c r="B6" s="14" t="s">
        <v>10</v>
      </c>
      <c r="C6" s="15">
        <v>5</v>
      </c>
      <c r="D6" s="76"/>
      <c r="E6" s="15">
        <v>3</v>
      </c>
      <c r="F6" s="15">
        <v>1</v>
      </c>
      <c r="G6" s="15"/>
      <c r="H6" s="15"/>
      <c r="I6" s="15">
        <v>3</v>
      </c>
      <c r="J6" s="15"/>
      <c r="K6" s="15"/>
      <c r="L6" s="15"/>
      <c r="M6" s="43">
        <f t="shared" si="0"/>
        <v>12</v>
      </c>
    </row>
    <row r="7" spans="1:13" ht="16.5">
      <c r="A7" s="96"/>
      <c r="B7" s="30" t="s">
        <v>57</v>
      </c>
      <c r="C7" s="16">
        <v>5</v>
      </c>
      <c r="D7" s="17"/>
      <c r="E7" s="16"/>
      <c r="F7" s="16">
        <v>3</v>
      </c>
      <c r="G7" s="16"/>
      <c r="H7" s="16"/>
      <c r="I7" s="16"/>
      <c r="J7" s="16"/>
      <c r="K7" s="16"/>
      <c r="L7" s="16"/>
      <c r="M7" s="44">
        <f t="shared" si="0"/>
        <v>8</v>
      </c>
    </row>
    <row r="8" spans="1:13" ht="16.5">
      <c r="A8" s="96"/>
      <c r="B8" s="31" t="s">
        <v>58</v>
      </c>
      <c r="C8" s="15">
        <v>5</v>
      </c>
      <c r="D8" s="76"/>
      <c r="E8" s="15">
        <v>3</v>
      </c>
      <c r="F8" s="15">
        <v>1</v>
      </c>
      <c r="G8" s="15">
        <v>1</v>
      </c>
      <c r="H8" s="15"/>
      <c r="I8" s="15">
        <v>3</v>
      </c>
      <c r="J8" s="15"/>
      <c r="K8" s="15"/>
      <c r="L8" s="15"/>
      <c r="M8" s="43">
        <f t="shared" si="0"/>
        <v>13</v>
      </c>
    </row>
    <row r="9" spans="1:13" ht="16.5">
      <c r="A9" s="96"/>
      <c r="B9" s="70" t="s">
        <v>59</v>
      </c>
      <c r="C9" s="71">
        <v>3</v>
      </c>
      <c r="D9" s="72"/>
      <c r="E9" s="71"/>
      <c r="F9" s="71"/>
      <c r="G9" s="71"/>
      <c r="H9" s="71"/>
      <c r="I9" s="71">
        <v>1</v>
      </c>
      <c r="J9" s="71"/>
      <c r="K9" s="71">
        <v>1</v>
      </c>
      <c r="L9" s="71"/>
      <c r="M9" s="73">
        <f t="shared" si="0"/>
        <v>5</v>
      </c>
    </row>
    <row r="10" spans="1:13" ht="16.5">
      <c r="A10" s="97"/>
      <c r="B10" s="77" t="s">
        <v>60</v>
      </c>
      <c r="C10" s="78">
        <v>5</v>
      </c>
      <c r="D10" s="79"/>
      <c r="E10" s="78"/>
      <c r="F10" s="78"/>
      <c r="G10" s="78"/>
      <c r="H10" s="78"/>
      <c r="I10" s="78">
        <v>3</v>
      </c>
      <c r="J10" s="78"/>
      <c r="K10" s="78"/>
      <c r="L10" s="78"/>
      <c r="M10" s="80">
        <f t="shared" si="0"/>
        <v>8</v>
      </c>
    </row>
    <row r="11" spans="1:13" ht="16.5">
      <c r="A11" s="98" t="s">
        <v>11</v>
      </c>
      <c r="B11" s="83" t="s">
        <v>8</v>
      </c>
      <c r="C11" s="84"/>
      <c r="D11" s="85"/>
      <c r="E11" s="84"/>
      <c r="F11" s="84"/>
      <c r="G11" s="84">
        <v>2</v>
      </c>
      <c r="H11" s="84"/>
      <c r="I11" s="84"/>
      <c r="J11" s="84"/>
      <c r="K11" s="84"/>
      <c r="L11" s="84"/>
      <c r="M11" s="86">
        <f t="shared" si="0"/>
        <v>2</v>
      </c>
    </row>
    <row r="12" spans="1:13" ht="16.5">
      <c r="A12" s="99"/>
      <c r="B12" s="57" t="s">
        <v>39</v>
      </c>
      <c r="C12" s="18"/>
      <c r="D12" s="87"/>
      <c r="E12" s="18"/>
      <c r="F12" s="18"/>
      <c r="G12" s="18"/>
      <c r="H12" s="18"/>
      <c r="I12" s="18">
        <v>3</v>
      </c>
      <c r="J12" s="18"/>
      <c r="K12" s="18"/>
      <c r="L12" s="18"/>
      <c r="M12" s="48">
        <f t="shared" si="0"/>
        <v>3</v>
      </c>
    </row>
    <row r="13" spans="1:13" ht="16.5">
      <c r="A13" s="99"/>
      <c r="B13" s="58" t="s">
        <v>12</v>
      </c>
      <c r="C13" s="19"/>
      <c r="D13" s="20"/>
      <c r="E13" s="19"/>
      <c r="F13" s="19"/>
      <c r="G13" s="19"/>
      <c r="H13" s="19"/>
      <c r="I13" s="19"/>
      <c r="J13" s="19"/>
      <c r="K13" s="19"/>
      <c r="L13" s="19"/>
      <c r="M13" s="46">
        <f t="shared" si="0"/>
        <v>0</v>
      </c>
    </row>
    <row r="14" spans="1:13" ht="16.5">
      <c r="A14" s="99"/>
      <c r="B14" s="58" t="s">
        <v>7</v>
      </c>
      <c r="C14" s="18"/>
      <c r="D14" s="87"/>
      <c r="E14" s="18"/>
      <c r="F14" s="18"/>
      <c r="G14" s="18">
        <v>2</v>
      </c>
      <c r="H14" s="18"/>
      <c r="I14" s="18"/>
      <c r="J14" s="18"/>
      <c r="K14" s="18"/>
      <c r="L14" s="18"/>
      <c r="M14" s="48">
        <f t="shared" si="0"/>
        <v>2</v>
      </c>
    </row>
    <row r="15" spans="1:13" ht="16.5">
      <c r="A15" s="99"/>
      <c r="B15" s="58" t="s">
        <v>13</v>
      </c>
      <c r="C15" s="19"/>
      <c r="D15" s="20"/>
      <c r="E15" s="19"/>
      <c r="F15" s="19">
        <v>3</v>
      </c>
      <c r="G15" s="19">
        <v>1</v>
      </c>
      <c r="H15" s="19"/>
      <c r="I15" s="19"/>
      <c r="J15" s="19"/>
      <c r="K15" s="19"/>
      <c r="L15" s="19"/>
      <c r="M15" s="45">
        <f t="shared" si="0"/>
        <v>4</v>
      </c>
    </row>
    <row r="16" spans="1:13" ht="16.5">
      <c r="A16" s="99"/>
      <c r="B16" s="58" t="s">
        <v>14</v>
      </c>
      <c r="C16" s="18">
        <v>5</v>
      </c>
      <c r="D16" s="87"/>
      <c r="E16" s="18">
        <v>3</v>
      </c>
      <c r="F16" s="18"/>
      <c r="G16" s="18"/>
      <c r="H16" s="18"/>
      <c r="I16" s="18">
        <v>3</v>
      </c>
      <c r="J16" s="18"/>
      <c r="K16" s="18"/>
      <c r="L16" s="18"/>
      <c r="M16" s="48">
        <f t="shared" si="0"/>
        <v>11</v>
      </c>
    </row>
    <row r="17" spans="1:13" ht="16.5">
      <c r="A17" s="99"/>
      <c r="B17" s="59" t="s">
        <v>23</v>
      </c>
      <c r="C17" s="19"/>
      <c r="D17" s="20"/>
      <c r="E17" s="19"/>
      <c r="F17" s="19">
        <v>1</v>
      </c>
      <c r="G17" s="19"/>
      <c r="H17" s="19"/>
      <c r="I17" s="19"/>
      <c r="J17" s="19"/>
      <c r="K17" s="19"/>
      <c r="L17" s="19"/>
      <c r="M17" s="46">
        <f t="shared" si="0"/>
        <v>1</v>
      </c>
    </row>
    <row r="18" spans="1:13" ht="16.5">
      <c r="A18" s="99"/>
      <c r="B18" s="60" t="s">
        <v>24</v>
      </c>
      <c r="C18" s="18">
        <v>3</v>
      </c>
      <c r="D18" s="87"/>
      <c r="E18" s="18">
        <v>1</v>
      </c>
      <c r="F18" s="18"/>
      <c r="G18" s="18"/>
      <c r="H18" s="18"/>
      <c r="I18" s="18"/>
      <c r="J18" s="18"/>
      <c r="K18" s="18"/>
      <c r="L18" s="18"/>
      <c r="M18" s="48">
        <f t="shared" si="0"/>
        <v>4</v>
      </c>
    </row>
    <row r="19" spans="1:13" ht="16.5">
      <c r="A19" s="99"/>
      <c r="B19" s="61" t="s">
        <v>15</v>
      </c>
      <c r="C19" s="19"/>
      <c r="D19" s="21"/>
      <c r="E19" s="19"/>
      <c r="F19" s="19"/>
      <c r="G19" s="19"/>
      <c r="H19" s="19"/>
      <c r="I19" s="19"/>
      <c r="J19" s="19"/>
      <c r="K19" s="19"/>
      <c r="L19" s="19"/>
      <c r="M19" s="46">
        <f t="shared" si="0"/>
        <v>0</v>
      </c>
    </row>
    <row r="20" spans="1:13" ht="16.5">
      <c r="A20" s="99"/>
      <c r="B20" s="62" t="s">
        <v>16</v>
      </c>
      <c r="C20" s="18"/>
      <c r="D20" s="87"/>
      <c r="E20" s="18"/>
      <c r="F20" s="18"/>
      <c r="G20" s="18"/>
      <c r="H20" s="18"/>
      <c r="I20" s="18"/>
      <c r="J20" s="18"/>
      <c r="K20" s="18"/>
      <c r="L20" s="18"/>
      <c r="M20" s="47">
        <f t="shared" si="0"/>
        <v>0</v>
      </c>
    </row>
    <row r="21" spans="1:13" ht="16.5">
      <c r="A21" s="99"/>
      <c r="B21" s="63" t="s">
        <v>17</v>
      </c>
      <c r="C21" s="19">
        <v>3</v>
      </c>
      <c r="D21" s="20">
        <v>1</v>
      </c>
      <c r="E21" s="19">
        <v>1</v>
      </c>
      <c r="F21" s="19">
        <v>1</v>
      </c>
      <c r="G21" s="19"/>
      <c r="H21" s="19"/>
      <c r="I21" s="19"/>
      <c r="J21" s="19"/>
      <c r="K21" s="19"/>
      <c r="L21" s="19">
        <v>3</v>
      </c>
      <c r="M21" s="46">
        <f t="shared" si="0"/>
        <v>9</v>
      </c>
    </row>
    <row r="22" spans="1:13" ht="16.5">
      <c r="A22" s="99"/>
      <c r="B22" s="64" t="s">
        <v>40</v>
      </c>
      <c r="C22" s="18"/>
      <c r="D22" s="87"/>
      <c r="E22" s="18"/>
      <c r="F22" s="18"/>
      <c r="G22" s="18"/>
      <c r="H22" s="18"/>
      <c r="I22" s="18"/>
      <c r="J22" s="18"/>
      <c r="K22" s="18"/>
      <c r="L22" s="18"/>
      <c r="M22" s="48">
        <f t="shared" si="0"/>
        <v>0</v>
      </c>
    </row>
    <row r="23" spans="1:13" ht="16.5">
      <c r="A23" s="99"/>
      <c r="B23" s="65" t="s">
        <v>18</v>
      </c>
      <c r="C23" s="19"/>
      <c r="D23" s="20"/>
      <c r="E23" s="19">
        <v>3</v>
      </c>
      <c r="F23" s="19"/>
      <c r="G23" s="19"/>
      <c r="H23" s="19"/>
      <c r="I23" s="19"/>
      <c r="J23" s="19"/>
      <c r="K23" s="19"/>
      <c r="L23" s="19"/>
      <c r="M23" s="45">
        <f t="shared" si="0"/>
        <v>3</v>
      </c>
    </row>
    <row r="24" spans="1:13" ht="16.5">
      <c r="A24" s="99"/>
      <c r="B24" s="66" t="s">
        <v>19</v>
      </c>
      <c r="C24" s="22">
        <v>5</v>
      </c>
      <c r="D24" s="23"/>
      <c r="E24" s="22"/>
      <c r="F24" s="22"/>
      <c r="G24" s="22"/>
      <c r="H24" s="22"/>
      <c r="I24" s="22"/>
      <c r="J24" s="22"/>
      <c r="K24" s="22"/>
      <c r="L24" s="22"/>
      <c r="M24" s="49">
        <f t="shared" si="0"/>
        <v>5</v>
      </c>
    </row>
    <row r="25" spans="1:13" ht="16.5">
      <c r="A25" s="99"/>
      <c r="B25" s="66" t="s">
        <v>20</v>
      </c>
      <c r="C25" s="19"/>
      <c r="D25" s="20"/>
      <c r="E25" s="19"/>
      <c r="F25" s="19"/>
      <c r="G25" s="19"/>
      <c r="H25" s="19"/>
      <c r="I25" s="19"/>
      <c r="J25" s="19"/>
      <c r="K25" s="19"/>
      <c r="L25" s="19"/>
      <c r="M25" s="81">
        <f t="shared" si="0"/>
        <v>0</v>
      </c>
    </row>
    <row r="26" spans="1:13" ht="16.5">
      <c r="A26" s="99"/>
      <c r="B26" s="66" t="s">
        <v>25</v>
      </c>
      <c r="C26" s="22">
        <v>3</v>
      </c>
      <c r="D26" s="23"/>
      <c r="E26" s="22"/>
      <c r="F26" s="22"/>
      <c r="G26" s="22"/>
      <c r="H26" s="22"/>
      <c r="I26" s="22"/>
      <c r="J26" s="22"/>
      <c r="K26" s="22"/>
      <c r="L26" s="22"/>
      <c r="M26" s="48">
        <f t="shared" si="0"/>
        <v>3</v>
      </c>
    </row>
    <row r="27" spans="1:13" ht="16.5">
      <c r="A27" s="99"/>
      <c r="B27" s="67" t="s">
        <v>26</v>
      </c>
      <c r="C27" s="19"/>
      <c r="D27" s="20"/>
      <c r="E27" s="19"/>
      <c r="F27" s="19"/>
      <c r="G27" s="19"/>
      <c r="H27" s="19"/>
      <c r="I27" s="19"/>
      <c r="J27" s="19"/>
      <c r="K27" s="19"/>
      <c r="L27" s="19"/>
      <c r="M27" s="45">
        <f t="shared" si="0"/>
        <v>0</v>
      </c>
    </row>
    <row r="28" spans="1:13" ht="16.5">
      <c r="A28" s="99"/>
      <c r="B28" s="65" t="s">
        <v>27</v>
      </c>
      <c r="C28" s="22"/>
      <c r="D28" s="23"/>
      <c r="E28" s="22"/>
      <c r="F28" s="22"/>
      <c r="G28" s="22"/>
      <c r="H28" s="22"/>
      <c r="I28" s="22"/>
      <c r="J28" s="22"/>
      <c r="K28" s="22"/>
      <c r="L28" s="22"/>
      <c r="M28" s="48">
        <f t="shared" si="0"/>
        <v>0</v>
      </c>
    </row>
    <row r="29" spans="1:13" ht="16.5">
      <c r="A29" s="99"/>
      <c r="B29" s="66" t="s">
        <v>28</v>
      </c>
      <c r="C29" s="19">
        <v>3</v>
      </c>
      <c r="D29" s="20"/>
      <c r="E29" s="19">
        <v>3</v>
      </c>
      <c r="F29" s="19"/>
      <c r="G29" s="19"/>
      <c r="H29" s="19"/>
      <c r="I29" s="19"/>
      <c r="J29" s="19">
        <v>1</v>
      </c>
      <c r="K29" s="19">
        <v>2</v>
      </c>
      <c r="L29" s="19">
        <v>3</v>
      </c>
      <c r="M29" s="45">
        <f t="shared" si="0"/>
        <v>12</v>
      </c>
    </row>
    <row r="30" spans="1:13" ht="16.5">
      <c r="A30" s="99"/>
      <c r="B30" s="66" t="s">
        <v>29</v>
      </c>
      <c r="C30" s="22"/>
      <c r="D30" s="23"/>
      <c r="E30" s="22"/>
      <c r="F30" s="22"/>
      <c r="G30" s="22"/>
      <c r="H30" s="22"/>
      <c r="I30" s="22"/>
      <c r="J30" s="22"/>
      <c r="K30" s="22"/>
      <c r="L30" s="22"/>
      <c r="M30" s="48">
        <f t="shared" si="0"/>
        <v>0</v>
      </c>
    </row>
    <row r="31" spans="1:13" ht="16.5">
      <c r="A31" s="99"/>
      <c r="B31" s="66" t="s">
        <v>30</v>
      </c>
      <c r="C31" s="19"/>
      <c r="D31" s="20"/>
      <c r="E31" s="19">
        <v>1</v>
      </c>
      <c r="F31" s="19"/>
      <c r="G31" s="19">
        <v>1</v>
      </c>
      <c r="H31" s="19"/>
      <c r="I31" s="19">
        <v>3</v>
      </c>
      <c r="J31" s="19">
        <v>1</v>
      </c>
      <c r="K31" s="19"/>
      <c r="L31" s="19"/>
      <c r="M31" s="45">
        <f t="shared" si="0"/>
        <v>6</v>
      </c>
    </row>
    <row r="32" spans="1:13" ht="16.5">
      <c r="A32" s="99"/>
      <c r="B32" s="66" t="s">
        <v>31</v>
      </c>
      <c r="C32" s="32"/>
      <c r="D32" s="33"/>
      <c r="E32" s="32">
        <v>3</v>
      </c>
      <c r="F32" s="32"/>
      <c r="G32" s="32"/>
      <c r="H32" s="32"/>
      <c r="I32" s="32"/>
      <c r="J32" s="32"/>
      <c r="K32" s="32"/>
      <c r="L32" s="32"/>
      <c r="M32" s="82">
        <f t="shared" si="0"/>
        <v>3</v>
      </c>
    </row>
    <row r="33" spans="1:13" ht="16.5">
      <c r="A33" s="99"/>
      <c r="B33" s="68" t="s">
        <v>32</v>
      </c>
      <c r="C33" s="74">
        <v>5</v>
      </c>
      <c r="D33" s="75">
        <v>1</v>
      </c>
      <c r="E33" s="74">
        <v>3</v>
      </c>
      <c r="F33" s="74">
        <v>1</v>
      </c>
      <c r="G33" s="74">
        <v>1</v>
      </c>
      <c r="H33" s="74">
        <v>1</v>
      </c>
      <c r="I33" s="74"/>
      <c r="J33" s="74"/>
      <c r="K33" s="74"/>
      <c r="L33" s="74"/>
      <c r="M33" s="45">
        <f t="shared" si="0"/>
        <v>12</v>
      </c>
    </row>
    <row r="34" spans="1:13" ht="16.5">
      <c r="A34" s="99"/>
      <c r="B34" s="69" t="s">
        <v>41</v>
      </c>
      <c r="C34" s="34"/>
      <c r="D34" s="35"/>
      <c r="E34" s="34">
        <v>3</v>
      </c>
      <c r="F34" s="34"/>
      <c r="G34" s="34"/>
      <c r="H34" s="34"/>
      <c r="I34" s="34">
        <v>3</v>
      </c>
      <c r="J34" s="34">
        <v>1</v>
      </c>
      <c r="K34" s="34"/>
      <c r="L34" s="34"/>
      <c r="M34" s="50">
        <f t="shared" si="0"/>
        <v>7</v>
      </c>
    </row>
    <row r="35" spans="1:13" ht="16.5">
      <c r="A35" s="99"/>
      <c r="B35" s="69" t="s">
        <v>62</v>
      </c>
      <c r="C35" s="24">
        <v>5</v>
      </c>
      <c r="D35" s="36">
        <v>1</v>
      </c>
      <c r="E35" s="24">
        <v>1</v>
      </c>
      <c r="F35" s="24"/>
      <c r="G35" s="24"/>
      <c r="H35" s="24"/>
      <c r="I35" s="24"/>
      <c r="J35" s="24"/>
      <c r="K35" s="24"/>
      <c r="L35" s="24"/>
      <c r="M35" s="47">
        <f t="shared" si="0"/>
        <v>7</v>
      </c>
    </row>
    <row r="36" spans="1:13" ht="16.5">
      <c r="A36" s="99"/>
      <c r="B36" s="69" t="s">
        <v>42</v>
      </c>
      <c r="C36" s="25">
        <v>5</v>
      </c>
      <c r="D36" s="26"/>
      <c r="E36" s="25"/>
      <c r="F36" s="25">
        <v>3</v>
      </c>
      <c r="G36" s="25"/>
      <c r="H36" s="25"/>
      <c r="I36" s="25"/>
      <c r="J36" s="25"/>
      <c r="K36" s="25"/>
      <c r="L36" s="25"/>
      <c r="M36" s="51">
        <f t="shared" si="0"/>
        <v>8</v>
      </c>
    </row>
    <row r="37" spans="1:13" ht="16.5">
      <c r="A37" s="99"/>
      <c r="B37" s="69" t="s">
        <v>43</v>
      </c>
      <c r="C37" s="24">
        <v>5</v>
      </c>
      <c r="D37" s="36"/>
      <c r="E37" s="24">
        <v>3</v>
      </c>
      <c r="F37" s="24"/>
      <c r="G37" s="24"/>
      <c r="H37" s="24"/>
      <c r="I37" s="24">
        <v>3</v>
      </c>
      <c r="J37" s="24">
        <v>1</v>
      </c>
      <c r="K37" s="24"/>
      <c r="L37" s="24"/>
      <c r="M37" s="53">
        <f t="shared" si="0"/>
        <v>12</v>
      </c>
    </row>
    <row r="38" spans="1:13" ht="16.5">
      <c r="A38" s="99"/>
      <c r="B38" s="69" t="s">
        <v>44</v>
      </c>
      <c r="C38" s="25">
        <v>5</v>
      </c>
      <c r="D38" s="26">
        <v>1</v>
      </c>
      <c r="E38" s="25"/>
      <c r="F38" s="25"/>
      <c r="G38" s="25"/>
      <c r="H38" s="25"/>
      <c r="I38" s="25"/>
      <c r="J38" s="25"/>
      <c r="K38" s="25"/>
      <c r="L38" s="25"/>
      <c r="M38" s="52">
        <f t="shared" si="0"/>
        <v>6</v>
      </c>
    </row>
    <row r="39" spans="1:13" ht="16.5">
      <c r="A39" s="99"/>
      <c r="B39" s="69" t="s">
        <v>45</v>
      </c>
      <c r="C39" s="24"/>
      <c r="D39" s="36"/>
      <c r="E39" s="24">
        <v>3</v>
      </c>
      <c r="F39" s="24"/>
      <c r="G39" s="24"/>
      <c r="H39" s="24"/>
      <c r="I39" s="24"/>
      <c r="J39" s="24"/>
      <c r="K39" s="24"/>
      <c r="L39" s="24"/>
      <c r="M39" s="53">
        <f t="shared" si="0"/>
        <v>3</v>
      </c>
    </row>
    <row r="40" spans="1:13" ht="16.5">
      <c r="A40" s="99"/>
      <c r="B40" s="69" t="s">
        <v>46</v>
      </c>
      <c r="C40" s="27">
        <v>5</v>
      </c>
      <c r="D40" s="28">
        <v>1</v>
      </c>
      <c r="E40" s="27"/>
      <c r="F40" s="27"/>
      <c r="G40" s="27"/>
      <c r="H40" s="27"/>
      <c r="I40" s="27"/>
      <c r="J40" s="27"/>
      <c r="K40" s="27"/>
      <c r="L40" s="27"/>
      <c r="M40" s="54">
        <f t="shared" si="0"/>
        <v>6</v>
      </c>
    </row>
    <row r="41" spans="1:13" ht="16.5">
      <c r="A41" s="99"/>
      <c r="B41" s="69" t="s">
        <v>47</v>
      </c>
      <c r="C41" s="24">
        <v>5</v>
      </c>
      <c r="D41" s="36"/>
      <c r="E41" s="24"/>
      <c r="F41" s="24"/>
      <c r="G41" s="24">
        <v>1</v>
      </c>
      <c r="H41" s="24"/>
      <c r="I41" s="24">
        <v>3</v>
      </c>
      <c r="J41" s="24"/>
      <c r="K41" s="24"/>
      <c r="L41" s="24"/>
      <c r="M41" s="53">
        <f t="shared" si="0"/>
        <v>9</v>
      </c>
    </row>
    <row r="42" spans="1:13" ht="16.5">
      <c r="A42" s="99"/>
      <c r="B42" s="69" t="s">
        <v>48</v>
      </c>
      <c r="C42" s="39">
        <v>5</v>
      </c>
      <c r="D42" s="40"/>
      <c r="E42" s="39"/>
      <c r="F42" s="39"/>
      <c r="G42" s="39">
        <v>1</v>
      </c>
      <c r="H42" s="39"/>
      <c r="I42" s="39"/>
      <c r="J42" s="39"/>
      <c r="K42" s="39"/>
      <c r="L42" s="39"/>
      <c r="M42" s="55">
        <f t="shared" si="0"/>
        <v>6</v>
      </c>
    </row>
    <row r="43" spans="1:13" ht="16.5">
      <c r="A43" s="99"/>
      <c r="B43" s="69" t="s">
        <v>49</v>
      </c>
      <c r="C43" s="24">
        <v>5</v>
      </c>
      <c r="D43" s="36"/>
      <c r="E43" s="24"/>
      <c r="F43" s="24"/>
      <c r="G43" s="24"/>
      <c r="H43" s="24"/>
      <c r="I43" s="24"/>
      <c r="J43" s="24"/>
      <c r="K43" s="24"/>
      <c r="L43" s="24"/>
      <c r="M43" s="53">
        <f t="shared" si="0"/>
        <v>5</v>
      </c>
    </row>
    <row r="44" spans="1:13" ht="16.5">
      <c r="A44" s="99"/>
      <c r="B44" s="69" t="s">
        <v>50</v>
      </c>
      <c r="C44" s="25">
        <v>5</v>
      </c>
      <c r="D44" s="26"/>
      <c r="E44" s="25">
        <v>3</v>
      </c>
      <c r="F44" s="25">
        <v>3</v>
      </c>
      <c r="G44" s="25"/>
      <c r="H44" s="25"/>
      <c r="I44" s="25">
        <v>3</v>
      </c>
      <c r="J44" s="25">
        <v>1</v>
      </c>
      <c r="K44" s="25"/>
      <c r="L44" s="25">
        <v>3</v>
      </c>
      <c r="M44" s="52">
        <f t="shared" si="0"/>
        <v>18</v>
      </c>
    </row>
    <row r="45" spans="1:13" ht="16.5">
      <c r="A45" s="99"/>
      <c r="B45" s="69" t="s">
        <v>51</v>
      </c>
      <c r="C45" s="24"/>
      <c r="D45" s="36">
        <v>1</v>
      </c>
      <c r="E45" s="24"/>
      <c r="F45" s="24"/>
      <c r="G45" s="24"/>
      <c r="H45" s="24"/>
      <c r="I45" s="24"/>
      <c r="J45" s="24"/>
      <c r="K45" s="24"/>
      <c r="L45" s="24"/>
      <c r="M45" s="53">
        <f t="shared" si="0"/>
        <v>1</v>
      </c>
    </row>
    <row r="46" spans="1:13" ht="16.5">
      <c r="A46" s="99"/>
      <c r="B46" s="69" t="s">
        <v>52</v>
      </c>
      <c r="C46" s="27"/>
      <c r="D46" s="28"/>
      <c r="E46" s="27">
        <v>3</v>
      </c>
      <c r="F46" s="27"/>
      <c r="G46" s="27"/>
      <c r="H46" s="27"/>
      <c r="I46" s="27"/>
      <c r="J46" s="27"/>
      <c r="K46" s="27"/>
      <c r="L46" s="27"/>
      <c r="M46" s="54">
        <f t="shared" si="0"/>
        <v>3</v>
      </c>
    </row>
    <row r="47" spans="1:13" ht="16.5">
      <c r="A47" s="99"/>
      <c r="B47" s="69" t="s">
        <v>53</v>
      </c>
      <c r="C47" s="24">
        <v>5</v>
      </c>
      <c r="D47" s="36"/>
      <c r="E47" s="24">
        <v>3</v>
      </c>
      <c r="F47" s="24"/>
      <c r="G47" s="24"/>
      <c r="H47" s="24"/>
      <c r="I47" s="24">
        <v>3</v>
      </c>
      <c r="J47" s="24"/>
      <c r="K47" s="24"/>
      <c r="L47" s="24"/>
      <c r="M47" s="53">
        <f t="shared" si="0"/>
        <v>11</v>
      </c>
    </row>
    <row r="48" spans="1:13" ht="16.5">
      <c r="A48" s="99"/>
      <c r="B48" s="69" t="s">
        <v>54</v>
      </c>
      <c r="C48" s="39">
        <v>5</v>
      </c>
      <c r="D48" s="40">
        <v>1</v>
      </c>
      <c r="E48" s="39">
        <v>3</v>
      </c>
      <c r="F48" s="39">
        <v>1</v>
      </c>
      <c r="G48" s="39"/>
      <c r="H48" s="39">
        <v>1</v>
      </c>
      <c r="I48" s="39">
        <v>3</v>
      </c>
      <c r="J48" s="39">
        <v>2</v>
      </c>
      <c r="K48" s="39"/>
      <c r="L48" s="39"/>
      <c r="M48" s="55">
        <f t="shared" si="0"/>
        <v>16</v>
      </c>
    </row>
    <row r="49" spans="1:13" ht="16.5">
      <c r="A49" s="99"/>
      <c r="B49" s="69" t="s">
        <v>55</v>
      </c>
      <c r="C49" s="38">
        <v>5</v>
      </c>
      <c r="D49" s="37"/>
      <c r="E49" s="38"/>
      <c r="F49" s="38"/>
      <c r="G49" s="38"/>
      <c r="H49" s="38"/>
      <c r="I49" s="38">
        <v>1</v>
      </c>
      <c r="J49" s="38"/>
      <c r="K49" s="38"/>
      <c r="L49" s="38"/>
      <c r="M49" s="43">
        <f t="shared" si="0"/>
        <v>6</v>
      </c>
    </row>
    <row r="50" spans="1:13" ht="16.5">
      <c r="A50" s="100"/>
      <c r="B50" s="88" t="s">
        <v>56</v>
      </c>
      <c r="C50" s="41">
        <v>5</v>
      </c>
      <c r="D50" s="42"/>
      <c r="E50" s="41"/>
      <c r="F50" s="41"/>
      <c r="G50" s="41">
        <v>1</v>
      </c>
      <c r="H50" s="41"/>
      <c r="I50" s="41">
        <v>3</v>
      </c>
      <c r="J50" s="41"/>
      <c r="K50" s="41"/>
      <c r="L50" s="41"/>
      <c r="M50" s="56">
        <f t="shared" si="0"/>
        <v>9</v>
      </c>
    </row>
    <row r="51" spans="1:13" ht="16.5">
      <c r="A51" s="101" t="s">
        <v>21</v>
      </c>
      <c r="B51" s="102"/>
      <c r="C51" s="29">
        <f t="shared" ref="C51:J51" si="1">COUNT(C5:C50)</f>
        <v>26</v>
      </c>
      <c r="D51" s="29">
        <f t="shared" si="1"/>
        <v>8</v>
      </c>
      <c r="E51" s="29">
        <f t="shared" si="1"/>
        <v>19</v>
      </c>
      <c r="F51" s="29">
        <f t="shared" si="1"/>
        <v>11</v>
      </c>
      <c r="G51" s="29">
        <f t="shared" si="1"/>
        <v>10</v>
      </c>
      <c r="H51" s="29">
        <f t="shared" si="1"/>
        <v>3</v>
      </c>
      <c r="I51" s="29">
        <f t="shared" si="1"/>
        <v>16</v>
      </c>
      <c r="J51" s="29">
        <f t="shared" si="1"/>
        <v>6</v>
      </c>
      <c r="K51" s="29">
        <f t="shared" ref="K51:L51" si="2">COUNT(K5:K50)</f>
        <v>3</v>
      </c>
      <c r="L51" s="29">
        <f t="shared" si="2"/>
        <v>4</v>
      </c>
    </row>
  </sheetData>
  <mergeCells count="5">
    <mergeCell ref="M1:M4"/>
    <mergeCell ref="A51:B51"/>
    <mergeCell ref="A1:A4"/>
    <mergeCell ref="A5:A10"/>
    <mergeCell ref="A11:A50"/>
  </mergeCells>
  <phoneticPr fontId="4" type="noConversion"/>
  <pageMargins left="0.7" right="0.7" top="0.75" bottom="0.75" header="0" footer="0"/>
  <pageSetup paperSize="9" orientation="portrait" r:id="rId1"/>
  <ignoredErrors>
    <ignoredError sqref="C1 D1:E1 F1:G1 H1:J1 K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Jinjin Lee</cp:lastModifiedBy>
  <dcterms:created xsi:type="dcterms:W3CDTF">2022-12-30T09:25:14Z</dcterms:created>
  <dcterms:modified xsi:type="dcterms:W3CDTF">2023-10-25T03:38:40Z</dcterms:modified>
</cp:coreProperties>
</file>