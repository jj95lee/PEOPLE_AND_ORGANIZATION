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.03" sheetId="1" r:id="rId4"/>
    <sheet state="visible" name="2023.09" sheetId="2" r:id="rId5"/>
    <sheet state="visible" name="2023.07" sheetId="3" r:id="rId6"/>
    <sheet state="visible" name="2023.03" sheetId="4" r:id="rId7"/>
    <sheet state="visible" name="2023.01" sheetId="5" r:id="rId8"/>
    <sheet state="visible" name="2022.10" sheetId="6" r:id="rId9"/>
  </sheets>
  <definedNames/>
  <calcPr/>
  <extLst>
    <ext uri="GoogleSheetsCustomDataVersion2">
      <go:sheetsCustomData xmlns:go="http://customooxmlschemas.google.com/" r:id="rId10" roundtripDataChecksum="d+WX0cttBBqa96S0RVV4ihrdYJv3ElAG2Deu3OnDKrU="/>
    </ext>
  </extLst>
</workbook>
</file>

<file path=xl/sharedStrings.xml><?xml version="1.0" encoding="utf-8"?>
<sst xmlns="http://schemas.openxmlformats.org/spreadsheetml/2006/main" count="4606" uniqueCount="592">
  <si>
    <t>이름</t>
  </si>
  <si>
    <t>가입일</t>
  </si>
  <si>
    <t>연락처</t>
  </si>
  <si>
    <t>성별</t>
  </si>
  <si>
    <t>생년월일</t>
  </si>
  <si>
    <t>나이</t>
  </si>
  <si>
    <t>거주지역</t>
  </si>
  <si>
    <t>학교</t>
  </si>
  <si>
    <t>학과</t>
  </si>
  <si>
    <t>학번</t>
  </si>
  <si>
    <t>졸업여부</t>
  </si>
  <si>
    <t>직업</t>
  </si>
  <si>
    <t>MBTI</t>
  </si>
  <si>
    <t>교육이수</t>
  </si>
  <si>
    <t>총 인원</t>
  </si>
  <si>
    <t>운영진</t>
  </si>
  <si>
    <t>이원준</t>
  </si>
  <si>
    <t>22.07.04</t>
  </si>
  <si>
    <t>010-9954-7616</t>
  </si>
  <si>
    <t>남</t>
  </si>
  <si>
    <t>99.04.25</t>
  </si>
  <si>
    <t>고양시</t>
  </si>
  <si>
    <t>한국과학기술원</t>
  </si>
  <si>
    <t>졸업</t>
  </si>
  <si>
    <t>대학원생</t>
  </si>
  <si>
    <t>O</t>
  </si>
  <si>
    <t>이진진</t>
  </si>
  <si>
    <t>21.11.17</t>
  </si>
  <si>
    <t>010-5647-8792</t>
  </si>
  <si>
    <t>95.04.04</t>
  </si>
  <si>
    <t>서대문구</t>
  </si>
  <si>
    <t>연세대학교</t>
  </si>
  <si>
    <t>천문우주학과</t>
  </si>
  <si>
    <t>ESFJ</t>
  </si>
  <si>
    <t>이예림</t>
  </si>
  <si>
    <t>23.07.03</t>
  </si>
  <si>
    <t>010-4947-5132</t>
  </si>
  <si>
    <t>여</t>
  </si>
  <si>
    <t>99.08.31</t>
  </si>
  <si>
    <t>강남구</t>
  </si>
  <si>
    <t>신소재공학과</t>
  </si>
  <si>
    <t>재학</t>
  </si>
  <si>
    <t>대학생</t>
  </si>
  <si>
    <t>신희찬</t>
  </si>
  <si>
    <t>23.08.28</t>
  </si>
  <si>
    <t>010-9463-7815</t>
  </si>
  <si>
    <t>97.11.11</t>
  </si>
  <si>
    <t>한국항공대학교</t>
  </si>
  <si>
    <t>직장인</t>
  </si>
  <si>
    <t>문제원</t>
  </si>
  <si>
    <t>010-6742-3721</t>
  </si>
  <si>
    <t>98.06.04</t>
  </si>
  <si>
    <t>홍익대학교</t>
  </si>
  <si>
    <t>유지훈</t>
  </si>
  <si>
    <t>010-4041-8838</t>
  </si>
  <si>
    <t>95.06.09</t>
  </si>
  <si>
    <t>관악구</t>
  </si>
  <si>
    <t>중앙대학교</t>
  </si>
  <si>
    <t>융합공학부</t>
  </si>
  <si>
    <t>ISFP</t>
  </si>
  <si>
    <t>이주연</t>
  </si>
  <si>
    <t>010-9936-9404</t>
  </si>
  <si>
    <t>97.09.15</t>
  </si>
  <si>
    <t>남양주시</t>
  </si>
  <si>
    <t>서울시립대</t>
  </si>
  <si>
    <t>ESTP</t>
  </si>
  <si>
    <t>활동회원</t>
  </si>
  <si>
    <t>홍석범</t>
  </si>
  <si>
    <t>21.01.01</t>
  </si>
  <si>
    <t>010-4105-7366</t>
  </si>
  <si>
    <t>96.10.17</t>
  </si>
  <si>
    <t>인천시</t>
  </si>
  <si>
    <t>바이오메디컬공학</t>
  </si>
  <si>
    <t>ENFP</t>
  </si>
  <si>
    <t>황인우</t>
  </si>
  <si>
    <t>21.07.01</t>
  </si>
  <si>
    <t>010-2112-6562</t>
  </si>
  <si>
    <t>96.09.13</t>
  </si>
  <si>
    <t>수원시</t>
  </si>
  <si>
    <t>한국외국어대학교</t>
  </si>
  <si>
    <t>김해찬</t>
  </si>
  <si>
    <t>010-7166-9282</t>
  </si>
  <si>
    <t>98.09.21</t>
  </si>
  <si>
    <t>가천대학교</t>
  </si>
  <si>
    <t>취준</t>
  </si>
  <si>
    <t>이규엽</t>
  </si>
  <si>
    <t>010-9260-4634</t>
  </si>
  <si>
    <t>97.06.26</t>
  </si>
  <si>
    <t>은평구</t>
  </si>
  <si>
    <t>건국대학교</t>
  </si>
  <si>
    <t>경영학과</t>
  </si>
  <si>
    <t>ENFJ</t>
  </si>
  <si>
    <t>하은희</t>
  </si>
  <si>
    <t>010-9266-7984</t>
  </si>
  <si>
    <t>97.05.18</t>
  </si>
  <si>
    <t>서울종합예술실용학교</t>
  </si>
  <si>
    <t>방송작가과</t>
  </si>
  <si>
    <t>윤민식</t>
  </si>
  <si>
    <t>22.10.03</t>
  </si>
  <si>
    <t>010-8702-0410</t>
  </si>
  <si>
    <t>00.10.26</t>
  </si>
  <si>
    <t>성동구</t>
  </si>
  <si>
    <t>생명공학과</t>
  </si>
  <si>
    <t>이광민</t>
  </si>
  <si>
    <t>010-5655-7302</t>
  </si>
  <si>
    <t>97.01.14</t>
  </si>
  <si>
    <t>체코슬로바키아</t>
  </si>
  <si>
    <t>ISFJ</t>
  </si>
  <si>
    <t>이성현</t>
  </si>
  <si>
    <t>23.01.09</t>
  </si>
  <si>
    <t>010-8712-8048</t>
  </si>
  <si>
    <t>99.04.21</t>
  </si>
  <si>
    <t>삼육대학교</t>
  </si>
  <si>
    <t>물리치료학과</t>
  </si>
  <si>
    <t>이수민</t>
  </si>
  <si>
    <t>010-3943-9320</t>
  </si>
  <si>
    <t>01.11.29</t>
  </si>
  <si>
    <t>서초구</t>
  </si>
  <si>
    <t>한양대학교</t>
  </si>
  <si>
    <t>관현악과</t>
  </si>
  <si>
    <t>이지원</t>
  </si>
  <si>
    <t>23.03.20</t>
  </si>
  <si>
    <t>010-7242-0231</t>
  </si>
  <si>
    <t>97.12.09</t>
  </si>
  <si>
    <t>마포구</t>
  </si>
  <si>
    <t>방송작가</t>
  </si>
  <si>
    <t>INFP</t>
  </si>
  <si>
    <t>X</t>
  </si>
  <si>
    <t>박소현</t>
  </si>
  <si>
    <t>010-5729-4104</t>
  </si>
  <si>
    <t>00.04.25</t>
  </si>
  <si>
    <t>강서구</t>
  </si>
  <si>
    <t>총신대학교</t>
  </si>
  <si>
    <t>사범학부</t>
  </si>
  <si>
    <t>양진석</t>
  </si>
  <si>
    <t>010-7531-7385</t>
  </si>
  <si>
    <t>98.07.14</t>
  </si>
  <si>
    <t>양천구</t>
  </si>
  <si>
    <t>동국대학교</t>
  </si>
  <si>
    <t>기계공학과</t>
  </si>
  <si>
    <t>홍채원</t>
  </si>
  <si>
    <t>010-6603-8255</t>
  </si>
  <si>
    <t>성북구</t>
  </si>
  <si>
    <t>고려대학교</t>
  </si>
  <si>
    <t>권지연</t>
  </si>
  <si>
    <t>010-2355-3152</t>
  </si>
  <si>
    <t>98.06.11</t>
  </si>
  <si>
    <t>세종대학교</t>
  </si>
  <si>
    <t>권희원</t>
  </si>
  <si>
    <t>010-9912-1330</t>
  </si>
  <si>
    <t>01.03.31</t>
  </si>
  <si>
    <t>부천시</t>
  </si>
  <si>
    <t>가톨릭대학교</t>
  </si>
  <si>
    <t>배규현</t>
  </si>
  <si>
    <t>010-3081-3700</t>
  </si>
  <si>
    <t>97.11.26</t>
  </si>
  <si>
    <t>경희대학교</t>
  </si>
  <si>
    <t>ESFP</t>
  </si>
  <si>
    <t>배환규</t>
  </si>
  <si>
    <t>010-2251-2724</t>
  </si>
  <si>
    <t>96.03.14</t>
  </si>
  <si>
    <t>중랑구</t>
  </si>
  <si>
    <t>한성대학교</t>
  </si>
  <si>
    <t>안우석</t>
  </si>
  <si>
    <t>010-6669-8108</t>
  </si>
  <si>
    <t>98.04.30</t>
  </si>
  <si>
    <t>광진구</t>
  </si>
  <si>
    <t>컴퓨터공학부</t>
  </si>
  <si>
    <t>김동현</t>
  </si>
  <si>
    <t>24.02.25</t>
  </si>
  <si>
    <t>010-2760-9283</t>
  </si>
  <si>
    <t>97.12.23</t>
  </si>
  <si>
    <t>인하대학교</t>
  </si>
  <si>
    <t>전기공학과</t>
  </si>
  <si>
    <t>김태호</t>
  </si>
  <si>
    <t>010-6690-3828</t>
  </si>
  <si>
    <t>98.04.24</t>
  </si>
  <si>
    <t>영어영문학과</t>
  </si>
  <si>
    <t>김혜연</t>
  </si>
  <si>
    <t>010-5685-7857</t>
  </si>
  <si>
    <t>00.02.02</t>
  </si>
  <si>
    <t>서울교육대학교</t>
  </si>
  <si>
    <t>초등교육학과</t>
  </si>
  <si>
    <t>박민기</t>
  </si>
  <si>
    <t>010-7154-9052</t>
  </si>
  <si>
    <t>98.09.30</t>
  </si>
  <si>
    <t>박상현</t>
  </si>
  <si>
    <t>010-8867-7858</t>
  </si>
  <si>
    <t>99.08.19</t>
  </si>
  <si>
    <t>광명시</t>
  </si>
  <si>
    <t>서울대학교</t>
  </si>
  <si>
    <t>약학과</t>
  </si>
  <si>
    <t>약사</t>
  </si>
  <si>
    <t>방규현</t>
  </si>
  <si>
    <t>010-7769-4708</t>
  </si>
  <si>
    <t>96.03.25</t>
  </si>
  <si>
    <t>동대문구</t>
  </si>
  <si>
    <t>생명공학부</t>
  </si>
  <si>
    <t>INTJ</t>
  </si>
  <si>
    <t>송예나</t>
  </si>
  <si>
    <t>010-9027-6245</t>
  </si>
  <si>
    <t>00.12.23</t>
  </si>
  <si>
    <t>졸유</t>
  </si>
  <si>
    <t>심준보</t>
  </si>
  <si>
    <t>010-5526-3081</t>
  </si>
  <si>
    <t>96.09.21</t>
  </si>
  <si>
    <t>서울대 로스쿨</t>
  </si>
  <si>
    <t>법학과</t>
  </si>
  <si>
    <t>휴학</t>
  </si>
  <si>
    <t>양정우</t>
  </si>
  <si>
    <t>010-6830-9530</t>
  </si>
  <si>
    <t>00.05.25</t>
  </si>
  <si>
    <t>회계학과</t>
  </si>
  <si>
    <t>ISTP</t>
  </si>
  <si>
    <t>양지현</t>
  </si>
  <si>
    <t>010-2419-6972</t>
  </si>
  <si>
    <t>97.01.08</t>
  </si>
  <si>
    <t>송파구</t>
  </si>
  <si>
    <t>숙명여자대학교</t>
  </si>
  <si>
    <t>미디어학부</t>
  </si>
  <si>
    <t>유지현</t>
  </si>
  <si>
    <t>010-5966-3566</t>
  </si>
  <si>
    <t>03.03.09</t>
  </si>
  <si>
    <t>한양여자대학교</t>
  </si>
  <si>
    <t>실무중국어과</t>
  </si>
  <si>
    <t>윤기화</t>
  </si>
  <si>
    <t>010-4016-9631</t>
  </si>
  <si>
    <t>02.04.08</t>
  </si>
  <si>
    <t>서경대학교</t>
  </si>
  <si>
    <t>소프트웨어학과</t>
  </si>
  <si>
    <t>이수현</t>
  </si>
  <si>
    <t>010-2744-1604</t>
  </si>
  <si>
    <t>96.01.12</t>
  </si>
  <si>
    <t>김포시</t>
  </si>
  <si>
    <t>서울시립대학교</t>
  </si>
  <si>
    <t>공간정보공학과</t>
  </si>
  <si>
    <t>이태성</t>
  </si>
  <si>
    <t>010-5001-5781</t>
  </si>
  <si>
    <t>98.07.02</t>
  </si>
  <si>
    <t>건설환경공학과</t>
  </si>
  <si>
    <t>휴면회원</t>
  </si>
  <si>
    <t>임정연</t>
  </si>
  <si>
    <t>010-3321-4672</t>
  </si>
  <si>
    <t>97.03.04</t>
  </si>
  <si>
    <t>수원여자대학교</t>
  </si>
  <si>
    <t>사회복지학과</t>
  </si>
  <si>
    <t>박서현</t>
  </si>
  <si>
    <t>22.01.01</t>
  </si>
  <si>
    <t>010-2713-7252</t>
  </si>
  <si>
    <t>98.12.16</t>
  </si>
  <si>
    <t>오소현</t>
  </si>
  <si>
    <t>010-4477-0616</t>
  </si>
  <si>
    <t>00.03.10</t>
  </si>
  <si>
    <t>상담심리</t>
  </si>
  <si>
    <t>김태형</t>
  </si>
  <si>
    <t>010-7559-6636</t>
  </si>
  <si>
    <t>97.05.30</t>
  </si>
  <si>
    <t>종로구</t>
  </si>
  <si>
    <t>성균관대학교</t>
  </si>
  <si>
    <t>인턴</t>
  </si>
  <si>
    <t>김지우</t>
  </si>
  <si>
    <t>010-8744-2221</t>
  </si>
  <si>
    <t>98.11.12</t>
  </si>
  <si>
    <t>노원구</t>
  </si>
  <si>
    <t>덕성여자대학교</t>
  </si>
  <si>
    <t>국제통상학과</t>
  </si>
  <si>
    <t>오재민</t>
  </si>
  <si>
    <t>010-7356-4307</t>
  </si>
  <si>
    <t>98.02.26</t>
  </si>
  <si>
    <t>동작구</t>
  </si>
  <si>
    <t>도시공학과</t>
  </si>
  <si>
    <t>공익</t>
  </si>
  <si>
    <t>ESTJ</t>
  </si>
  <si>
    <t>조용근</t>
  </si>
  <si>
    <t>010-3723-5275</t>
  </si>
  <si>
    <t>98.08.23</t>
  </si>
  <si>
    <t>강동구</t>
  </si>
  <si>
    <t>상명대학교</t>
  </si>
  <si>
    <t>박한웅</t>
  </si>
  <si>
    <t>010-9830-8212</t>
  </si>
  <si>
    <t>97.07.12</t>
  </si>
  <si>
    <t>최가원</t>
  </si>
  <si>
    <t>010-5713-1347</t>
  </si>
  <si>
    <t>98.03.03</t>
  </si>
  <si>
    <t>의학과</t>
  </si>
  <si>
    <t>탈퇴회원</t>
  </si>
  <si>
    <t>김수경</t>
  </si>
  <si>
    <t>010-7212-0614</t>
  </si>
  <si>
    <t>98.06.14</t>
  </si>
  <si>
    <t>이화여자대학교</t>
  </si>
  <si>
    <t>강석훈</t>
  </si>
  <si>
    <t>010-7634-1328</t>
  </si>
  <si>
    <t>98.08.08</t>
  </si>
  <si>
    <t>건축환경공학과</t>
  </si>
  <si>
    <t>김영재</t>
  </si>
  <si>
    <t>010-3827-6550</t>
  </si>
  <si>
    <t>96.10.04</t>
  </si>
  <si>
    <t>생명과학부</t>
  </si>
  <si>
    <t>배명규</t>
  </si>
  <si>
    <t>010-9607-7227</t>
  </si>
  <si>
    <t>96.03.27</t>
  </si>
  <si>
    <t>INFJ</t>
  </si>
  <si>
    <t>신정용</t>
  </si>
  <si>
    <t>010-2042-7288</t>
  </si>
  <si>
    <t>97.06.06</t>
  </si>
  <si>
    <t>나노과학공학과</t>
  </si>
  <si>
    <t>김도현</t>
  </si>
  <si>
    <t>97.02.03</t>
  </si>
  <si>
    <t>이장현</t>
  </si>
  <si>
    <t>010-2303-2130</t>
  </si>
  <si>
    <t>97.03.24</t>
  </si>
  <si>
    <t>이주하</t>
  </si>
  <si>
    <t>010-4347-6820</t>
  </si>
  <si>
    <t>97.07.19</t>
  </si>
  <si>
    <t>정예원</t>
  </si>
  <si>
    <t>010-4704-6545</t>
  </si>
  <si>
    <t>99.05.10</t>
  </si>
  <si>
    <t>행정학과</t>
  </si>
  <si>
    <t>주연희</t>
  </si>
  <si>
    <t>010-9755-6612</t>
  </si>
  <si>
    <t>98.12.14</t>
  </si>
  <si>
    <t>서울여자대학교</t>
  </si>
  <si>
    <t>시각디자인과</t>
  </si>
  <si>
    <t>홍지은</t>
  </si>
  <si>
    <t>010-9013-9141</t>
  </si>
  <si>
    <t>98.02.09</t>
  </si>
  <si>
    <t>오승주</t>
  </si>
  <si>
    <t>010-7624-7338</t>
  </si>
  <si>
    <t>97.12.16</t>
  </si>
  <si>
    <t>서울시</t>
  </si>
  <si>
    <t>고재준</t>
  </si>
  <si>
    <t>010-4729-2815</t>
  </si>
  <si>
    <t>99.07.05</t>
  </si>
  <si>
    <t>지역시스템공학과</t>
  </si>
  <si>
    <t>정원비</t>
  </si>
  <si>
    <t>010-3194-0552</t>
  </si>
  <si>
    <t>02.11.30</t>
  </si>
  <si>
    <t>경인교육대학교</t>
  </si>
  <si>
    <t>유지원</t>
  </si>
  <si>
    <t>010-3173-1268</t>
  </si>
  <si>
    <t>99.06.04</t>
  </si>
  <si>
    <t>단국대학교</t>
  </si>
  <si>
    <t>권제인</t>
  </si>
  <si>
    <t>010-2296-8193</t>
  </si>
  <si>
    <t>97.12.24</t>
  </si>
  <si>
    <t>김준용</t>
  </si>
  <si>
    <t>010-3368-9605</t>
  </si>
  <si>
    <t>97.07.28</t>
  </si>
  <si>
    <t>성남시</t>
  </si>
  <si>
    <t>명수민</t>
  </si>
  <si>
    <t>010-4309-0943</t>
  </si>
  <si>
    <t>00.05.10</t>
  </si>
  <si>
    <t>화학공학과</t>
  </si>
  <si>
    <t>양진영</t>
  </si>
  <si>
    <t>010-3859-6308</t>
  </si>
  <si>
    <t>98.04.06</t>
  </si>
  <si>
    <t>융합경영학과</t>
  </si>
  <si>
    <t>이유곤</t>
  </si>
  <si>
    <t>010-4616-5449</t>
  </si>
  <si>
    <t>97.01.13</t>
  </si>
  <si>
    <t>임예지</t>
  </si>
  <si>
    <t>010-2431-8198</t>
  </si>
  <si>
    <t>98.06.21</t>
  </si>
  <si>
    <t>금천구</t>
  </si>
  <si>
    <t>화학신소재공학</t>
  </si>
  <si>
    <t>장유화</t>
  </si>
  <si>
    <t>010-5582-1232</t>
  </si>
  <si>
    <t>99.12.31</t>
  </si>
  <si>
    <t>한명선</t>
  </si>
  <si>
    <t>010-3622-8410</t>
  </si>
  <si>
    <t>00.11.24</t>
  </si>
  <si>
    <t>중어중문학과</t>
  </si>
  <si>
    <t>I</t>
  </si>
  <si>
    <t>홍정우</t>
  </si>
  <si>
    <t>010-4126-4059</t>
  </si>
  <si>
    <t>97.08.18</t>
  </si>
  <si>
    <t>임정화</t>
  </si>
  <si>
    <t>010-2458-7242</t>
  </si>
  <si>
    <t>00.12.30</t>
  </si>
  <si>
    <t>식품영양학과</t>
  </si>
  <si>
    <t>정하영</t>
  </si>
  <si>
    <t>010-5204-3293</t>
  </si>
  <si>
    <t>99.05.11</t>
  </si>
  <si>
    <t>국제학부</t>
  </si>
  <si>
    <t>이종헌</t>
  </si>
  <si>
    <t>010-7233-7352</t>
  </si>
  <si>
    <t>98.12.03</t>
  </si>
  <si>
    <t>조은서</t>
  </si>
  <si>
    <t>010-8608-9450</t>
  </si>
  <si>
    <t>01.10.05</t>
  </si>
  <si>
    <t>회화과</t>
  </si>
  <si>
    <t>차은서</t>
  </si>
  <si>
    <t>010-5481-3272</t>
  </si>
  <si>
    <t>00.01.15</t>
  </si>
  <si>
    <t>김승현</t>
  </si>
  <si>
    <t>010-9949-5083</t>
  </si>
  <si>
    <t>96.01.10</t>
  </si>
  <si>
    <t>용인시</t>
  </si>
  <si>
    <t>동양미래대학교</t>
  </si>
  <si>
    <t>전기전자공학부</t>
  </si>
  <si>
    <t>백다은</t>
  </si>
  <si>
    <t>010-2039-4473</t>
  </si>
  <si>
    <t>99.02.21</t>
  </si>
  <si>
    <t>뷰티디자인학과</t>
  </si>
  <si>
    <t>김지윤</t>
  </si>
  <si>
    <t>010-7646-4205</t>
  </si>
  <si>
    <t>00.03.18</t>
  </si>
  <si>
    <t>최지훈</t>
  </si>
  <si>
    <t>010-7559-8211</t>
  </si>
  <si>
    <t>98.04.21</t>
  </si>
  <si>
    <t>전자전기공학부</t>
  </si>
  <si>
    <t>박가연</t>
  </si>
  <si>
    <t>010-3096-4925</t>
  </si>
  <si>
    <t>99.04.23</t>
  </si>
  <si>
    <t>양주시</t>
  </si>
  <si>
    <t>컴퓨터공학과</t>
  </si>
  <si>
    <t>학과조교</t>
  </si>
  <si>
    <t>서보성</t>
  </si>
  <si>
    <t>010-9526-1345</t>
  </si>
  <si>
    <t>충남 당진</t>
  </si>
  <si>
    <t>김준형</t>
  </si>
  <si>
    <t>010-4090-0677</t>
  </si>
  <si>
    <t>99.01.18</t>
  </si>
  <si>
    <t>류영훈</t>
  </si>
  <si>
    <t>010-2030-5767</t>
  </si>
  <si>
    <t>01.02.19</t>
  </si>
  <si>
    <t>김민구</t>
  </si>
  <si>
    <t>010-2248-3653</t>
  </si>
  <si>
    <t>95.07.12</t>
  </si>
  <si>
    <t>김주곤</t>
  </si>
  <si>
    <t>010-4266-4309</t>
  </si>
  <si>
    <t>96.11.11</t>
  </si>
  <si>
    <t>류혜원</t>
  </si>
  <si>
    <t>010-4135-7680</t>
  </si>
  <si>
    <t>98.12.17</t>
  </si>
  <si>
    <t>이주희</t>
  </si>
  <si>
    <t>010-2015-8752</t>
  </si>
  <si>
    <t>98.07.17</t>
  </si>
  <si>
    <t>김세미</t>
  </si>
  <si>
    <t>010-5140-4993</t>
  </si>
  <si>
    <t>01.08.01</t>
  </si>
  <si>
    <t>영등포구</t>
  </si>
  <si>
    <t>직대딩</t>
  </si>
  <si>
    <t>김보라</t>
  </si>
  <si>
    <t>010-5137-0091</t>
  </si>
  <si>
    <t>96.05.10</t>
  </si>
  <si>
    <t>EEEE</t>
  </si>
  <si>
    <t>박도연</t>
  </si>
  <si>
    <t>010-9655-8578</t>
  </si>
  <si>
    <t>도봉구</t>
  </si>
  <si>
    <t>신혜원</t>
  </si>
  <si>
    <t>010-2246-4257</t>
  </si>
  <si>
    <t>99.10.15</t>
  </si>
  <si>
    <t>구로구</t>
  </si>
  <si>
    <t>사회교육과</t>
  </si>
  <si>
    <t>이다영</t>
  </si>
  <si>
    <t>010-7164-4465</t>
  </si>
  <si>
    <t>00.09.02</t>
  </si>
  <si>
    <t>안산시</t>
  </si>
  <si>
    <t>이향리</t>
  </si>
  <si>
    <t>010-5397-6765</t>
  </si>
  <si>
    <t>96.03.23</t>
  </si>
  <si>
    <t>불어불문학과</t>
  </si>
  <si>
    <t>강준</t>
  </si>
  <si>
    <t>010-5372-9346</t>
  </si>
  <si>
    <t>99.08.03</t>
  </si>
  <si>
    <t>김민지</t>
  </si>
  <si>
    <t>010-7617-1142</t>
  </si>
  <si>
    <t>98.02.06</t>
  </si>
  <si>
    <t>ISRJ</t>
  </si>
  <si>
    <t>김채린</t>
  </si>
  <si>
    <t>010-8357-6719</t>
  </si>
  <si>
    <t>00.04.04</t>
  </si>
  <si>
    <t>김용현</t>
  </si>
  <si>
    <t>010-3352-1507</t>
  </si>
  <si>
    <t>안지윤</t>
  </si>
  <si>
    <t>010-6246-5992</t>
  </si>
  <si>
    <t>00.10.17</t>
  </si>
  <si>
    <t>강북구</t>
  </si>
  <si>
    <t>백수</t>
  </si>
  <si>
    <t>오승준</t>
  </si>
  <si>
    <t>010-8294-5168</t>
  </si>
  <si>
    <t>96.04.30</t>
  </si>
  <si>
    <t>의정부시</t>
  </si>
  <si>
    <t>백성옥</t>
  </si>
  <si>
    <t>010-2554-2140</t>
  </si>
  <si>
    <t>96.07.27</t>
  </si>
  <si>
    <t>대학원</t>
  </si>
  <si>
    <t>송재민</t>
  </si>
  <si>
    <t>010-8742-7322</t>
  </si>
  <si>
    <t>98.04.07</t>
  </si>
  <si>
    <t>민현호</t>
  </si>
  <si>
    <t>010-3356-8300</t>
  </si>
  <si>
    <t>97.12.14</t>
  </si>
  <si>
    <t>희망활동(신청서)</t>
  </si>
  <si>
    <t>희망활동(면접)</t>
  </si>
  <si>
    <t>맛집탐방, 드라이브</t>
  </si>
  <si>
    <t>드라이브, 맛집탐방</t>
  </si>
  <si>
    <t>여행</t>
  </si>
  <si>
    <t>페스티벌</t>
  </si>
  <si>
    <t>빠지</t>
  </si>
  <si>
    <t>몸으로 말해요, 체육대회, 콘서트, 워터밤</t>
  </si>
  <si>
    <t>향수공방, 공포방탈출, 스포츠경기 직관</t>
  </si>
  <si>
    <t>향수공방</t>
  </si>
  <si>
    <t>엠티, 한강, 벚꽃</t>
  </si>
  <si>
    <t>여행 야시장</t>
  </si>
  <si>
    <t>암벽 클라이밍, 스키장, 도예</t>
  </si>
  <si>
    <t>롤러or아이스 스케이트, 트램펄린</t>
  </si>
  <si>
    <t>여행, 보드게임</t>
  </si>
  <si>
    <t>테니스 배드민턴 스포츠활동</t>
  </si>
  <si>
    <t>베이킹 클래스, 제주도, 롯데월드</t>
  </si>
  <si>
    <t>베이킹</t>
  </si>
  <si>
    <t>즉흥여행, 액티비티, 쿠킹클래스, 전시회</t>
  </si>
  <si>
    <t>국내여행, 가평</t>
  </si>
  <si>
    <t>즉흥 1박 2일 여행 캠핑</t>
  </si>
  <si>
    <t>공포방탈출, 맵찔이 탐방</t>
  </si>
  <si>
    <t>맛집투어, 당일치기 여행</t>
  </si>
  <si>
    <t>맛집탐방, 캠퍼스투어, 한강, 롯데월드</t>
  </si>
  <si>
    <t>해외여행, 제주도</t>
  </si>
  <si>
    <t>국내여행</t>
  </si>
  <si>
    <t>연극, 뮤지컬</t>
  </si>
  <si>
    <t>뮤지컬, 연극, 한강산책 피크닉</t>
  </si>
  <si>
    <t>일일호프 행사</t>
  </si>
  <si>
    <t>일일호프</t>
  </si>
  <si>
    <t>보드게임, 전시회, 연극, 워터파크</t>
  </si>
  <si>
    <t>워터파크 보드게임 전시회</t>
  </si>
  <si>
    <t>맛집,카페 탐방, 문화(영화, 전시회)체험, 여행</t>
  </si>
  <si>
    <t>엠티 여행 디저트탐방</t>
  </si>
  <si>
    <t>당일치기 여행, 야구직관, 한강 치맥, 자전거</t>
  </si>
  <si>
    <t>직관, 한강, 드라이브</t>
  </si>
  <si>
    <t>한강 따릉이</t>
  </si>
  <si>
    <t>전시회 - 한국좀비, 케로로, 메타버스</t>
  </si>
  <si>
    <t>전시회</t>
  </si>
  <si>
    <t>졸예</t>
  </si>
  <si>
    <t>김문주</t>
  </si>
  <si>
    <t>010-7125-7284</t>
  </si>
  <si>
    <t>97.08.27</t>
  </si>
  <si>
    <t>김유민</t>
  </si>
  <si>
    <t>22.01.02</t>
  </si>
  <si>
    <t>010-9351-4285</t>
  </si>
  <si>
    <t>96.06.03</t>
  </si>
  <si>
    <t>산업디자인</t>
  </si>
  <si>
    <t>박재형</t>
  </si>
  <si>
    <t>010-9237-5647</t>
  </si>
  <si>
    <t>95.03.13</t>
  </si>
  <si>
    <t>이시환</t>
  </si>
  <si>
    <t>010-3438-3696</t>
  </si>
  <si>
    <t>97.01.15</t>
  </si>
  <si>
    <t>김재걸</t>
  </si>
  <si>
    <t>010-2653-1503</t>
  </si>
  <si>
    <t>97.02.25</t>
  </si>
  <si>
    <t>이재은</t>
  </si>
  <si>
    <t>010-3608-4791</t>
  </si>
  <si>
    <t>97.08.12</t>
  </si>
  <si>
    <t>철학과</t>
  </si>
  <si>
    <t>심가현</t>
  </si>
  <si>
    <t>010-5564-8284</t>
  </si>
  <si>
    <t>00.01.05</t>
  </si>
  <si>
    <t>경제학부</t>
  </si>
  <si>
    <t>심나온</t>
  </si>
  <si>
    <t>010-9167-2828</t>
  </si>
  <si>
    <t>00.08.08</t>
  </si>
  <si>
    <t>유한솔</t>
  </si>
  <si>
    <t>010-9372-2565</t>
  </si>
  <si>
    <t>99.11.26</t>
  </si>
  <si>
    <t>화학공학부</t>
  </si>
  <si>
    <t>윤연상</t>
  </si>
  <si>
    <t>010-7648-6040</t>
  </si>
  <si>
    <t>00.09.25</t>
  </si>
  <si>
    <t>여건주</t>
  </si>
  <si>
    <t>010-7150-5048</t>
  </si>
  <si>
    <t>98.01.12</t>
  </si>
  <si>
    <t>서양화, 시각디자인학과</t>
  </si>
  <si>
    <t>디자이너</t>
  </si>
  <si>
    <t>이수동</t>
  </si>
  <si>
    <t>010-9612-9377</t>
  </si>
  <si>
    <t>96.09.24</t>
  </si>
  <si>
    <t>물리학과</t>
  </si>
  <si>
    <t>트레이더</t>
  </si>
  <si>
    <t>ENTP</t>
  </si>
  <si>
    <t>주지민</t>
  </si>
  <si>
    <t>010-2218-1794</t>
  </si>
  <si>
    <t>97.03.14</t>
  </si>
  <si>
    <t>INTP</t>
  </si>
  <si>
    <t>2022.10</t>
  </si>
  <si>
    <t>97.03.00</t>
  </si>
  <si>
    <t>98.02.16</t>
  </si>
  <si>
    <t>바이오융합공학부</t>
  </si>
  <si>
    <t>기존회원</t>
  </si>
  <si>
    <t>97.05.17</t>
  </si>
  <si>
    <t>신입회원</t>
  </si>
  <si>
    <t>체코슬로비키아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</si>
</sst>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  <font/>
    <font>
      <sz val="11.0"/>
      <color theme="1"/>
      <name val="Calibri"/>
    </font>
    <font>
      <sz val="11.0"/>
      <color theme="1"/>
      <name val="Arimo"/>
    </font>
  </fonts>
  <fills count="17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ECD1FB"/>
        <bgColor rgb="FFECD1FB"/>
      </patternFill>
    </fill>
    <fill>
      <patternFill patternType="solid">
        <fgColor rgb="FFF5E7FD"/>
        <bgColor rgb="FFF5E7FD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209">
    <border/>
    <border>
      <left style="thin">
        <color rgb="FF757070"/>
      </left>
      <right/>
      <top style="thin">
        <color rgb="FF757070"/>
      </top>
      <bottom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F7F7F"/>
      </bottom>
    </border>
    <border>
      <left/>
      <right style="thin">
        <color rgb="FFAEABAB"/>
      </right>
      <top style="thin">
        <color rgb="FF757070"/>
      </top>
      <bottom style="thin">
        <color rgb="FF7F7F7F"/>
      </bottom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7F7F7F"/>
      </bottom>
    </border>
    <border>
      <left style="thin">
        <color rgb="FFAEABAB"/>
      </left>
      <right style="thin">
        <color rgb="FF757070"/>
      </right>
      <top style="thin">
        <color rgb="FF757070"/>
      </top>
      <bottom style="thin">
        <color rgb="FF7F7F7F"/>
      </bottom>
    </border>
    <border>
      <left style="thin">
        <color rgb="FFAEABAB"/>
      </left>
      <right style="thin">
        <color rgb="FF7F7F7F"/>
      </right>
      <top style="thin">
        <color rgb="FF757070"/>
      </top>
      <bottom style="thin">
        <color rgb="FF7F7F7F"/>
      </bottom>
    </border>
    <border>
      <left style="thin">
        <color rgb="FF7F7F7F"/>
      </left>
      <right style="thin">
        <color rgb="FF757070"/>
      </right>
      <top/>
      <bottom style="thin">
        <color rgb="FF7F7F7F"/>
      </bottom>
    </border>
    <border>
      <left style="thin">
        <color rgb="FFAEABAB"/>
      </left>
      <right style="thin">
        <color rgb="FFAEABAB"/>
      </right>
      <top style="thin">
        <color rgb="FF757070"/>
      </top>
      <bottom/>
    </border>
    <border>
      <left/>
      <right style="thin">
        <color rgb="FF757070"/>
      </right>
      <top style="thin">
        <color rgb="FF757070"/>
      </top>
    </border>
    <border>
      <left/>
      <right style="thin">
        <color rgb="FF757070"/>
      </right>
      <bottom style="thin">
        <color rgb="FFB7B7B7"/>
      </bottom>
    </border>
    <border>
      <left/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left style="thin">
        <color rgb="FF7F7F7F"/>
      </left>
      <right style="thin">
        <color rgb="FF7F7F7F"/>
      </right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AEABAB"/>
      </bottom>
    </border>
    <border>
      <left/>
      <right style="thin">
        <color rgb="FF757070"/>
      </right>
    </border>
    <border>
      <left style="thin">
        <color rgb="FF757070"/>
      </left>
      <right style="thin">
        <color rgb="FF757070"/>
      </right>
      <top style="thin">
        <color rgb="FFB7B7B7"/>
      </top>
      <bottom style="thin">
        <color rgb="FFB7B7B7"/>
      </bottom>
    </border>
    <border>
      <left style="thin">
        <color rgb="FF75707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/>
      <right style="thin">
        <color rgb="FF757070"/>
      </right>
      <top style="thin">
        <color rgb="FFB7B7B7"/>
      </top>
      <bottom style="thin">
        <color rgb="FFB7B7B7"/>
      </bottom>
    </border>
    <border>
      <left/>
      <right style="thin">
        <color rgb="FFB7B7B7"/>
      </right>
      <top style="thin">
        <color rgb="FFB7B7B7"/>
      </top>
      <bottom style="thin">
        <color rgb="FFB7B7B7"/>
      </bottom>
    </border>
    <border>
      <left/>
      <right style="thin">
        <color rgb="FF757070"/>
      </right>
      <bottom style="thin">
        <color rgb="FF7F7F7F"/>
      </bottom>
    </border>
    <border>
      <left/>
      <right style="thin">
        <color rgb="FF757070"/>
      </right>
      <top style="thin">
        <color rgb="FFB7B7B7"/>
      </top>
      <bottom style="thin">
        <color rgb="FF7F7F7F"/>
      </bottom>
    </border>
    <border>
      <left/>
      <right style="thin">
        <color rgb="FFB7B7B7"/>
      </right>
      <top style="thin">
        <color rgb="FFB7B7B7"/>
      </top>
      <bottom style="thin">
        <color rgb="FF7F7F7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7F7F7F"/>
      </bottom>
    </border>
    <border>
      <left style="thin">
        <color rgb="FFB7B7B7"/>
      </left>
      <top style="thin">
        <color rgb="FFB7B7B7"/>
      </top>
      <bottom style="thin">
        <color rgb="FF999999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B7B7B7"/>
      </left>
      <right style="thin">
        <color rgb="FF7F7F7F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7F7F7F"/>
      </bottom>
    </border>
    <border>
      <left/>
      <right style="thin">
        <color rgb="FF757070"/>
      </right>
      <bottom/>
    </border>
    <border>
      <left/>
      <right style="thin">
        <color rgb="FF757070"/>
      </right>
      <top style="thin">
        <color rgb="FFAEABAB"/>
      </top>
      <bottom/>
    </border>
    <border>
      <left/>
      <right style="thin">
        <color rgb="FF757070"/>
      </right>
      <top style="thin">
        <color rgb="FFAEABAB"/>
      </top>
      <bottom style="thin">
        <color rgb="FFB7B7B7"/>
      </bottom>
    </border>
    <border>
      <left/>
      <right style="thin">
        <color rgb="FF757070"/>
      </right>
      <bottom style="thin">
        <color rgb="FFA5A5A5"/>
      </bottom>
    </border>
    <border>
      <left/>
      <right style="thin">
        <color rgb="FF757070"/>
      </right>
      <top/>
      <bottom style="thin">
        <color rgb="FFA5A5A5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/>
      <right style="thin">
        <color rgb="FF757070"/>
      </right>
      <top/>
    </border>
    <border>
      <left/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left/>
      <top style="thin">
        <color rgb="FF7F7F7F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B7B7B7"/>
      </bottom>
    </border>
    <border>
      <right style="thin">
        <color rgb="FFB7B7B7"/>
      </right>
      <top style="thin">
        <color rgb="FF7F7F7F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7F7F7F"/>
      </top>
      <bottom style="thin">
        <color rgb="FFB7B7B7"/>
      </bottom>
    </border>
    <border>
      <left style="thin">
        <color rgb="FFB7B7B7"/>
      </left>
      <top style="thin">
        <color rgb="FF7F7F7F"/>
      </top>
      <bottom style="thin">
        <color rgb="FFB7B7B7"/>
      </bottom>
    </border>
    <border>
      <left/>
    </border>
    <border>
      <left style="thin">
        <color rgb="FF7F7F7F"/>
      </left>
      <right style="thin">
        <color rgb="FF7F7F7F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B7B7B7"/>
      </top>
      <bottom style="thin">
        <color rgb="FF7F7F7F"/>
      </bottom>
    </border>
    <border>
      <right style="thin">
        <color rgb="FFB7B7B7"/>
      </right>
      <top style="thin">
        <color rgb="FFB7B7B7"/>
      </top>
      <bottom style="thin">
        <color rgb="FF7F7F7F"/>
      </bottom>
    </border>
    <border>
      <left style="thin">
        <color rgb="FFB7B7B7"/>
      </left>
      <top style="thin">
        <color rgb="FFB7B7B7"/>
      </top>
      <bottom style="thin">
        <color rgb="FF666666"/>
      </bottom>
    </border>
    <border>
      <left/>
      <right style="thin">
        <color rgb="FF7F7F7F"/>
      </right>
      <top style="thin">
        <color rgb="FF7F7F7F"/>
      </top>
    </border>
    <border>
      <left/>
      <right style="thin">
        <color rgb="FFB7B7B7"/>
      </right>
      <top style="thin">
        <color rgb="FF7F7F7F"/>
      </top>
      <bottom style="thin">
        <color rgb="FFB7B7B7"/>
      </bottom>
    </border>
    <border>
      <left/>
      <right style="thin">
        <color rgb="FF7F7F7F"/>
      </right>
    </border>
    <border>
      <left/>
      <right style="thin">
        <color rgb="FF7F7F7F"/>
      </right>
      <bottom style="thin">
        <color rgb="FF7F7F7F"/>
      </bottom>
    </border>
    <border>
      <left/>
      <right style="thin">
        <color rgb="FFAEABAB"/>
      </right>
      <bottom style="thin">
        <color rgb="FF7F7F7F"/>
      </bottom>
    </border>
    <border>
      <left style="thin">
        <color rgb="FFAEABAB"/>
      </left>
      <right style="thin">
        <color rgb="FFAEABAB"/>
      </right>
      <bottom style="thin">
        <color rgb="FF7F7F7F"/>
      </bottom>
    </border>
    <border>
      <left style="thin">
        <color rgb="FFAEABAB"/>
      </left>
      <bottom style="thin">
        <color rgb="FF7F7F7F"/>
      </bottom>
    </border>
    <border>
      <left style="thin">
        <color rgb="FF757070"/>
      </left>
      <right style="thin">
        <color rgb="FF757070"/>
      </right>
      <top style="thin">
        <color rgb="FF757070"/>
      </top>
      <bottom/>
    </border>
    <border>
      <left/>
      <right style="thin">
        <color rgb="FFAEABAB"/>
      </right>
      <top style="thin">
        <color rgb="FF757070"/>
      </top>
      <bottom/>
    </border>
    <border>
      <left style="thin">
        <color rgb="FFAEABAB"/>
      </left>
      <right style="thin">
        <color rgb="FF757070"/>
      </right>
      <top style="thin">
        <color rgb="FF757070"/>
      </top>
      <bottom/>
    </border>
    <border>
      <left style="thin">
        <color rgb="FFAEABAB"/>
      </left>
      <right style="thin">
        <color rgb="FF7F7F7F"/>
      </right>
      <top style="thin">
        <color rgb="FF757070"/>
      </top>
      <bottom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</border>
    <border>
      <left style="thin">
        <color rgb="FF757070"/>
      </left>
      <right style="thin">
        <color rgb="FFAEABAB"/>
      </right>
      <top style="thin">
        <color rgb="FF7F7F7F"/>
      </top>
      <bottom style="thin">
        <color rgb="FFAEABAB"/>
      </bottom>
    </border>
    <border>
      <left style="thin">
        <color rgb="FFAEABAB"/>
      </left>
      <right style="thin">
        <color rgb="FFAEABAB"/>
      </right>
      <top style="thin">
        <color rgb="FF7F7F7F"/>
      </top>
      <bottom style="thin">
        <color rgb="FFAEABAB"/>
      </bottom>
    </border>
    <border>
      <left/>
      <right style="thin">
        <color rgb="FFAEABAB"/>
      </right>
      <top style="thin">
        <color rgb="FF7F7F7F"/>
      </top>
      <bottom style="thin">
        <color rgb="FFAEABAB"/>
      </bottom>
    </border>
    <border>
      <left style="thin">
        <color rgb="FFAEABAB"/>
      </left>
      <right/>
      <top style="thin">
        <color rgb="FF7F7F7F"/>
      </top>
      <bottom style="thin">
        <color rgb="FFAEABAB"/>
      </bottom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</border>
    <border>
      <left/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AEABAB"/>
      </left>
      <right/>
      <top style="thin">
        <color rgb="FFAEABAB"/>
      </top>
      <bottom style="thin">
        <color rgb="FFAEABAB"/>
      </bottom>
    </border>
    <border>
      <left style="thin">
        <color rgb="FF757070"/>
      </left>
      <right style="thin">
        <color rgb="FF757070"/>
      </right>
      <top/>
      <bottom style="thin">
        <color rgb="FFAEABAB"/>
      </bottom>
    </border>
    <border>
      <left/>
      <right style="thin">
        <color rgb="FFAEABAB"/>
      </right>
      <top/>
      <bottom style="thin">
        <color rgb="FFAEABAB"/>
      </bottom>
    </border>
    <border>
      <left style="thin">
        <color rgb="FFAEABAB"/>
      </left>
      <right style="thin">
        <color rgb="FFAEABAB"/>
      </right>
      <top/>
      <bottom style="thin">
        <color rgb="FFAEABAB"/>
      </bottom>
    </border>
    <border>
      <left style="thin">
        <color rgb="FFAEABAB"/>
      </left>
      <right/>
      <top/>
      <bottom style="thin">
        <color rgb="FFAEABAB"/>
      </bottom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5A5A5"/>
      </bottom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5A5A5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5A5A5"/>
      </bottom>
    </border>
    <border>
      <left/>
      <right style="thin">
        <color rgb="FFAEABAB"/>
      </right>
      <top style="thin">
        <color rgb="FFAEABAB"/>
      </top>
      <bottom style="thin">
        <color rgb="FFA5A5A5"/>
      </bottom>
    </border>
    <border>
      <left style="thin">
        <color rgb="FFAEABAB"/>
      </left>
      <right/>
      <top style="thin">
        <color rgb="FFAEABAB"/>
      </top>
      <bottom style="thin">
        <color rgb="FFA5A5A5"/>
      </bottom>
    </border>
    <border>
      <left style="thin">
        <color rgb="FF757070"/>
      </left>
      <right style="thin">
        <color rgb="FF757070"/>
      </right>
      <top/>
      <bottom/>
    </border>
    <border>
      <left style="thin">
        <color rgb="FF757070"/>
      </left>
      <right style="thin">
        <color rgb="FFAEABAB"/>
      </right>
      <top/>
      <bottom/>
    </border>
    <border>
      <left style="thin">
        <color rgb="FFAEABAB"/>
      </left>
      <right style="thin">
        <color rgb="FFAEABAB"/>
      </right>
      <top/>
      <bottom/>
    </border>
    <border>
      <left/>
      <right style="thin">
        <color rgb="FFAEABAB"/>
      </right>
      <top/>
      <bottom/>
    </border>
    <border>
      <left style="thin">
        <color rgb="FFAEABAB"/>
      </left>
      <right/>
      <top/>
      <bottom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7F7F7F"/>
      </bottom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7F7F7F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7F7F7F"/>
      </bottom>
    </border>
    <border>
      <left/>
      <right style="thin">
        <color rgb="FFAEABAB"/>
      </right>
      <top style="thin">
        <color rgb="FFAEABAB"/>
      </top>
      <bottom style="thin">
        <color rgb="FF7F7F7F"/>
      </bottom>
    </border>
    <border>
      <left style="thin">
        <color rgb="FFAEABAB"/>
      </left>
      <right/>
      <top style="thin">
        <color rgb="FFAEABAB"/>
      </top>
      <bottom style="thin">
        <color rgb="FF7F7F7F"/>
      </bottom>
    </border>
    <border>
      <left/>
      <right style="thin">
        <color rgb="FFAEABAB"/>
      </right>
      <top/>
      <bottom style="thin">
        <color rgb="FFA5A5A5"/>
      </bottom>
    </border>
    <border>
      <left style="thin">
        <color rgb="FFAEABAB"/>
      </left>
      <right style="thin">
        <color rgb="FFAEABAB"/>
      </right>
      <top/>
      <bottom style="thin">
        <color rgb="FFA5A5A5"/>
      </bottom>
    </border>
    <border>
      <left style="thin">
        <color rgb="FFAEABAB"/>
      </left>
      <right/>
      <top/>
      <bottom style="thin">
        <color rgb="FFA5A5A5"/>
      </bottom>
    </border>
    <border>
      <left/>
      <right style="thin">
        <color rgb="FF757070"/>
      </right>
      <top/>
      <bottom style="thin">
        <color rgb="FFAEABAB"/>
      </bottom>
    </border>
    <border>
      <left/>
      <right style="thin">
        <color rgb="FF757070"/>
      </right>
      <top style="thin">
        <color rgb="FFAEABAB"/>
      </top>
      <bottom style="thin">
        <color rgb="FFAEABAB"/>
      </bottom>
    </border>
    <border>
      <left style="thin">
        <color rgb="FFAEABAB"/>
      </left>
      <right style="thin">
        <color rgb="FF999999"/>
      </right>
      <top style="thin">
        <color rgb="FFAEABAB"/>
      </top>
      <bottom style="thin">
        <color rgb="FF999999"/>
      </bottom>
    </border>
    <border>
      <left style="thin">
        <color rgb="FF999999"/>
      </left>
      <right style="thin">
        <color rgb="FFAEABAB"/>
      </right>
      <top style="thin">
        <color rgb="FFAEABAB"/>
      </top>
      <bottom style="thin">
        <color rgb="FF999999"/>
      </bottom>
    </border>
    <border>
      <left style="thin">
        <color rgb="FFAEABAB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AEABAB"/>
      </right>
      <top style="thin">
        <color rgb="FF999999"/>
      </top>
      <bottom style="thin">
        <color rgb="FF999999"/>
      </bottom>
    </border>
    <border>
      <left style="thin">
        <color rgb="FFAEABAB"/>
      </left>
      <right style="thin">
        <color rgb="FF999999"/>
      </right>
      <top style="thin">
        <color rgb="FF999999"/>
      </top>
      <bottom style="thin">
        <color rgb="FFAEABAB"/>
      </bottom>
    </border>
    <border>
      <left style="thin">
        <color rgb="FF999999"/>
      </left>
      <right style="thin">
        <color rgb="FFAEABAB"/>
      </right>
      <top style="thin">
        <color rgb="FF999999"/>
      </top>
      <bottom style="thin">
        <color rgb="FFAEABAB"/>
      </bottom>
    </border>
    <border>
      <left/>
      <right style="thin">
        <color rgb="FF757070"/>
      </right>
      <top style="thin">
        <color rgb="FFAEABAB"/>
      </top>
      <bottom style="thin">
        <color rgb="FFA5A5A5"/>
      </bottom>
    </border>
    <border>
      <left/>
      <right style="thin">
        <color rgb="FF757070"/>
      </right>
      <top/>
      <bottom/>
    </border>
    <border>
      <left/>
      <right style="thin">
        <color rgb="FFAEABAB"/>
      </right>
      <top style="thin">
        <color rgb="FFAEABAB"/>
      </top>
      <bottom/>
    </border>
    <border>
      <left style="thin">
        <color rgb="FFAEABAB"/>
      </left>
      <right style="thin">
        <color rgb="FFAEABAB"/>
      </right>
      <top style="thin">
        <color rgb="FFAEABAB"/>
      </top>
      <bottom/>
    </border>
    <border>
      <left style="thin">
        <color rgb="FFAEABAB"/>
      </left>
      <right/>
      <top style="thin">
        <color rgb="FFAEABAB"/>
      </top>
      <bottom/>
    </border>
    <border>
      <left/>
      <right style="thin">
        <color rgb="FF757070"/>
      </right>
      <top style="thin">
        <color rgb="FFAEABAB"/>
      </top>
      <bottom style="thin">
        <color rgb="FF7F7F7F"/>
      </bottom>
    </border>
    <border>
      <left/>
      <right style="thin">
        <color rgb="FF757070"/>
      </right>
      <top style="thin">
        <color rgb="FF7F7F7F"/>
      </top>
    </border>
    <border>
      <left style="thin">
        <color rgb="FF757070"/>
      </left>
      <right style="thin">
        <color rgb="FF757070"/>
      </right>
      <top style="thin">
        <color rgb="FF7F7F7F"/>
      </top>
      <bottom style="thin">
        <color rgb="FFAEABAB"/>
      </bottom>
    </border>
    <border>
      <left style="thin">
        <color rgb="FFAEABAB"/>
      </left>
      <right style="thin">
        <color rgb="FF7F7F7F"/>
      </right>
      <top style="thin">
        <color rgb="FF7F7F7F"/>
      </top>
      <bottom style="thin">
        <color rgb="FFAEABAB"/>
      </bottom>
    </border>
    <border>
      <left style="thin">
        <color rgb="FF757070"/>
      </left>
      <right style="thin">
        <color rgb="FF757070"/>
      </right>
      <top style="thin">
        <color rgb="FFAEABAB"/>
      </top>
      <bottom/>
    </border>
    <border>
      <left style="thin">
        <color rgb="FFAEABAB"/>
      </left>
      <right style="thin">
        <color rgb="FF7F7F7F"/>
      </right>
      <top style="thin">
        <color rgb="FFAEABAB"/>
      </top>
      <bottom style="thin">
        <color rgb="FFAEABAB"/>
      </bottom>
    </border>
    <border>
      <left style="thin">
        <color rgb="FFAEABAB"/>
      </left>
      <right style="thin">
        <color rgb="FF7F7F7F"/>
      </right>
      <top style="thin">
        <color rgb="FFAEABAB"/>
      </top>
      <bottom/>
    </border>
    <border>
      <left/>
      <right style="thin">
        <color rgb="FF757070"/>
      </right>
      <top style="thin">
        <color rgb="FF7F7F7F"/>
      </top>
      <bottom style="thin">
        <color rgb="FFAEABAB"/>
      </bottom>
    </border>
    <border>
      <left style="thin">
        <color rgb="FFAEABAB"/>
      </left>
      <right style="thin">
        <color rgb="FFAEABAB"/>
      </right>
      <top style="thin">
        <color rgb="FF7F7F7F"/>
      </top>
      <bottom style="thin">
        <color rgb="FFA5A5A5"/>
      </bottom>
    </border>
    <border>
      <left/>
      <right style="thin">
        <color rgb="FF757070"/>
      </right>
      <top/>
      <bottom style="thin">
        <color rgb="FF7F7F7F"/>
      </bottom>
    </border>
    <border>
      <left/>
      <right style="thin">
        <color rgb="FFAEABAB"/>
      </right>
      <top/>
      <bottom style="thin">
        <color rgb="FF7F7F7F"/>
      </bottom>
    </border>
    <border>
      <left style="thin">
        <color rgb="FFAEABAB"/>
      </left>
      <right style="thin">
        <color rgb="FFAEABAB"/>
      </right>
      <top/>
      <bottom style="thin">
        <color rgb="FF7F7F7F"/>
      </bottom>
    </border>
    <border>
      <left style="thin">
        <color rgb="FFAEABAB"/>
      </left>
      <right/>
      <top/>
      <bottom style="thin">
        <color rgb="FF7F7F7F"/>
      </bottom>
    </border>
    <border>
      <left style="thin">
        <color rgb="FF757070"/>
      </left>
      <right style="thin">
        <color rgb="FF757070"/>
      </right>
      <top style="thin">
        <color rgb="FF757070"/>
      </top>
    </border>
    <border>
      <right style="thin">
        <color rgb="FF7F7F7F"/>
      </right>
      <top style="thin">
        <color rgb="FFA5A5A5"/>
      </top>
    </border>
    <border>
      <left style="thin">
        <color rgb="FF757070"/>
      </left>
      <right style="thin">
        <color rgb="FF757070"/>
      </right>
    </border>
    <border>
      <right style="thin">
        <color rgb="FF7F7F7F"/>
      </right>
    </border>
    <border>
      <left style="thin">
        <color rgb="FFAEABAB"/>
      </left>
      <right style="thin">
        <color rgb="FF7F7F7F"/>
      </right>
      <top style="thin">
        <color rgb="FFAEABAB"/>
      </top>
      <bottom style="thin">
        <color rgb="FFA5A5A5"/>
      </bottom>
    </border>
    <border>
      <left style="thin">
        <color rgb="FFAEABAB"/>
      </left>
      <right style="thin">
        <color rgb="FF7F7F7F"/>
      </right>
      <top/>
      <bottom/>
    </border>
    <border>
      <left style="thin">
        <color rgb="FF757070"/>
      </left>
      <right style="thin">
        <color rgb="FF757070"/>
      </right>
      <bottom style="thin">
        <color rgb="FF757070"/>
      </bottom>
    </border>
    <border>
      <left style="thin">
        <color rgb="FFAEABAB"/>
      </left>
      <right style="thin">
        <color rgb="FFAEABAB"/>
      </right>
      <top style="thin">
        <color rgb="FF7F7F7F"/>
      </top>
      <bottom style="thin">
        <color rgb="FF7F7F7F"/>
      </bottom>
    </border>
    <border>
      <left style="thin">
        <color rgb="FFAEABAB"/>
      </left>
      <right style="thin">
        <color rgb="FF7F7F7F"/>
      </right>
      <top style="thin">
        <color rgb="FFAEABAB"/>
      </top>
      <bottom style="thin">
        <color rgb="FF7F7F7F"/>
      </bottom>
    </border>
    <border>
      <left style="thin">
        <color rgb="FFAEABAB"/>
      </left>
      <right style="thin">
        <color rgb="FF7F7F7F"/>
      </right>
      <top/>
      <bottom style="thin">
        <color rgb="FFAEABAB"/>
      </bottom>
    </border>
    <border>
      <left style="thin">
        <color rgb="FF757070"/>
      </left>
      <right style="thin">
        <color rgb="FF757070"/>
      </right>
      <top style="thin">
        <color rgb="FFA5A5A5"/>
      </top>
      <bottom style="thin">
        <color rgb="FFA5A5A5"/>
      </bottom>
    </border>
    <border>
      <left/>
      <right style="thin">
        <color rgb="FFAEABAB"/>
      </right>
      <top style="thin">
        <color rgb="FFA5A5A5"/>
      </top>
      <bottom style="thin">
        <color rgb="FFA5A5A5"/>
      </bottom>
    </border>
    <border>
      <left style="thin">
        <color rgb="FFAEABAB"/>
      </left>
      <right style="thin">
        <color rgb="FFAEABAB"/>
      </right>
      <top style="thin">
        <color rgb="FFA5A5A5"/>
      </top>
      <bottom style="thin">
        <color rgb="FFA5A5A5"/>
      </bottom>
    </border>
    <border>
      <left style="thin">
        <color rgb="FFAEABAB"/>
      </left>
      <right style="thin">
        <color rgb="FF7F7F7F"/>
      </right>
      <top style="thin">
        <color rgb="FFA5A5A5"/>
      </top>
      <bottom style="thin">
        <color rgb="FFA5A5A5"/>
      </bottom>
    </border>
    <border>
      <left style="thin">
        <color rgb="FFAEABAB"/>
      </left>
      <right style="thin">
        <color rgb="FF757070"/>
      </right>
      <top style="thin">
        <color rgb="FFAEABAB"/>
      </top>
      <bottom/>
    </border>
    <border>
      <left style="thin">
        <color rgb="FFAEABAB"/>
      </left>
      <right style="thin">
        <color rgb="FF757070"/>
      </right>
      <top style="thin">
        <color rgb="FFAEABAB"/>
      </top>
      <bottom style="thin">
        <color rgb="FFA5A5A5"/>
      </bottom>
    </border>
    <border>
      <right style="thin">
        <color rgb="FF7F7F7F"/>
      </right>
      <bottom style="thin">
        <color rgb="FF7F7F7F"/>
      </bottom>
    </border>
    <border>
      <left style="thin">
        <color rgb="FF757070"/>
      </left>
      <right style="thin">
        <color rgb="FF757070"/>
      </right>
      <top/>
      <bottom style="thin">
        <color rgb="FFA5A5A5"/>
      </bottom>
    </border>
    <border>
      <left style="thin">
        <color rgb="FFAEABAB"/>
      </left>
      <right style="thin">
        <color rgb="FF7F7F7F"/>
      </right>
      <top/>
      <bottom style="thin">
        <color rgb="FFA5A5A5"/>
      </bottom>
    </border>
    <border>
      <right style="thin">
        <color rgb="FF7F7F7F"/>
      </right>
      <top style="thin">
        <color rgb="FF7F7F7F"/>
      </top>
    </border>
    <border>
      <left style="thin">
        <color rgb="FF757070"/>
      </left>
      <right style="thin">
        <color rgb="FF757070"/>
      </right>
      <top/>
      <bottom style="thin">
        <color rgb="FF7F7F7F"/>
      </bottom>
    </border>
    <border>
      <left style="thin">
        <color rgb="FFAEABAB"/>
      </left>
      <right style="thin">
        <color rgb="FF757070"/>
      </right>
      <top/>
      <bottom style="thin">
        <color rgb="FF7F7F7F"/>
      </bottom>
    </border>
    <border>
      <left style="thin">
        <color rgb="FFA5A5A5"/>
      </left>
      <right style="thin">
        <color rgb="FFA5A5A5"/>
      </right>
    </border>
    <border>
      <left style="thin">
        <color rgb="FF757070"/>
      </left>
      <right style="thin">
        <color rgb="FF757070"/>
      </right>
      <top/>
      <bottom style="thin">
        <color rgb="FF757070"/>
      </bottom>
    </border>
    <border>
      <left style="thin">
        <color rgb="FF757070"/>
      </left>
      <right/>
      <top style="thin">
        <color rgb="FF757070"/>
      </top>
    </border>
    <border>
      <left/>
      <right style="thin">
        <color rgb="FFAEABAB"/>
      </right>
      <top style="thin">
        <color rgb="FF757070"/>
      </top>
      <bottom style="thin">
        <color rgb="FFAEABAB"/>
      </bottom>
    </border>
    <border>
      <left style="thin">
        <color rgb="FFAEABAB"/>
      </left>
      <right style="thin">
        <color rgb="FF757070"/>
      </right>
      <top style="thin">
        <color rgb="FF757070"/>
      </top>
      <bottom style="thin">
        <color rgb="FFAEABAB"/>
      </bottom>
    </border>
    <border>
      <left style="thin">
        <color rgb="FF757070"/>
      </left>
      <right style="thin">
        <color rgb="FF7F7F7F"/>
      </right>
      <top style="thin">
        <color rgb="FF757070"/>
      </top>
    </border>
    <border>
      <left style="thin">
        <color rgb="FF757070"/>
      </left>
      <right/>
    </border>
    <border>
      <left style="thin">
        <color rgb="FFAEABAB"/>
      </left>
      <right style="thin">
        <color rgb="FF757070"/>
      </right>
      <top style="thin">
        <color rgb="FFAEABAB"/>
      </top>
      <bottom style="thin">
        <color rgb="FFAEABAB"/>
      </bottom>
    </border>
    <border>
      <left style="thin">
        <color rgb="FF757070"/>
      </left>
      <right style="thin">
        <color rgb="FF7F7F7F"/>
      </right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757070"/>
      </bottom>
    </border>
    <border>
      <left style="thin">
        <color rgb="FF757070"/>
      </left>
      <right/>
      <bottom/>
    </border>
    <border>
      <left/>
      <right/>
      <top style="thin">
        <color rgb="FF757070"/>
      </top>
    </border>
    <border>
      <left/>
      <right/>
    </border>
    <border>
      <left style="thin">
        <color rgb="FFAEABAB"/>
      </left>
      <right style="thin">
        <color rgb="FF757070"/>
      </right>
      <top/>
      <bottom style="thin">
        <color rgb="FFAEABAB"/>
      </bottom>
    </border>
    <border>
      <left style="thin">
        <color rgb="FFAEABAB"/>
      </left>
      <right style="thin">
        <color rgb="FF757070"/>
      </right>
      <top style="thin">
        <color rgb="FFAEABAB"/>
      </top>
      <bottom style="thin">
        <color rgb="FF7F7F7F"/>
      </bottom>
    </border>
    <border>
      <left style="thin">
        <color rgb="FFAEABAB"/>
      </left>
      <right style="thin">
        <color rgb="FF757070"/>
      </right>
      <top/>
      <bottom/>
    </border>
    <border>
      <left/>
      <right/>
      <bottom style="thin">
        <color rgb="FF7F7F7F"/>
      </bottom>
    </border>
    <border>
      <left style="thin">
        <color rgb="FF757070"/>
      </left>
      <right style="thin">
        <color rgb="FF7F7F7F"/>
      </right>
      <bottom style="thin">
        <color rgb="FF7F7F7F"/>
      </bottom>
    </border>
    <border>
      <left style="thin">
        <color rgb="FFAEABAB"/>
      </left>
      <right style="thin">
        <color rgb="FF757070"/>
      </right>
      <top style="thin">
        <color rgb="FF7F7F7F"/>
      </top>
      <bottom style="thin">
        <color rgb="FFAEABAB"/>
      </bottom>
    </border>
    <border>
      <left style="thin">
        <color rgb="FF757070"/>
      </left>
      <right style="thin">
        <color rgb="FF757070"/>
      </right>
      <top style="thin">
        <color rgb="FF7F7F7F"/>
      </top>
    </border>
    <border>
      <left style="thin">
        <color rgb="FFAEABAB"/>
      </left>
      <right style="thin">
        <color rgb="FF757070"/>
      </right>
      <top/>
      <bottom style="thin">
        <color rgb="FFA5A5A5"/>
      </bottom>
    </border>
    <border>
      <left/>
      <right style="thin">
        <color rgb="FF757070"/>
      </right>
      <bottom style="double">
        <color rgb="FF7F7F7F"/>
      </bottom>
    </border>
    <border>
      <left style="thin">
        <color rgb="FF757070"/>
      </left>
      <right style="thin">
        <color rgb="FF757070"/>
      </right>
      <top style="thin">
        <color rgb="FFAEABAB"/>
      </top>
      <bottom style="double">
        <color rgb="FF7F7F7F"/>
      </bottom>
    </border>
    <border>
      <left/>
      <right style="thin">
        <color rgb="FFAEABAB"/>
      </right>
      <top style="thin">
        <color rgb="FFAEABAB"/>
      </top>
      <bottom style="double">
        <color rgb="FF7F7F7F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double">
        <color rgb="FF7F7F7F"/>
      </bottom>
    </border>
    <border>
      <left style="thin">
        <color rgb="FFAEABAB"/>
      </left>
      <right style="thin">
        <color rgb="FF757070"/>
      </right>
      <top style="thin">
        <color rgb="FFAEABAB"/>
      </top>
      <bottom style="double">
        <color rgb="FF7F7F7F"/>
      </bottom>
    </border>
    <border>
      <left style="thin">
        <color rgb="FF757070"/>
      </left>
      <right style="thin">
        <color rgb="FF757070"/>
      </right>
      <bottom style="double">
        <color rgb="FF7F7F7F"/>
      </bottom>
    </border>
    <border>
      <left style="thin">
        <color rgb="FF757070"/>
      </left>
      <right style="thin">
        <color rgb="FF757070"/>
      </right>
      <bottom style="thin">
        <color rgb="FF7F7F7F"/>
      </bottom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757070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757070"/>
      </bottom>
    </border>
    <border>
      <left/>
      <right style="thin">
        <color rgb="FFAEABAB"/>
      </right>
      <top style="thin">
        <color rgb="FFAEABAB"/>
      </top>
      <bottom style="thin">
        <color rgb="FF757070"/>
      </bottom>
    </border>
    <border>
      <left style="thin">
        <color rgb="FFAEABAB"/>
      </left>
      <right style="thin">
        <color rgb="FF757070"/>
      </right>
      <top style="thin">
        <color rgb="FFAEABAB"/>
      </top>
      <bottom style="thin">
        <color rgb="FF757070"/>
      </bottom>
    </border>
    <border>
      <left/>
      <right style="thin">
        <color rgb="FF757070"/>
      </right>
      <bottom style="double">
        <color rgb="FF757070"/>
      </bottom>
    </border>
    <border>
      <left style="thin">
        <color rgb="FF757070"/>
      </left>
      <right style="thin">
        <color rgb="FF757070"/>
      </right>
      <top style="thin">
        <color rgb="FFAEABAB"/>
      </top>
      <bottom style="double">
        <color rgb="FF757070"/>
      </bottom>
    </border>
    <border>
      <left/>
      <right style="thin">
        <color rgb="FFAEABAB"/>
      </right>
      <top style="thin">
        <color rgb="FFAEABAB"/>
      </top>
      <bottom style="double">
        <color rgb="FF757070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double">
        <color rgb="FF757070"/>
      </bottom>
    </border>
    <border>
      <left style="thin">
        <color rgb="FFAEABAB"/>
      </left>
      <right style="thin">
        <color rgb="FF757070"/>
      </right>
      <top style="thin">
        <color rgb="FFAEABAB"/>
      </top>
      <bottom style="double">
        <color rgb="FF757070"/>
      </bottom>
    </border>
    <border>
      <left style="thin">
        <color rgb="FF757070"/>
      </left>
      <right style="thin">
        <color rgb="FF757070"/>
      </right>
      <bottom style="double">
        <color rgb="FF757070"/>
      </bottom>
    </border>
    <border>
      <left/>
      <right style="thin">
        <color rgb="FF757070"/>
      </right>
      <bottom style="thin">
        <color rgb="FF757070"/>
      </bottom>
    </border>
    <border>
      <left style="thin">
        <color rgb="FF7F7F7F"/>
      </left>
      <right/>
      <top style="thin">
        <color rgb="FF7F7F7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/>
      <right style="thin">
        <color rgb="FFBFBFBF"/>
      </right>
      <top style="thin">
        <color rgb="FF7F7F7F"/>
      </top>
      <bottom/>
    </border>
    <border>
      <left style="thin">
        <color rgb="FFBFBFBF"/>
      </left>
      <right style="thin">
        <color rgb="FFBFBFBF"/>
      </right>
      <top style="thin">
        <color rgb="FF7F7F7F"/>
      </top>
      <bottom/>
    </border>
    <border>
      <left style="thin">
        <color rgb="FFBFBFBF"/>
      </left>
      <right style="thin">
        <color rgb="FF7F7F7F"/>
      </right>
      <top style="thin">
        <color rgb="FF7F7F7F"/>
      </top>
      <bottom/>
    </border>
    <border>
      <left style="thin">
        <color rgb="FF757070"/>
      </left>
      <right style="thin">
        <color rgb="FF7F7F7F"/>
      </right>
      <top style="thin">
        <color rgb="FF7F7F7F"/>
      </top>
      <bottom style="thin">
        <color rgb="FF757070"/>
      </bottom>
    </border>
    <border>
      <left style="thin">
        <color rgb="FF7F7F7F"/>
      </left>
      <right/>
      <top style="thin">
        <color rgb="FF7F7F7F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BFBFBF"/>
      </bottom>
    </border>
    <border>
      <left/>
      <right style="thin">
        <color rgb="FFBFBFBF"/>
      </right>
      <top style="thin">
        <color rgb="FF7F7F7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7F7F7F"/>
      </top>
      <bottom style="thin">
        <color rgb="FFBFBFBF"/>
      </bottom>
    </border>
    <border>
      <left style="thin">
        <color rgb="FFBFBFBF"/>
      </left>
      <right style="thin">
        <color rgb="FF7F7F7F"/>
      </right>
      <top style="thin">
        <color rgb="FF7F7F7F"/>
      </top>
      <bottom style="thin">
        <color rgb="FFBFBFBF"/>
      </bottom>
    </border>
    <border>
      <left style="thin">
        <color rgb="FF7F7F7F"/>
      </left>
      <right/>
    </border>
    <border>
      <left style="thin">
        <color rgb="FF7F7F7F"/>
      </left>
      <right style="thin">
        <color rgb="FF7F7F7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7F7F7F"/>
      </right>
      <top style="thin">
        <color rgb="FFBFBFBF"/>
      </top>
      <bottom style="thin">
        <color rgb="FFBFBFBF"/>
      </bottom>
    </border>
    <border>
      <left style="thin">
        <color rgb="FF7F7F7F"/>
      </left>
      <right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BFBFBF"/>
      </top>
      <bottom style="thin">
        <color rgb="FF7F7F7F"/>
      </bottom>
    </border>
    <border>
      <left/>
      <right style="thin">
        <color rgb="FFBFBFBF"/>
      </right>
      <top style="thin">
        <color rgb="FFBFBFBF"/>
      </top>
      <bottom style="thin">
        <color rgb="FF7F7F7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7F7F7F"/>
      </bottom>
    </border>
    <border>
      <left style="thin">
        <color rgb="FFBFBFBF"/>
      </left>
      <right style="thin">
        <color rgb="FF7F7F7F"/>
      </right>
      <top style="thin">
        <color rgb="FFBFBFBF"/>
      </top>
      <bottom style="thin">
        <color rgb="FF7F7F7F"/>
      </bottom>
    </border>
    <border>
      <left style="thin">
        <color rgb="FF7F7F7F"/>
      </left>
      <right/>
      <top/>
    </border>
    <border>
      <left style="thin">
        <color rgb="FF7F7F7F"/>
      </left>
      <right style="thin">
        <color rgb="FF7F7F7F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7F7F7F"/>
      </right>
      <top/>
      <bottom style="thin">
        <color rgb="FFBFBFBF"/>
      </bottom>
    </border>
  </borders>
  <cellStyleXfs count="1">
    <xf borderId="0" fillId="0" fontId="0" numFmtId="0" applyAlignment="1" applyFont="1"/>
  </cellStyleXfs>
  <cellXfs count="42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vertical="center"/>
    </xf>
    <xf borderId="3" fillId="3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7" fillId="3" fontId="1" numFmtId="0" xfId="0" applyAlignment="1" applyBorder="1" applyFont="1">
      <alignment horizontal="center" vertical="center"/>
    </xf>
    <xf borderId="8" fillId="3" fontId="1" numFmtId="0" xfId="0" applyAlignment="1" applyBorder="1" applyFont="1">
      <alignment horizontal="center" vertical="center"/>
    </xf>
    <xf borderId="9" fillId="4" fontId="1" numFmtId="0" xfId="0" applyAlignment="1" applyBorder="1" applyFill="1" applyFont="1">
      <alignment horizontal="center" vertical="center"/>
    </xf>
    <xf borderId="10" fillId="5" fontId="1" numFmtId="0" xfId="0" applyAlignment="1" applyBorder="1" applyFill="1" applyFont="1">
      <alignment horizontal="center" vertical="center"/>
    </xf>
    <xf borderId="11" fillId="6" fontId="1" numFmtId="0" xfId="0" applyAlignment="1" applyBorder="1" applyFill="1" applyFont="1">
      <alignment horizontal="center" vertical="center"/>
    </xf>
    <xf borderId="12" fillId="6" fontId="1" numFmtId="0" xfId="0" applyAlignment="1" applyBorder="1" applyFont="1">
      <alignment horizontal="center" vertical="center"/>
    </xf>
    <xf borderId="13" fillId="6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5" fillId="6" fontId="1" numFmtId="0" xfId="0" applyAlignment="1" applyBorder="1" applyFont="1">
      <alignment horizontal="center" vertical="center"/>
    </xf>
    <xf borderId="16" fillId="0" fontId="3" numFmtId="0" xfId="0" applyAlignment="1" applyBorder="1" applyFont="1">
      <alignment vertical="center"/>
    </xf>
    <xf borderId="17" fillId="5" fontId="1" numFmtId="0" xfId="0" applyAlignment="1" applyBorder="1" applyFont="1">
      <alignment horizontal="center" vertical="center"/>
    </xf>
    <xf borderId="18" fillId="6" fontId="1" numFmtId="0" xfId="0" applyAlignment="1" applyBorder="1" applyFont="1">
      <alignment horizontal="center" vertical="center"/>
    </xf>
    <xf borderId="19" fillId="6" fontId="1" numFmtId="0" xfId="0" applyAlignment="1" applyBorder="1" applyFont="1">
      <alignment horizontal="center" vertical="center"/>
    </xf>
    <xf borderId="20" fillId="6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vertical="center"/>
    </xf>
    <xf borderId="21" fillId="5" fontId="1" numFmtId="0" xfId="0" applyAlignment="1" applyBorder="1" applyFont="1">
      <alignment horizontal="center" vertical="center"/>
    </xf>
    <xf borderId="22" fillId="6" fontId="1" numFmtId="0" xfId="0" applyAlignment="1" applyBorder="1" applyFont="1">
      <alignment horizontal="center" vertical="center"/>
    </xf>
    <xf borderId="23" fillId="0" fontId="3" numFmtId="0" xfId="0" applyAlignment="1" applyBorder="1" applyFont="1">
      <alignment vertical="center"/>
    </xf>
    <xf borderId="24" fillId="5" fontId="1" numFmtId="0" xfId="0" applyAlignment="1" applyBorder="1" applyFont="1">
      <alignment horizontal="center" vertical="center"/>
    </xf>
    <xf borderId="25" fillId="6" fontId="1" numFmtId="0" xfId="0" applyAlignment="1" applyBorder="1" applyFont="1">
      <alignment horizontal="center" vertical="center"/>
    </xf>
    <xf borderId="26" fillId="6" fontId="1" numFmtId="0" xfId="0" applyAlignment="1" applyBorder="1" applyFont="1">
      <alignment horizontal="center" vertical="center"/>
    </xf>
    <xf borderId="26" fillId="6" fontId="1" numFmtId="0" xfId="0" applyAlignment="1" applyBorder="1" applyFont="1">
      <alignment horizontal="center" readingOrder="0" vertical="center"/>
    </xf>
    <xf borderId="27" fillId="6" fontId="1" numFmtId="0" xfId="0" applyAlignment="1" applyBorder="1" applyFont="1">
      <alignment horizontal="center" vertical="center"/>
    </xf>
    <xf borderId="28" fillId="4" fontId="1" numFmtId="0" xfId="0" applyAlignment="1" applyBorder="1" applyFont="1">
      <alignment horizontal="center" vertical="center"/>
    </xf>
    <xf borderId="10" fillId="7" fontId="1" numFmtId="0" xfId="0" applyAlignment="1" applyBorder="1" applyFill="1" applyFont="1">
      <alignment horizontal="center" vertical="center"/>
    </xf>
    <xf borderId="11" fillId="8" fontId="1" numFmtId="0" xfId="0" applyAlignment="1" applyBorder="1" applyFill="1" applyFont="1">
      <alignment horizontal="center" vertical="center"/>
    </xf>
    <xf borderId="12" fillId="8" fontId="1" numFmtId="0" xfId="0" applyAlignment="1" applyBorder="1" applyFont="1">
      <alignment horizontal="center" vertical="center"/>
    </xf>
    <xf borderId="13" fillId="8" fontId="1" numFmtId="0" xfId="0" applyAlignment="1" applyBorder="1" applyFont="1">
      <alignment horizontal="center" vertical="center"/>
    </xf>
    <xf borderId="21" fillId="7" fontId="1" numFmtId="0" xfId="0" applyAlignment="1" applyBorder="1" applyFont="1">
      <alignment horizontal="center" vertical="center"/>
    </xf>
    <xf borderId="22" fillId="8" fontId="1" numFmtId="0" xfId="0" applyAlignment="1" applyBorder="1" applyFont="1">
      <alignment horizontal="center" vertical="center"/>
    </xf>
    <xf borderId="19" fillId="8" fontId="1" numFmtId="0" xfId="0" applyAlignment="1" applyBorder="1" applyFont="1">
      <alignment horizontal="center" vertical="center"/>
    </xf>
    <xf borderId="20" fillId="8" fontId="1" numFmtId="0" xfId="0" applyAlignment="1" applyBorder="1" applyFont="1">
      <alignment horizontal="center" vertical="center"/>
    </xf>
    <xf borderId="17" fillId="7" fontId="1" numFmtId="0" xfId="0" applyAlignment="1" applyBorder="1" applyFont="1">
      <alignment horizontal="center" vertical="center"/>
    </xf>
    <xf borderId="18" fillId="8" fontId="1" numFmtId="0" xfId="0" applyAlignment="1" applyBorder="1" applyFont="1">
      <alignment horizontal="center" vertical="center"/>
    </xf>
    <xf borderId="19" fillId="8" fontId="1" numFmtId="0" xfId="0" applyAlignment="1" applyBorder="1" applyFont="1">
      <alignment horizontal="center" readingOrder="0" vertical="center"/>
    </xf>
    <xf borderId="29" fillId="8" fontId="1" numFmtId="0" xfId="0" applyAlignment="1" applyBorder="1" applyFont="1">
      <alignment horizontal="center" vertical="center"/>
    </xf>
    <xf borderId="24" fillId="7" fontId="1" numFmtId="0" xfId="0" applyAlignment="1" applyBorder="1" applyFont="1">
      <alignment horizontal="center" vertical="center"/>
    </xf>
    <xf borderId="25" fillId="8" fontId="1" numFmtId="0" xfId="0" applyAlignment="1" applyBorder="1" applyFont="1">
      <alignment horizontal="center" vertical="center"/>
    </xf>
    <xf borderId="26" fillId="8" fontId="1" numFmtId="0" xfId="0" applyAlignment="1" applyBorder="1" applyFont="1">
      <alignment horizontal="center" vertical="center"/>
    </xf>
    <xf borderId="30" fillId="8" fontId="1" numFmtId="0" xfId="0" applyAlignment="1" applyBorder="1" applyFont="1">
      <alignment horizontal="center" readingOrder="0" vertical="center"/>
    </xf>
    <xf borderId="31" fillId="9" fontId="1" numFmtId="0" xfId="0" applyAlignment="1" applyBorder="1" applyFill="1" applyFont="1">
      <alignment horizontal="center" readingOrder="0" vertical="center"/>
    </xf>
    <xf borderId="11" fillId="10" fontId="1" numFmtId="0" xfId="0" applyAlignment="1" applyBorder="1" applyFill="1" applyFont="1">
      <alignment horizontal="center" readingOrder="0" vertical="center"/>
    </xf>
    <xf borderId="12" fillId="10" fontId="1" numFmtId="0" xfId="0" applyAlignment="1" applyBorder="1" applyFont="1">
      <alignment horizontal="center" readingOrder="0" vertical="center"/>
    </xf>
    <xf borderId="12" fillId="10" fontId="1" numFmtId="0" xfId="0" applyAlignment="1" applyBorder="1" applyFont="1">
      <alignment horizontal="center" vertical="center"/>
    </xf>
    <xf borderId="13" fillId="10" fontId="1" numFmtId="0" xfId="0" applyAlignment="1" applyBorder="1" applyFont="1">
      <alignment horizontal="center" readingOrder="0" vertical="center"/>
    </xf>
    <xf borderId="32" fillId="9" fontId="1" numFmtId="0" xfId="0" applyAlignment="1" applyBorder="1" applyFont="1">
      <alignment horizontal="center" readingOrder="0" vertical="center"/>
    </xf>
    <xf borderId="22" fillId="10" fontId="1" numFmtId="0" xfId="0" applyAlignment="1" applyBorder="1" applyFont="1">
      <alignment horizontal="center" readingOrder="0" vertical="center"/>
    </xf>
    <xf borderId="19" fillId="10" fontId="1" numFmtId="0" xfId="0" applyAlignment="1" applyBorder="1" applyFont="1">
      <alignment horizontal="center" readingOrder="0" vertical="center"/>
    </xf>
    <xf borderId="19" fillId="10" fontId="1" numFmtId="0" xfId="0" applyAlignment="1" applyBorder="1" applyFont="1">
      <alignment horizontal="center" vertical="center"/>
    </xf>
    <xf borderId="20" fillId="10" fontId="1" numFmtId="0" xfId="0" applyAlignment="1" applyBorder="1" applyFont="1">
      <alignment horizontal="center" vertical="center"/>
    </xf>
    <xf borderId="20" fillId="10" fontId="1" numFmtId="0" xfId="0" applyAlignment="1" applyBorder="1" applyFont="1">
      <alignment horizontal="center" readingOrder="0" vertical="center"/>
    </xf>
    <xf borderId="33" fillId="9" fontId="1" numFmtId="0" xfId="0" applyAlignment="1" applyBorder="1" applyFont="1">
      <alignment horizontal="center" readingOrder="0" vertical="center"/>
    </xf>
    <xf borderId="34" fillId="9" fontId="1" numFmtId="0" xfId="0" applyAlignment="1" applyBorder="1" applyFont="1">
      <alignment horizontal="center" readingOrder="0" vertical="center"/>
    </xf>
    <xf borderId="35" fillId="9" fontId="1" numFmtId="0" xfId="0" applyAlignment="1" applyBorder="1" applyFont="1">
      <alignment horizontal="center" readingOrder="0" vertical="center"/>
    </xf>
    <xf borderId="36" fillId="0" fontId="3" numFmtId="0" xfId="0" applyAlignment="1" applyBorder="1" applyFont="1">
      <alignment vertical="center"/>
    </xf>
    <xf borderId="37" fillId="9" fontId="1" numFmtId="0" xfId="0" applyAlignment="1" applyBorder="1" applyFont="1">
      <alignment horizontal="center" readingOrder="0" vertical="center"/>
    </xf>
    <xf borderId="38" fillId="10" fontId="1" numFmtId="0" xfId="0" applyAlignment="1" applyBorder="1" applyFont="1">
      <alignment horizontal="center" readingOrder="0" vertical="center"/>
    </xf>
    <xf borderId="39" fillId="10" fontId="1" numFmtId="0" xfId="0" applyAlignment="1" applyBorder="1" applyFont="1">
      <alignment horizontal="center" readingOrder="0" vertical="center"/>
    </xf>
    <xf borderId="39" fillId="10" fontId="1" numFmtId="0" xfId="0" applyAlignment="1" applyBorder="1" applyFont="1">
      <alignment horizontal="center" vertical="center"/>
    </xf>
    <xf borderId="40" fillId="10" fontId="1" numFmtId="0" xfId="0" applyAlignment="1" applyBorder="1" applyFont="1">
      <alignment horizontal="center" readingOrder="0" vertical="center"/>
    </xf>
    <xf borderId="41" fillId="4" fontId="1" numFmtId="0" xfId="0" applyAlignment="1" applyBorder="1" applyFont="1">
      <alignment horizontal="center" readingOrder="0" vertical="center"/>
    </xf>
    <xf borderId="42" fillId="11" fontId="1" numFmtId="0" xfId="0" applyAlignment="1" applyBorder="1" applyFill="1" applyFont="1">
      <alignment horizontal="center" vertical="center"/>
    </xf>
    <xf borderId="43" fillId="12" fontId="1" numFmtId="0" xfId="0" applyAlignment="1" applyBorder="1" applyFill="1" applyFont="1">
      <alignment horizontal="center" vertical="center"/>
    </xf>
    <xf borderId="44" fillId="12" fontId="1" numFmtId="0" xfId="0" applyAlignment="1" applyBorder="1" applyFont="1">
      <alignment horizontal="center" vertical="center"/>
    </xf>
    <xf borderId="45" fillId="12" fontId="1" numFmtId="0" xfId="0" applyAlignment="1" applyBorder="1" applyFont="1">
      <alignment horizontal="center" vertical="center"/>
    </xf>
    <xf borderId="46" fillId="0" fontId="3" numFmtId="0" xfId="0" applyAlignment="1" applyBorder="1" applyFont="1">
      <alignment vertical="center"/>
    </xf>
    <xf borderId="47" fillId="11" fontId="1" numFmtId="0" xfId="0" applyAlignment="1" applyBorder="1" applyFont="1">
      <alignment horizontal="center" vertical="center"/>
    </xf>
    <xf borderId="48" fillId="12" fontId="1" numFmtId="0" xfId="0" applyAlignment="1" applyBorder="1" applyFont="1">
      <alignment horizontal="center" vertical="center"/>
    </xf>
    <xf borderId="19" fillId="12" fontId="1" numFmtId="0" xfId="0" applyAlignment="1" applyBorder="1" applyFont="1">
      <alignment horizontal="center" vertical="center"/>
    </xf>
    <xf borderId="20" fillId="12" fontId="1" numFmtId="0" xfId="0" applyAlignment="1" applyBorder="1" applyFont="1">
      <alignment horizontal="center" vertical="center"/>
    </xf>
    <xf borderId="49" fillId="0" fontId="3" numFmtId="0" xfId="0" applyAlignment="1" applyBorder="1" applyFont="1">
      <alignment vertical="center"/>
    </xf>
    <xf borderId="50" fillId="11" fontId="1" numFmtId="0" xfId="0" applyAlignment="1" applyBorder="1" applyFont="1">
      <alignment horizontal="center" vertical="center"/>
    </xf>
    <xf borderId="51" fillId="12" fontId="1" numFmtId="0" xfId="0" applyAlignment="1" applyBorder="1" applyFont="1">
      <alignment horizontal="center" vertical="center"/>
    </xf>
    <xf borderId="26" fillId="12" fontId="1" numFmtId="0" xfId="0" applyAlignment="1" applyBorder="1" applyFont="1">
      <alignment horizontal="center" vertical="center"/>
    </xf>
    <xf borderId="52" fillId="12" fontId="1" numFmtId="0" xfId="0" applyAlignment="1" applyBorder="1" applyFont="1">
      <alignment horizontal="center" vertical="center"/>
    </xf>
    <xf borderId="53" fillId="4" fontId="1" numFmtId="0" xfId="0" applyAlignment="1" applyBorder="1" applyFont="1">
      <alignment horizontal="center" vertical="center"/>
    </xf>
    <xf borderId="10" fillId="13" fontId="1" numFmtId="0" xfId="0" applyAlignment="1" applyBorder="1" applyFill="1" applyFont="1">
      <alignment horizontal="center" vertical="center"/>
    </xf>
    <xf borderId="54" fillId="14" fontId="1" numFmtId="0" xfId="0" applyAlignment="1" applyBorder="1" applyFill="1" applyFont="1">
      <alignment horizontal="center" vertical="center"/>
    </xf>
    <xf borderId="44" fillId="14" fontId="1" numFmtId="0" xfId="0" applyAlignment="1" applyBorder="1" applyFont="1">
      <alignment horizontal="center" vertical="center"/>
    </xf>
    <xf borderId="13" fillId="14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55" fillId="0" fontId="3" numFmtId="0" xfId="0" applyAlignment="1" applyBorder="1" applyFont="1">
      <alignment vertical="center"/>
    </xf>
    <xf borderId="21" fillId="13" fontId="1" numFmtId="0" xfId="0" applyAlignment="1" applyBorder="1" applyFont="1">
      <alignment horizontal="center" vertical="center"/>
    </xf>
    <xf borderId="22" fillId="14" fontId="1" numFmtId="0" xfId="0" applyAlignment="1" applyBorder="1" applyFont="1">
      <alignment horizontal="center" vertical="center"/>
    </xf>
    <xf borderId="19" fillId="14" fontId="1" numFmtId="0" xfId="0" applyAlignment="1" applyBorder="1" applyFont="1">
      <alignment horizontal="center" vertical="center"/>
    </xf>
    <xf borderId="20" fillId="14" fontId="1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quotePrefix="1" borderId="19" fillId="14" fontId="1" numFmtId="0" xfId="0" applyAlignment="1" applyBorder="1" applyFont="1">
      <alignment horizontal="center" vertical="center"/>
    </xf>
    <xf borderId="17" fillId="13" fontId="1" numFmtId="0" xfId="0" applyAlignment="1" applyBorder="1" applyFont="1">
      <alignment horizontal="center" vertical="center"/>
    </xf>
    <xf borderId="29" fillId="14" fontId="1" numFmtId="0" xfId="0" applyAlignment="1" applyBorder="1" applyFont="1">
      <alignment horizontal="center" vertical="center"/>
    </xf>
    <xf borderId="18" fillId="14" fontId="1" numFmtId="0" xfId="0" applyAlignment="1" applyBorder="1" applyFont="1">
      <alignment horizontal="center" vertical="center"/>
    </xf>
    <xf borderId="56" fillId="0" fontId="3" numFmtId="0" xfId="0" applyAlignment="1" applyBorder="1" applyFont="1">
      <alignment vertical="center"/>
    </xf>
    <xf borderId="24" fillId="13" fontId="1" numFmtId="0" xfId="0" applyAlignment="1" applyBorder="1" applyFont="1">
      <alignment horizontal="center" vertical="center"/>
    </xf>
    <xf borderId="57" fillId="14" fontId="1" numFmtId="0" xfId="0" applyAlignment="1" applyBorder="1" applyFont="1">
      <alignment horizontal="center" vertical="center"/>
    </xf>
    <xf borderId="58" fillId="14" fontId="1" numFmtId="0" xfId="0" applyAlignment="1" applyBorder="1" applyFont="1">
      <alignment horizontal="center" vertical="center"/>
    </xf>
    <xf borderId="59" fillId="14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60" fillId="3" fontId="1" numFmtId="0" xfId="0" applyAlignment="1" applyBorder="1" applyFont="1">
      <alignment horizontal="center" vertical="center"/>
    </xf>
    <xf borderId="61" fillId="3" fontId="1" numFmtId="0" xfId="0" applyAlignment="1" applyBorder="1" applyFont="1">
      <alignment horizontal="center" vertical="center"/>
    </xf>
    <xf borderId="62" fillId="3" fontId="1" numFmtId="0" xfId="0" applyAlignment="1" applyBorder="1" applyFont="1">
      <alignment horizontal="center" vertical="center"/>
    </xf>
    <xf borderId="63" fillId="3" fontId="1" numFmtId="0" xfId="0" applyAlignment="1" applyBorder="1" applyFont="1">
      <alignment horizontal="center" vertical="center"/>
    </xf>
    <xf borderId="64" fillId="5" fontId="1" numFmtId="0" xfId="0" applyAlignment="1" applyBorder="1" applyFont="1">
      <alignment horizontal="center" vertical="center"/>
    </xf>
    <xf borderId="65" fillId="6" fontId="1" numFmtId="0" xfId="0" applyAlignment="1" applyBorder="1" applyFont="1">
      <alignment horizontal="center" vertical="center"/>
    </xf>
    <xf borderId="66" fillId="6" fontId="1" numFmtId="0" xfId="0" applyAlignment="1" applyBorder="1" applyFont="1">
      <alignment horizontal="center" vertical="center"/>
    </xf>
    <xf borderId="67" fillId="6" fontId="1" numFmtId="0" xfId="0" applyAlignment="1" applyBorder="1" applyFont="1">
      <alignment horizontal="center" vertical="center"/>
    </xf>
    <xf borderId="68" fillId="6" fontId="1" numFmtId="0" xfId="0" applyAlignment="1" applyBorder="1" applyFont="1">
      <alignment horizontal="center" vertical="center"/>
    </xf>
    <xf borderId="69" fillId="5" fontId="1" numFmtId="0" xfId="0" applyAlignment="1" applyBorder="1" applyFont="1">
      <alignment horizontal="center" vertical="center"/>
    </xf>
    <xf borderId="70" fillId="6" fontId="1" numFmtId="0" xfId="0" applyAlignment="1" applyBorder="1" applyFont="1">
      <alignment horizontal="center" vertical="center"/>
    </xf>
    <xf borderId="71" fillId="6" fontId="1" numFmtId="0" xfId="0" applyAlignment="1" applyBorder="1" applyFont="1">
      <alignment horizontal="center" vertical="center"/>
    </xf>
    <xf borderId="72" fillId="6" fontId="1" numFmtId="0" xfId="0" applyAlignment="1" applyBorder="1" applyFont="1">
      <alignment horizontal="center" vertical="center"/>
    </xf>
    <xf borderId="73" fillId="6" fontId="1" numFmtId="0" xfId="0" applyAlignment="1" applyBorder="1" applyFont="1">
      <alignment horizontal="center" vertical="center"/>
    </xf>
    <xf borderId="74" fillId="5" fontId="1" numFmtId="0" xfId="0" applyAlignment="1" applyBorder="1" applyFont="1">
      <alignment horizontal="center" vertical="center"/>
    </xf>
    <xf borderId="75" fillId="6" fontId="1" numFmtId="0" xfId="0" applyAlignment="1" applyBorder="1" applyFont="1">
      <alignment horizontal="center" vertical="center"/>
    </xf>
    <xf borderId="76" fillId="6" fontId="1" numFmtId="0" xfId="0" applyAlignment="1" applyBorder="1" applyFont="1">
      <alignment horizontal="center" vertical="center"/>
    </xf>
    <xf borderId="77" fillId="6" fontId="1" numFmtId="0" xfId="0" applyAlignment="1" applyBorder="1" applyFont="1">
      <alignment horizontal="center" vertical="center"/>
    </xf>
    <xf borderId="78" fillId="5" fontId="1" numFmtId="0" xfId="0" applyAlignment="1" applyBorder="1" applyFont="1">
      <alignment horizontal="center" vertical="center"/>
    </xf>
    <xf borderId="79" fillId="6" fontId="1" numFmtId="0" xfId="0" applyAlignment="1" applyBorder="1" applyFont="1">
      <alignment horizontal="center" vertical="center"/>
    </xf>
    <xf borderId="80" fillId="6" fontId="1" numFmtId="0" xfId="0" applyAlignment="1" applyBorder="1" applyFont="1">
      <alignment horizontal="center" vertical="center"/>
    </xf>
    <xf borderId="81" fillId="6" fontId="1" numFmtId="0" xfId="0" applyAlignment="1" applyBorder="1" applyFont="1">
      <alignment horizontal="center" vertical="center"/>
    </xf>
    <xf borderId="82" fillId="6" fontId="1" numFmtId="0" xfId="0" applyAlignment="1" applyBorder="1" applyFont="1">
      <alignment horizontal="center" vertical="center"/>
    </xf>
    <xf borderId="83" fillId="5" fontId="1" numFmtId="0" xfId="0" applyAlignment="1" applyBorder="1" applyFont="1">
      <alignment horizontal="center" vertical="center"/>
    </xf>
    <xf borderId="84" fillId="6" fontId="1" numFmtId="0" xfId="0" applyAlignment="1" applyBorder="1" applyFont="1">
      <alignment horizontal="center" vertical="center"/>
    </xf>
    <xf borderId="85" fillId="6" fontId="1" numFmtId="0" xfId="0" applyAlignment="1" applyBorder="1" applyFont="1">
      <alignment horizontal="center" vertical="center"/>
    </xf>
    <xf borderId="86" fillId="6" fontId="1" numFmtId="0" xfId="0" applyAlignment="1" applyBorder="1" applyFont="1">
      <alignment horizontal="center" vertical="center"/>
    </xf>
    <xf borderId="87" fillId="6" fontId="1" numFmtId="0" xfId="0" applyAlignment="1" applyBorder="1" applyFont="1">
      <alignment horizontal="center" vertical="center"/>
    </xf>
    <xf borderId="88" fillId="5" fontId="1" numFmtId="0" xfId="0" applyAlignment="1" applyBorder="1" applyFont="1">
      <alignment horizontal="center" vertical="center"/>
    </xf>
    <xf borderId="89" fillId="6" fontId="1" numFmtId="0" xfId="0" applyAlignment="1" applyBorder="1" applyFont="1">
      <alignment horizontal="center" vertical="center"/>
    </xf>
    <xf borderId="90" fillId="6" fontId="1" numFmtId="0" xfId="0" applyAlignment="1" applyBorder="1" applyFont="1">
      <alignment horizontal="center" vertical="center"/>
    </xf>
    <xf borderId="91" fillId="6" fontId="1" numFmtId="0" xfId="0" applyAlignment="1" applyBorder="1" applyFont="1">
      <alignment horizontal="center" vertical="center"/>
    </xf>
    <xf borderId="92" fillId="6" fontId="1" numFmtId="0" xfId="0" applyAlignment="1" applyBorder="1" applyFont="1">
      <alignment horizontal="center" vertical="center"/>
    </xf>
    <xf borderId="35" fillId="7" fontId="1" numFmtId="0" xfId="0" applyAlignment="1" applyBorder="1" applyFont="1">
      <alignment horizontal="center" vertical="center"/>
    </xf>
    <xf borderId="93" fillId="8" fontId="1" numFmtId="0" xfId="0" applyAlignment="1" applyBorder="1" applyFont="1">
      <alignment horizontal="center" vertical="center"/>
    </xf>
    <xf borderId="94" fillId="8" fontId="1" numFmtId="0" xfId="0" applyAlignment="1" applyBorder="1" applyFont="1">
      <alignment horizontal="center" vertical="center"/>
    </xf>
    <xf borderId="66" fillId="8" fontId="1" numFmtId="0" xfId="0" applyAlignment="1" applyBorder="1" applyFont="1">
      <alignment horizontal="center" vertical="center"/>
    </xf>
    <xf borderId="95" fillId="8" fontId="1" numFmtId="0" xfId="0" applyAlignment="1" applyBorder="1" applyFont="1">
      <alignment horizontal="center" vertical="center"/>
    </xf>
    <xf borderId="96" fillId="7" fontId="1" numFmtId="0" xfId="0" applyAlignment="1" applyBorder="1" applyFont="1">
      <alignment horizontal="center" vertical="center"/>
    </xf>
    <xf borderId="75" fillId="8" fontId="1" numFmtId="0" xfId="0" applyAlignment="1" applyBorder="1" applyFont="1">
      <alignment horizontal="center" vertical="center"/>
    </xf>
    <xf borderId="76" fillId="8" fontId="1" numFmtId="0" xfId="0" applyAlignment="1" applyBorder="1" applyFont="1">
      <alignment horizontal="center" vertical="center"/>
    </xf>
    <xf borderId="77" fillId="8" fontId="1" numFmtId="0" xfId="0" applyAlignment="1" applyBorder="1" applyFont="1">
      <alignment horizontal="center" vertical="center"/>
    </xf>
    <xf borderId="97" fillId="7" fontId="1" numFmtId="0" xfId="0" applyAlignment="1" applyBorder="1" applyFont="1">
      <alignment horizontal="center" vertical="center"/>
    </xf>
    <xf borderId="72" fillId="8" fontId="1" numFmtId="0" xfId="0" applyAlignment="1" applyBorder="1" applyFont="1">
      <alignment horizontal="center" vertical="center"/>
    </xf>
    <xf borderId="71" fillId="8" fontId="1" numFmtId="0" xfId="0" applyAlignment="1" applyBorder="1" applyFont="1">
      <alignment horizontal="center" vertical="center"/>
    </xf>
    <xf borderId="98" fillId="8" fontId="1" numFmtId="0" xfId="0" applyAlignment="1" applyBorder="1" applyFont="1">
      <alignment horizontal="center" vertical="center"/>
    </xf>
    <xf borderId="99" fillId="8" fontId="1" numFmtId="0" xfId="0" applyAlignment="1" applyBorder="1" applyFont="1">
      <alignment horizontal="center" vertical="center"/>
    </xf>
    <xf borderId="73" fillId="8" fontId="1" numFmtId="0" xfId="0" applyAlignment="1" applyBorder="1" applyFont="1">
      <alignment horizontal="center" vertical="center"/>
    </xf>
    <xf borderId="100" fillId="8" fontId="1" numFmtId="0" xfId="0" applyAlignment="1" applyBorder="1" applyFont="1">
      <alignment horizontal="center" vertical="center"/>
    </xf>
    <xf borderId="101" fillId="8" fontId="1" numFmtId="0" xfId="0" applyAlignment="1" applyBorder="1" applyFont="1">
      <alignment horizontal="center" vertical="center"/>
    </xf>
    <xf borderId="102" fillId="8" fontId="1" numFmtId="0" xfId="0" applyAlignment="1" applyBorder="1" applyFont="1">
      <alignment horizontal="center" vertical="center"/>
    </xf>
    <xf borderId="103" fillId="8" fontId="1" numFmtId="0" xfId="0" applyAlignment="1" applyBorder="1" applyFont="1">
      <alignment horizontal="center" vertical="center"/>
    </xf>
    <xf borderId="104" fillId="7" fontId="1" numFmtId="0" xfId="0" applyAlignment="1" applyBorder="1" applyFont="1">
      <alignment horizontal="center" vertical="center"/>
    </xf>
    <xf borderId="81" fillId="8" fontId="1" numFmtId="0" xfId="0" applyAlignment="1" applyBorder="1" applyFont="1">
      <alignment horizontal="center" vertical="center"/>
    </xf>
    <xf borderId="80" fillId="8" fontId="1" numFmtId="0" xfId="0" applyAlignment="1" applyBorder="1" applyFont="1">
      <alignment horizontal="center" vertical="center"/>
    </xf>
    <xf borderId="82" fillId="8" fontId="1" numFmtId="0" xfId="0" applyAlignment="1" applyBorder="1" applyFont="1">
      <alignment horizontal="center" vertical="center"/>
    </xf>
    <xf borderId="105" fillId="7" fontId="1" numFmtId="0" xfId="0" applyAlignment="1" applyBorder="1" applyFont="1">
      <alignment horizontal="center" vertical="center"/>
    </xf>
    <xf borderId="86" fillId="8" fontId="1" numFmtId="0" xfId="0" applyAlignment="1" applyBorder="1" applyFont="1">
      <alignment horizontal="center" vertical="center"/>
    </xf>
    <xf borderId="85" fillId="8" fontId="1" numFmtId="0" xfId="0" applyAlignment="1" applyBorder="1" applyFont="1">
      <alignment horizontal="center" vertical="center"/>
    </xf>
    <xf borderId="87" fillId="8" fontId="1" numFmtId="0" xfId="0" applyAlignment="1" applyBorder="1" applyFont="1">
      <alignment horizontal="center" vertical="center"/>
    </xf>
    <xf borderId="32" fillId="7" fontId="1" numFmtId="0" xfId="0" applyAlignment="1" applyBorder="1" applyFont="1">
      <alignment horizontal="center" vertical="center"/>
    </xf>
    <xf borderId="106" fillId="8" fontId="1" numFmtId="0" xfId="0" applyAlignment="1" applyBorder="1" applyFont="1">
      <alignment horizontal="center" vertical="center"/>
    </xf>
    <xf borderId="107" fillId="8" fontId="1" numFmtId="0" xfId="0" applyAlignment="1" applyBorder="1" applyFont="1">
      <alignment horizontal="center" vertical="center"/>
    </xf>
    <xf borderId="108" fillId="8" fontId="1" numFmtId="0" xfId="0" applyAlignment="1" applyBorder="1" applyFont="1">
      <alignment horizontal="center" vertical="center"/>
    </xf>
    <xf borderId="109" fillId="7" fontId="1" numFmtId="0" xfId="0" applyAlignment="1" applyBorder="1" applyFont="1">
      <alignment horizontal="center" vertical="center"/>
    </xf>
    <xf borderId="91" fillId="8" fontId="1" numFmtId="0" xfId="0" applyAlignment="1" applyBorder="1" applyFont="1">
      <alignment horizontal="center" vertical="center"/>
    </xf>
    <xf borderId="90" fillId="8" fontId="1" numFmtId="0" xfId="0" applyAlignment="1" applyBorder="1" applyFont="1">
      <alignment horizontal="center" vertical="center"/>
    </xf>
    <xf borderId="92" fillId="8" fontId="1" numFmtId="0" xfId="0" applyAlignment="1" applyBorder="1" applyFont="1">
      <alignment horizontal="center" vertical="center"/>
    </xf>
    <xf borderId="35" fillId="9" fontId="1" numFmtId="0" xfId="0" applyAlignment="1" applyBorder="1" applyFont="1">
      <alignment horizontal="center" vertical="center"/>
    </xf>
    <xf borderId="93" fillId="10" fontId="1" numFmtId="0" xfId="0" applyAlignment="1" applyBorder="1" applyFont="1">
      <alignment horizontal="center" vertical="center"/>
    </xf>
    <xf borderId="94" fillId="10" fontId="1" numFmtId="0" xfId="0" applyAlignment="1" applyBorder="1" applyFont="1">
      <alignment horizontal="center" vertical="center"/>
    </xf>
    <xf borderId="66" fillId="10" fontId="1" numFmtId="0" xfId="0" applyAlignment="1" applyBorder="1" applyFont="1">
      <alignment horizontal="center" vertical="center"/>
    </xf>
    <xf borderId="95" fillId="10" fontId="1" numFmtId="0" xfId="0" applyAlignment="1" applyBorder="1" applyFont="1">
      <alignment horizontal="center" vertical="center"/>
    </xf>
    <xf borderId="110" fillId="4" fontId="1" numFmtId="0" xfId="0" applyAlignment="1" applyBorder="1" applyFont="1">
      <alignment horizontal="center" vertical="center"/>
    </xf>
    <xf borderId="111" fillId="11" fontId="1" numFmtId="0" xfId="0" applyAlignment="1" applyBorder="1" applyFont="1">
      <alignment horizontal="center" vertical="center"/>
    </xf>
    <xf borderId="67" fillId="12" fontId="1" numFmtId="0" xfId="0" applyAlignment="1" applyBorder="1" applyFont="1">
      <alignment horizontal="center" vertical="center"/>
    </xf>
    <xf borderId="66" fillId="12" fontId="1" numFmtId="0" xfId="0" applyAlignment="1" applyBorder="1" applyFont="1">
      <alignment horizontal="center" vertical="center"/>
    </xf>
    <xf borderId="112" fillId="12" fontId="1" numFmtId="0" xfId="0" applyAlignment="1" applyBorder="1" applyFont="1">
      <alignment horizontal="center" vertical="center"/>
    </xf>
    <xf borderId="113" fillId="11" fontId="1" numFmtId="0" xfId="0" applyAlignment="1" applyBorder="1" applyFont="1">
      <alignment horizontal="center" vertical="center"/>
    </xf>
    <xf borderId="106" fillId="12" fontId="1" numFmtId="0" xfId="0" applyAlignment="1" applyBorder="1" applyFont="1">
      <alignment horizontal="center" vertical="center"/>
    </xf>
    <xf borderId="107" fillId="12" fontId="1" numFmtId="0" xfId="0" applyAlignment="1" applyBorder="1" applyFont="1">
      <alignment horizontal="center" vertical="center"/>
    </xf>
    <xf borderId="114" fillId="12" fontId="1" numFmtId="0" xfId="0" applyAlignment="1" applyBorder="1" applyFont="1">
      <alignment horizontal="center" vertical="center"/>
    </xf>
    <xf borderId="115" fillId="12" fontId="1" numFmtId="0" xfId="0" applyAlignment="1" applyBorder="1" applyFont="1">
      <alignment horizontal="center" vertical="center"/>
    </xf>
    <xf borderId="116" fillId="13" fontId="1" numFmtId="0" xfId="0" applyAlignment="1" applyBorder="1" applyFont="1">
      <alignment horizontal="center" vertical="center"/>
    </xf>
    <xf borderId="67" fillId="14" fontId="1" numFmtId="0" xfId="0" applyAlignment="1" applyBorder="1" applyFont="1">
      <alignment horizontal="center" vertical="center"/>
    </xf>
    <xf borderId="66" fillId="14" fontId="1" numFmtId="0" xfId="0" applyAlignment="1" applyBorder="1" applyFont="1">
      <alignment horizontal="center" vertical="center"/>
    </xf>
    <xf borderId="68" fillId="14" fontId="1" numFmtId="0" xfId="0" applyAlignment="1" applyBorder="1" applyFont="1">
      <alignment horizontal="center" vertical="center"/>
    </xf>
    <xf borderId="96" fillId="13" fontId="1" numFmtId="0" xfId="0" applyAlignment="1" applyBorder="1" applyFont="1">
      <alignment horizontal="center" vertical="center"/>
    </xf>
    <xf borderId="75" fillId="14" fontId="1" numFmtId="0" xfId="0" applyAlignment="1" applyBorder="1" applyFont="1">
      <alignment horizontal="center" vertical="center"/>
    </xf>
    <xf borderId="76" fillId="14" fontId="1" numFmtId="0" xfId="0" applyAlignment="1" applyBorder="1" applyFont="1">
      <alignment horizontal="center" vertical="center"/>
    </xf>
    <xf borderId="77" fillId="14" fontId="1" numFmtId="0" xfId="0" applyAlignment="1" applyBorder="1" applyFont="1">
      <alignment horizontal="center" vertical="center"/>
    </xf>
    <xf borderId="97" fillId="13" fontId="1" numFmtId="0" xfId="0" applyAlignment="1" applyBorder="1" applyFont="1">
      <alignment horizontal="center" vertical="center"/>
    </xf>
    <xf borderId="72" fillId="14" fontId="1" numFmtId="0" xfId="0" applyAlignment="1" applyBorder="1" applyFont="1">
      <alignment horizontal="center" vertical="center"/>
    </xf>
    <xf borderId="71" fillId="14" fontId="1" numFmtId="0" xfId="0" applyAlignment="1" applyBorder="1" applyFont="1">
      <alignment horizontal="center" vertical="center"/>
    </xf>
    <xf borderId="73" fillId="14" fontId="1" numFmtId="0" xfId="0" applyAlignment="1" applyBorder="1" applyFont="1">
      <alignment horizontal="center" vertical="center"/>
    </xf>
    <xf borderId="32" fillId="13" fontId="1" numFmtId="0" xfId="0" applyAlignment="1" applyBorder="1" applyFont="1">
      <alignment horizontal="center" vertical="center"/>
    </xf>
    <xf borderId="106" fillId="14" fontId="1" numFmtId="0" xfId="0" applyAlignment="1" applyBorder="1" applyFont="1">
      <alignment horizontal="center" vertical="center"/>
    </xf>
    <xf borderId="107" fillId="14" fontId="1" numFmtId="0" xfId="0" applyAlignment="1" applyBorder="1" applyFont="1">
      <alignment horizontal="center" vertical="center"/>
    </xf>
    <xf borderId="108" fillId="14" fontId="1" numFmtId="0" xfId="0" applyAlignment="1" applyBorder="1" applyFont="1">
      <alignment horizontal="center" vertical="center"/>
    </xf>
    <xf borderId="104" fillId="13" fontId="1" numFmtId="0" xfId="0" applyAlignment="1" applyBorder="1" applyFont="1">
      <alignment horizontal="center" vertical="center"/>
    </xf>
    <xf borderId="81" fillId="14" fontId="1" numFmtId="0" xfId="0" applyAlignment="1" applyBorder="1" applyFont="1">
      <alignment horizontal="center" vertical="center"/>
    </xf>
    <xf borderId="80" fillId="14" fontId="1" numFmtId="0" xfId="0" applyAlignment="1" applyBorder="1" applyFont="1">
      <alignment horizontal="center" vertical="center"/>
    </xf>
    <xf borderId="82" fillId="14" fontId="1" numFmtId="0" xfId="0" applyAlignment="1" applyBorder="1" applyFont="1">
      <alignment horizontal="center" vertical="center"/>
    </xf>
    <xf borderId="35" fillId="13" fontId="1" numFmtId="0" xfId="0" applyAlignment="1" applyBorder="1" applyFont="1">
      <alignment horizontal="center" vertical="center"/>
    </xf>
    <xf borderId="93" fillId="14" fontId="1" numFmtId="0" xfId="0" applyAlignment="1" applyBorder="1" applyFont="1">
      <alignment horizontal="center" vertical="center"/>
    </xf>
    <xf borderId="94" fillId="14" fontId="1" numFmtId="0" xfId="0" applyAlignment="1" applyBorder="1" applyFont="1">
      <alignment horizontal="center" vertical="center"/>
    </xf>
    <xf borderId="95" fillId="14" fontId="1" numFmtId="0" xfId="0" applyAlignment="1" applyBorder="1" applyFont="1">
      <alignment horizontal="center" vertical="center"/>
    </xf>
    <xf borderId="105" fillId="13" fontId="1" numFmtId="0" xfId="0" applyAlignment="1" applyBorder="1" applyFont="1">
      <alignment horizontal="center" vertical="center"/>
    </xf>
    <xf borderId="86" fillId="14" fontId="1" numFmtId="0" xfId="0" applyAlignment="1" applyBorder="1" applyFont="1">
      <alignment horizontal="center" vertical="center"/>
    </xf>
    <xf borderId="85" fillId="14" fontId="1" numFmtId="0" xfId="0" applyAlignment="1" applyBorder="1" applyFont="1">
      <alignment horizontal="center" vertical="center"/>
    </xf>
    <xf borderId="87" fillId="14" fontId="1" numFmtId="0" xfId="0" applyAlignment="1" applyBorder="1" applyFont="1">
      <alignment horizontal="center" vertical="center"/>
    </xf>
    <xf quotePrefix="1" borderId="94" fillId="14" fontId="1" numFmtId="0" xfId="0" applyAlignment="1" applyBorder="1" applyFont="1">
      <alignment horizontal="center" vertical="center"/>
    </xf>
    <xf borderId="117" fillId="14" fontId="1" numFmtId="0" xfId="0" applyAlignment="1" applyBorder="1" applyFont="1">
      <alignment horizontal="center" vertical="center"/>
    </xf>
    <xf borderId="118" fillId="13" fontId="1" numFmtId="0" xfId="0" applyAlignment="1" applyBorder="1" applyFont="1">
      <alignment horizontal="center" vertical="center"/>
    </xf>
    <xf borderId="119" fillId="14" fontId="1" numFmtId="0" xfId="0" applyAlignment="1" applyBorder="1" applyFont="1">
      <alignment horizontal="center" vertical="center"/>
    </xf>
    <xf borderId="120" fillId="14" fontId="1" numFmtId="0" xfId="0" applyAlignment="1" applyBorder="1" applyFont="1">
      <alignment horizontal="center" vertical="center"/>
    </xf>
    <xf borderId="121" fillId="14" fontId="1" numFmtId="0" xfId="0" applyAlignment="1" applyBorder="1" applyFont="1">
      <alignment horizontal="center" vertical="center"/>
    </xf>
    <xf borderId="105" fillId="3" fontId="1" numFmtId="0" xfId="0" applyAlignment="1" applyBorder="1" applyFont="1">
      <alignment horizontal="center" vertical="center"/>
    </xf>
    <xf borderId="122" fillId="4" fontId="1" numFmtId="0" xfId="0" applyAlignment="1" applyBorder="1" applyFont="1">
      <alignment horizontal="center" vertical="center"/>
    </xf>
    <xf borderId="112" fillId="6" fontId="1" numFmtId="0" xfId="0" applyAlignment="1" applyBorder="1" applyFont="1">
      <alignment horizontal="center" vertical="center"/>
    </xf>
    <xf borderId="123" fillId="0" fontId="1" numFmtId="0" xfId="0" applyAlignment="1" applyBorder="1" applyFont="1">
      <alignment horizontal="center" vertical="center"/>
    </xf>
    <xf borderId="124" fillId="0" fontId="3" numFmtId="0" xfId="0" applyAlignment="1" applyBorder="1" applyFont="1">
      <alignment vertical="center"/>
    </xf>
    <xf borderId="114" fillId="6" fontId="1" numFmtId="0" xfId="0" applyAlignment="1" applyBorder="1" applyFont="1">
      <alignment horizontal="center" vertical="center"/>
    </xf>
    <xf borderId="125" fillId="0" fontId="3" numFmtId="0" xfId="0" applyAlignment="1" applyBorder="1" applyFont="1">
      <alignment vertical="center"/>
    </xf>
    <xf borderId="117" fillId="6" fontId="1" numFmtId="0" xfId="0" applyAlignment="1" applyBorder="1" applyFont="1">
      <alignment horizontal="center" vertical="center"/>
    </xf>
    <xf borderId="126" fillId="6" fontId="1" numFmtId="0" xfId="0" applyAlignment="1" applyBorder="1" applyFont="1">
      <alignment horizontal="center" vertical="center"/>
    </xf>
    <xf borderId="127" fillId="6" fontId="1" numFmtId="0" xfId="0" applyAlignment="1" applyBorder="1" applyFont="1">
      <alignment horizontal="center" vertical="center"/>
    </xf>
    <xf borderId="128" fillId="0" fontId="3" numFmtId="0" xfId="0" applyAlignment="1" applyBorder="1" applyFont="1">
      <alignment vertical="center"/>
    </xf>
    <xf borderId="129" fillId="6" fontId="1" numFmtId="0" xfId="0" applyAlignment="1" applyBorder="1" applyFont="1">
      <alignment horizontal="center" vertical="center"/>
    </xf>
    <xf borderId="130" fillId="6" fontId="1" numFmtId="0" xfId="0" applyAlignment="1" applyBorder="1" applyFont="1">
      <alignment horizontal="center" vertical="center"/>
    </xf>
    <xf borderId="74" fillId="7" fontId="1" numFmtId="0" xfId="0" applyAlignment="1" applyBorder="1" applyFont="1">
      <alignment horizontal="center" vertical="center"/>
    </xf>
    <xf borderId="131" fillId="8" fontId="1" numFmtId="0" xfId="0" applyAlignment="1" applyBorder="1" applyFont="1">
      <alignment horizontal="center" vertical="center"/>
    </xf>
    <xf borderId="69" fillId="7" fontId="1" numFmtId="0" xfId="0" applyAlignment="1" applyBorder="1" applyFont="1">
      <alignment horizontal="center" vertical="center"/>
    </xf>
    <xf borderId="114" fillId="8" fontId="1" numFmtId="0" xfId="0" applyAlignment="1" applyBorder="1" applyFont="1">
      <alignment horizontal="center" vertical="center"/>
    </xf>
    <xf borderId="78" fillId="7" fontId="1" numFmtId="0" xfId="0" applyAlignment="1" applyBorder="1" applyFont="1">
      <alignment horizontal="center" vertical="center"/>
    </xf>
    <xf borderId="126" fillId="8" fontId="1" numFmtId="0" xfId="0" applyAlignment="1" applyBorder="1" applyFont="1">
      <alignment horizontal="center" vertical="center"/>
    </xf>
    <xf borderId="83" fillId="7" fontId="1" numFmtId="0" xfId="0" applyAlignment="1" applyBorder="1" applyFont="1">
      <alignment horizontal="center" vertical="center"/>
    </xf>
    <xf borderId="113" fillId="7" fontId="1" numFmtId="0" xfId="0" applyAlignment="1" applyBorder="1" applyFont="1">
      <alignment horizontal="center" vertical="center"/>
    </xf>
    <xf borderId="132" fillId="7" fontId="1" numFmtId="0" xfId="0" applyAlignment="1" applyBorder="1" applyFont="1">
      <alignment horizontal="center" vertical="center"/>
    </xf>
    <xf borderId="133" fillId="8" fontId="1" numFmtId="0" xfId="0" applyAlignment="1" applyBorder="1" applyFont="1">
      <alignment horizontal="center" vertical="center"/>
    </xf>
    <xf borderId="134" fillId="8" fontId="1" numFmtId="0" xfId="0" applyAlignment="1" applyBorder="1" applyFont="1">
      <alignment horizontal="center" vertical="center"/>
    </xf>
    <xf borderId="135" fillId="8" fontId="1" numFmtId="0" xfId="0" applyAlignment="1" applyBorder="1" applyFont="1">
      <alignment horizontal="center" vertical="center"/>
    </xf>
    <xf borderId="127" fillId="8" fontId="1" numFmtId="0" xfId="0" applyAlignment="1" applyBorder="1" applyFont="1">
      <alignment horizontal="center" vertical="center"/>
    </xf>
    <xf borderId="115" fillId="8" fontId="1" numFmtId="0" xfId="0" applyAlignment="1" applyBorder="1" applyFont="1">
      <alignment horizontal="center" vertical="center"/>
    </xf>
    <xf borderId="88" fillId="7" fontId="1" numFmtId="0" xfId="0" applyAlignment="1" applyBorder="1" applyFont="1">
      <alignment horizontal="center" vertical="center"/>
    </xf>
    <xf borderId="130" fillId="8" fontId="1" numFmtId="0" xfId="0" applyAlignment="1" applyBorder="1" applyFont="1">
      <alignment horizontal="center" vertical="center"/>
    </xf>
    <xf borderId="113" fillId="9" fontId="1" numFmtId="0" xfId="0" applyAlignment="1" applyBorder="1" applyFont="1">
      <alignment horizontal="center" vertical="center"/>
    </xf>
    <xf borderId="106" fillId="10" fontId="1" numFmtId="0" xfId="0" applyAlignment="1" applyBorder="1" applyFont="1">
      <alignment horizontal="center" vertical="center"/>
    </xf>
    <xf borderId="107" fillId="10" fontId="1" numFmtId="0" xfId="0" applyAlignment="1" applyBorder="1" applyFont="1">
      <alignment horizontal="center" vertical="center"/>
    </xf>
    <xf borderId="136" fillId="10" fontId="1" numFmtId="0" xfId="0" applyAlignment="1" applyBorder="1" applyFont="1">
      <alignment horizontal="center" vertical="center"/>
    </xf>
    <xf borderId="78" fillId="9" fontId="1" numFmtId="0" xfId="0" applyAlignment="1" applyBorder="1" applyFont="1">
      <alignment horizontal="center" vertical="center"/>
    </xf>
    <xf borderId="81" fillId="10" fontId="1" numFmtId="0" xfId="0" applyAlignment="1" applyBorder="1" applyFont="1">
      <alignment horizontal="center" vertical="center"/>
    </xf>
    <xf borderId="80" fillId="10" fontId="1" numFmtId="0" xfId="0" applyAlignment="1" applyBorder="1" applyFont="1">
      <alignment horizontal="center" vertical="center"/>
    </xf>
    <xf borderId="137" fillId="10" fontId="1" numFmtId="0" xfId="0" applyAlignment="1" applyBorder="1" applyFont="1">
      <alignment horizontal="center" vertical="center"/>
    </xf>
    <xf borderId="138" fillId="0" fontId="3" numFmtId="0" xfId="0" applyAlignment="1" applyBorder="1" applyFont="1">
      <alignment vertical="center"/>
    </xf>
    <xf borderId="139" fillId="11" fontId="1" numFmtId="0" xfId="0" applyAlignment="1" applyBorder="1" applyFont="1">
      <alignment horizontal="center" vertical="center"/>
    </xf>
    <xf borderId="93" fillId="12" fontId="1" numFmtId="0" xfId="0" applyAlignment="1" applyBorder="1" applyFont="1">
      <alignment horizontal="center" vertical="center"/>
    </xf>
    <xf borderId="94" fillId="12" fontId="1" numFmtId="0" xfId="0" applyAlignment="1" applyBorder="1" applyFont="1">
      <alignment horizontal="center" vertical="center"/>
    </xf>
    <xf quotePrefix="1" borderId="94" fillId="12" fontId="1" numFmtId="0" xfId="0" applyAlignment="1" applyBorder="1" applyFont="1">
      <alignment horizontal="center" vertical="center"/>
    </xf>
    <xf borderId="140" fillId="12" fontId="1" numFmtId="0" xfId="0" applyAlignment="1" applyBorder="1" applyFont="1">
      <alignment horizontal="center" vertical="center"/>
    </xf>
    <xf borderId="74" fillId="11" fontId="1" numFmtId="0" xfId="0" applyAlignment="1" applyBorder="1" applyFont="1">
      <alignment horizontal="center" vertical="center"/>
    </xf>
    <xf borderId="75" fillId="12" fontId="1" numFmtId="0" xfId="0" applyAlignment="1" applyBorder="1" applyFont="1">
      <alignment horizontal="center" vertical="center"/>
    </xf>
    <xf borderId="76" fillId="12" fontId="1" numFmtId="0" xfId="0" applyAlignment="1" applyBorder="1" applyFont="1">
      <alignment horizontal="center" vertical="center"/>
    </xf>
    <xf borderId="131" fillId="12" fontId="1" numFmtId="0" xfId="0" applyAlignment="1" applyBorder="1" applyFont="1">
      <alignment horizontal="center" vertical="center"/>
    </xf>
    <xf borderId="69" fillId="11" fontId="1" numFmtId="0" xfId="0" applyAlignment="1" applyBorder="1" applyFont="1">
      <alignment horizontal="center" vertical="center"/>
    </xf>
    <xf borderId="72" fillId="12" fontId="1" numFmtId="0" xfId="0" applyAlignment="1" applyBorder="1" applyFont="1">
      <alignment horizontal="center" vertical="center"/>
    </xf>
    <xf borderId="71" fillId="12" fontId="1" numFmtId="0" xfId="0" applyAlignment="1" applyBorder="1" applyFont="1">
      <alignment horizontal="center" vertical="center"/>
    </xf>
    <xf borderId="111" fillId="13" fontId="1" numFmtId="0" xfId="0" applyAlignment="1" applyBorder="1" applyFont="1">
      <alignment horizontal="center" vertical="center"/>
    </xf>
    <xf borderId="112" fillId="14" fontId="1" numFmtId="0" xfId="0" applyAlignment="1" applyBorder="1" applyFont="1">
      <alignment horizontal="center" vertical="center"/>
    </xf>
    <xf borderId="141" fillId="0" fontId="1" numFmtId="0" xfId="0" applyAlignment="1" applyBorder="1" applyFont="1">
      <alignment horizontal="center" vertical="center"/>
    </xf>
    <xf borderId="74" fillId="13" fontId="1" numFmtId="0" xfId="0" applyAlignment="1" applyBorder="1" applyFont="1">
      <alignment horizontal="center" vertical="center"/>
    </xf>
    <xf borderId="131" fillId="14" fontId="1" numFmtId="0" xfId="0" applyAlignment="1" applyBorder="1" applyFont="1">
      <alignment horizontal="center" vertical="center"/>
    </xf>
    <xf borderId="69" fillId="13" fontId="1" numFmtId="0" xfId="0" applyAlignment="1" applyBorder="1" applyFont="1">
      <alignment horizontal="center" vertical="center"/>
    </xf>
    <xf borderId="114" fillId="14" fontId="1" numFmtId="0" xfId="0" applyAlignment="1" applyBorder="1" applyFont="1">
      <alignment horizontal="center" vertical="center"/>
    </xf>
    <xf borderId="113" fillId="13" fontId="1" numFmtId="0" xfId="0" applyAlignment="1" applyBorder="1" applyFont="1">
      <alignment horizontal="center" vertical="center"/>
    </xf>
    <xf borderId="115" fillId="14" fontId="1" numFmtId="0" xfId="0" applyAlignment="1" applyBorder="1" applyFont="1">
      <alignment horizontal="center" vertical="center"/>
    </xf>
    <xf borderId="78" fillId="13" fontId="1" numFmtId="0" xfId="0" applyAlignment="1" applyBorder="1" applyFont="1">
      <alignment horizontal="center" vertical="center"/>
    </xf>
    <xf borderId="126" fillId="14" fontId="1" numFmtId="0" xfId="0" applyAlignment="1" applyBorder="1" applyFont="1">
      <alignment horizontal="center" vertical="center"/>
    </xf>
    <xf borderId="139" fillId="13" fontId="1" numFmtId="0" xfId="0" applyAlignment="1" applyBorder="1" applyFont="1">
      <alignment horizontal="center" vertical="center"/>
    </xf>
    <xf borderId="140" fillId="14" fontId="1" numFmtId="0" xfId="0" applyAlignment="1" applyBorder="1" applyFont="1">
      <alignment horizontal="center" vertical="center"/>
    </xf>
    <xf borderId="83" fillId="13" fontId="1" numFmtId="0" xfId="0" applyAlignment="1" applyBorder="1" applyFont="1">
      <alignment horizontal="center" vertical="center"/>
    </xf>
    <xf borderId="127" fillId="14" fontId="1" numFmtId="0" xfId="0" applyAlignment="1" applyBorder="1" applyFont="1">
      <alignment horizontal="center" vertical="center"/>
    </xf>
    <xf borderId="142" fillId="13" fontId="1" numFmtId="0" xfId="0" applyAlignment="1" applyBorder="1" applyFont="1">
      <alignment horizontal="center" vertical="center"/>
    </xf>
    <xf borderId="143" fillId="14" fontId="1" numFmtId="0" xfId="0" applyAlignment="1" applyBorder="1" applyFont="1">
      <alignment horizontal="center" vertical="center"/>
    </xf>
    <xf borderId="105" fillId="4" fontId="1" numFmtId="0" xfId="0" applyAlignment="1" applyBorder="1" applyFont="1">
      <alignment vertical="center"/>
    </xf>
    <xf borderId="144" fillId="0" fontId="4" numFmtId="0" xfId="0" applyAlignment="1" applyBorder="1" applyFont="1">
      <alignment vertical="center"/>
    </xf>
    <xf borderId="145" fillId="3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46" fillId="4" fontId="1" numFmtId="0" xfId="0" applyAlignment="1" applyBorder="1" applyFont="1">
      <alignment horizontal="center" vertical="center"/>
    </xf>
    <xf borderId="147" fillId="6" fontId="1" numFmtId="0" xfId="0" applyAlignment="1" applyBorder="1" applyFont="1">
      <alignment horizontal="center" vertical="center"/>
    </xf>
    <xf borderId="148" fillId="6" fontId="1" numFmtId="0" xfId="0" applyAlignment="1" applyBorder="1" applyFont="1">
      <alignment horizontal="center" vertical="center"/>
    </xf>
    <xf borderId="149" fillId="0" fontId="1" numFmtId="0" xfId="0" applyAlignment="1" applyBorder="1" applyFont="1">
      <alignment horizontal="center" vertical="center"/>
    </xf>
    <xf borderId="150" fillId="0" fontId="3" numFmtId="0" xfId="0" applyAlignment="1" applyBorder="1" applyFont="1">
      <alignment vertical="center"/>
    </xf>
    <xf borderId="151" fillId="6" fontId="1" numFmtId="0" xfId="0" applyAlignment="1" applyBorder="1" applyFont="1">
      <alignment horizontal="center" vertical="center"/>
    </xf>
    <xf borderId="152" fillId="0" fontId="3" numFmtId="0" xfId="0" applyAlignment="1" applyBorder="1" applyFont="1">
      <alignment vertical="center"/>
    </xf>
    <xf borderId="153" fillId="6" fontId="4" numFmtId="0" xfId="0" applyAlignment="1" applyBorder="1" applyFont="1">
      <alignment horizontal="center" vertical="center"/>
    </xf>
    <xf borderId="154" fillId="0" fontId="3" numFmtId="0" xfId="0" applyAlignment="1" applyBorder="1" applyFont="1">
      <alignment vertical="center"/>
    </xf>
    <xf borderId="155" fillId="4" fontId="1" numFmtId="0" xfId="0" applyAlignment="1" applyBorder="1" applyFont="1">
      <alignment horizontal="center" vertical="center"/>
    </xf>
    <xf borderId="64" fillId="7" fontId="1" numFmtId="0" xfId="0" applyAlignment="1" applyBorder="1" applyFont="1">
      <alignment horizontal="center" vertical="center"/>
    </xf>
    <xf borderId="147" fillId="8" fontId="1" numFmtId="0" xfId="0" applyAlignment="1" applyBorder="1" applyFont="1">
      <alignment horizontal="center" vertical="center"/>
    </xf>
    <xf borderId="15" fillId="8" fontId="1" numFmtId="0" xfId="0" applyAlignment="1" applyBorder="1" applyFont="1">
      <alignment horizontal="center" vertical="center"/>
    </xf>
    <xf borderId="148" fillId="8" fontId="1" numFmtId="0" xfId="0" applyAlignment="1" applyBorder="1" applyFont="1">
      <alignment horizontal="center" vertical="center"/>
    </xf>
    <xf borderId="156" fillId="0" fontId="3" numFmtId="0" xfId="0" applyAlignment="1" applyBorder="1" applyFont="1">
      <alignment vertical="center"/>
    </xf>
    <xf borderId="151" fillId="8" fontId="1" numFmtId="0" xfId="0" applyAlignment="1" applyBorder="1" applyFont="1">
      <alignment horizontal="center" vertical="center"/>
    </xf>
    <xf quotePrefix="1" borderId="76" fillId="8" fontId="1" numFmtId="0" xfId="0" applyAlignment="1" applyBorder="1" applyFont="1">
      <alignment horizontal="center" vertical="center"/>
    </xf>
    <xf borderId="157" fillId="8" fontId="1" numFmtId="0" xfId="0" applyAlignment="1" applyBorder="1" applyFont="1">
      <alignment horizontal="center" vertical="center"/>
    </xf>
    <xf borderId="158" fillId="8" fontId="1" numFmtId="0" xfId="0" applyAlignment="1" applyBorder="1" applyFont="1">
      <alignment horizontal="center" vertical="center"/>
    </xf>
    <xf borderId="83" fillId="9" fontId="1" numFmtId="0" xfId="0" applyAlignment="1" applyBorder="1" applyFont="1">
      <alignment horizontal="center" vertical="center"/>
    </xf>
    <xf borderId="86" fillId="10" fontId="1" numFmtId="0" xfId="0" applyAlignment="1" applyBorder="1" applyFont="1">
      <alignment horizontal="center" vertical="center"/>
    </xf>
    <xf borderId="85" fillId="10" fontId="1" numFmtId="0" xfId="0" applyAlignment="1" applyBorder="1" applyFont="1">
      <alignment horizontal="center" vertical="center"/>
    </xf>
    <xf borderId="159" fillId="1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vertical="center"/>
    </xf>
    <xf borderId="160" fillId="0" fontId="3" numFmtId="0" xfId="0" applyAlignment="1" applyBorder="1" applyFont="1">
      <alignment vertical="center"/>
    </xf>
    <xf borderId="161" fillId="0" fontId="3" numFmtId="0" xfId="0" applyAlignment="1" applyBorder="1" applyFont="1">
      <alignment vertical="center"/>
    </xf>
    <xf borderId="162" fillId="12" fontId="1" numFmtId="0" xfId="0" applyAlignment="1" applyBorder="1" applyFont="1">
      <alignment horizontal="center" vertical="center"/>
    </xf>
    <xf borderId="163" fillId="0" fontId="1" numFmtId="0" xfId="0" applyAlignment="1" applyBorder="1" applyFont="1">
      <alignment horizontal="center" vertical="center"/>
    </xf>
    <xf borderId="151" fillId="12" fontId="1" numFmtId="0" xfId="0" applyAlignment="1" applyBorder="1" applyFont="1">
      <alignment horizontal="center" vertical="center"/>
    </xf>
    <xf borderId="78" fillId="11" fontId="1" numFmtId="0" xfId="0" applyAlignment="1" applyBorder="1" applyFont="1">
      <alignment horizontal="center" vertical="center"/>
    </xf>
    <xf borderId="81" fillId="12" fontId="1" numFmtId="0" xfId="0" applyAlignment="1" applyBorder="1" applyFont="1">
      <alignment horizontal="center" vertical="center"/>
    </xf>
    <xf borderId="80" fillId="12" fontId="1" numFmtId="0" xfId="0" applyAlignment="1" applyBorder="1" applyFont="1">
      <alignment horizontal="center" vertical="center"/>
    </xf>
    <xf borderId="137" fillId="12" fontId="1" numFmtId="0" xfId="0" applyAlignment="1" applyBorder="1" applyFont="1">
      <alignment horizontal="center" vertical="center"/>
    </xf>
    <xf borderId="164" fillId="12" fontId="1" numFmtId="0" xfId="0" applyAlignment="1" applyBorder="1" applyFont="1">
      <alignment horizontal="center" vertical="center"/>
    </xf>
    <xf borderId="83" fillId="11" fontId="1" numFmtId="0" xfId="0" applyAlignment="1" applyBorder="1" applyFont="1">
      <alignment horizontal="center" vertical="center"/>
    </xf>
    <xf borderId="86" fillId="12" fontId="1" numFmtId="0" xfId="0" applyAlignment="1" applyBorder="1" applyFont="1">
      <alignment horizontal="center" vertical="center"/>
    </xf>
    <xf borderId="85" fillId="12" fontId="1" numFmtId="0" xfId="0" applyAlignment="1" applyBorder="1" applyFont="1">
      <alignment horizontal="center" vertical="center"/>
    </xf>
    <xf borderId="159" fillId="12" fontId="1" numFmtId="0" xfId="0" applyAlignment="1" applyBorder="1" applyFont="1">
      <alignment horizontal="center" vertical="center"/>
    </xf>
    <xf borderId="165" fillId="0" fontId="3" numFmtId="0" xfId="0" applyAlignment="1" applyBorder="1" applyFont="1">
      <alignment vertical="center"/>
    </xf>
    <xf borderId="166" fillId="11" fontId="1" numFmtId="0" xfId="0" applyAlignment="1" applyBorder="1" applyFont="1">
      <alignment horizontal="center" vertical="center"/>
    </xf>
    <xf borderId="167" fillId="12" fontId="1" numFmtId="0" xfId="0" applyAlignment="1" applyBorder="1" applyFont="1">
      <alignment horizontal="center" vertical="center"/>
    </xf>
    <xf borderId="168" fillId="12" fontId="1" numFmtId="0" xfId="0" applyAlignment="1" applyBorder="1" applyFont="1">
      <alignment horizontal="center" vertical="center"/>
    </xf>
    <xf borderId="169" fillId="12" fontId="1" numFmtId="0" xfId="0" applyAlignment="1" applyBorder="1" applyFont="1">
      <alignment horizontal="center" vertical="center"/>
    </xf>
    <xf borderId="170" fillId="0" fontId="3" numFmtId="0" xfId="0" applyAlignment="1" applyBorder="1" applyFont="1">
      <alignment vertical="center"/>
    </xf>
    <xf borderId="37" fillId="4" fontId="1" numFmtId="0" xfId="0" applyAlignment="1" applyBorder="1" applyFont="1">
      <alignment horizontal="center" vertical="center"/>
    </xf>
    <xf borderId="157" fillId="14" fontId="1" numFmtId="0" xfId="0" applyAlignment="1" applyBorder="1" applyFont="1">
      <alignment horizontal="center" vertical="center"/>
    </xf>
    <xf borderId="124" fillId="0" fontId="1" numFmtId="0" xfId="0" applyAlignment="1" applyBorder="1" applyFont="1">
      <alignment horizontal="center" vertical="center"/>
    </xf>
    <xf borderId="151" fillId="14" fontId="1" numFmtId="0" xfId="0" applyAlignment="1" applyBorder="1" applyFont="1">
      <alignment horizontal="center" vertical="center"/>
    </xf>
    <xf borderId="136" fillId="14" fontId="1" numFmtId="0" xfId="0" applyAlignment="1" applyBorder="1" applyFont="1">
      <alignment horizontal="center" vertical="center"/>
    </xf>
    <xf borderId="88" fillId="13" fontId="1" numFmtId="0" xfId="0" applyAlignment="1" applyBorder="1" applyFont="1">
      <alignment horizontal="center" vertical="center"/>
    </xf>
    <xf borderId="91" fillId="14" fontId="1" numFmtId="0" xfId="0" applyAlignment="1" applyBorder="1" applyFont="1">
      <alignment horizontal="center" vertical="center"/>
    </xf>
    <xf borderId="90" fillId="14" fontId="1" numFmtId="0" xfId="0" applyAlignment="1" applyBorder="1" applyFont="1">
      <alignment horizontal="center" vertical="center"/>
    </xf>
    <xf borderId="158" fillId="14" fontId="1" numFmtId="0" xfId="0" applyAlignment="1" applyBorder="1" applyFont="1">
      <alignment horizontal="center" vertical="center"/>
    </xf>
    <xf borderId="171" fillId="0" fontId="3" numFmtId="0" xfId="0" applyAlignment="1" applyBorder="1" applyFont="1">
      <alignment vertical="center"/>
    </xf>
    <xf borderId="122" fillId="0" fontId="1" numFmtId="0" xfId="0" applyAlignment="1" applyBorder="1" applyFont="1">
      <alignment horizontal="center" vertical="center"/>
    </xf>
    <xf borderId="157" fillId="6" fontId="1" numFmtId="0" xfId="0" applyAlignment="1" applyBorder="1" applyFont="1">
      <alignment horizontal="center" vertical="center"/>
    </xf>
    <xf borderId="172" fillId="9" fontId="1" numFmtId="0" xfId="0" applyAlignment="1" applyBorder="1" applyFont="1">
      <alignment horizontal="center" vertical="center"/>
    </xf>
    <xf borderId="173" fillId="10" fontId="1" numFmtId="0" xfId="0" applyAlignment="1" applyBorder="1" applyFont="1">
      <alignment horizontal="center" vertical="center"/>
    </xf>
    <xf borderId="174" fillId="10" fontId="1" numFmtId="0" xfId="0" applyAlignment="1" applyBorder="1" applyFont="1">
      <alignment horizontal="center" vertical="center"/>
    </xf>
    <xf borderId="175" fillId="10" fontId="1" numFmtId="0" xfId="0" applyAlignment="1" applyBorder="1" applyFont="1">
      <alignment horizontal="center" vertical="center"/>
    </xf>
    <xf borderId="64" fillId="11" fontId="1" numFmtId="0" xfId="0" applyAlignment="1" applyBorder="1" applyFont="1">
      <alignment horizontal="center" vertical="center"/>
    </xf>
    <xf borderId="147" fillId="12" fontId="1" numFmtId="0" xfId="0" applyAlignment="1" applyBorder="1" applyFont="1">
      <alignment horizontal="center" vertical="center"/>
    </xf>
    <xf borderId="15" fillId="12" fontId="1" numFmtId="0" xfId="0" applyAlignment="1" applyBorder="1" applyFont="1">
      <alignment horizontal="center" vertical="center"/>
    </xf>
    <xf borderId="148" fillId="12" fontId="1" numFmtId="0" xfId="0" applyAlignment="1" applyBorder="1" applyFont="1">
      <alignment horizontal="center" vertical="center"/>
    </xf>
    <xf borderId="157" fillId="12" fontId="1" numFmtId="0" xfId="0" applyAlignment="1" applyBorder="1" applyFont="1">
      <alignment horizontal="center" vertical="center"/>
    </xf>
    <xf borderId="176" fillId="0" fontId="3" numFmtId="0" xfId="0" applyAlignment="1" applyBorder="1" applyFont="1">
      <alignment vertical="center"/>
    </xf>
    <xf borderId="177" fillId="11" fontId="1" numFmtId="0" xfId="0" applyAlignment="1" applyBorder="1" applyFont="1">
      <alignment horizontal="center" vertical="center"/>
    </xf>
    <xf borderId="178" fillId="12" fontId="1" numFmtId="0" xfId="0" applyAlignment="1" applyBorder="1" applyFont="1">
      <alignment horizontal="center" vertical="center"/>
    </xf>
    <xf borderId="179" fillId="12" fontId="1" numFmtId="0" xfId="0" applyAlignment="1" applyBorder="1" applyFont="1">
      <alignment horizontal="center" vertical="center"/>
    </xf>
    <xf borderId="180" fillId="12" fontId="1" numFmtId="0" xfId="0" applyAlignment="1" applyBorder="1" applyFont="1">
      <alignment horizontal="center" vertical="center"/>
    </xf>
    <xf borderId="181" fillId="0" fontId="3" numFmtId="0" xfId="0" applyAlignment="1" applyBorder="1" applyFont="1">
      <alignment vertical="center"/>
    </xf>
    <xf borderId="79" fillId="14" fontId="1" numFmtId="0" xfId="0" applyAlignment="1" applyBorder="1" applyFont="1">
      <alignment horizontal="center" vertical="center"/>
    </xf>
    <xf borderId="137" fillId="14" fontId="1" numFmtId="0" xfId="0" applyAlignment="1" applyBorder="1" applyFont="1">
      <alignment horizontal="center" vertical="center"/>
    </xf>
    <xf borderId="182" fillId="0" fontId="3" numFmtId="0" xfId="0" applyAlignment="1" applyBorder="1" applyFont="1">
      <alignment vertical="center"/>
    </xf>
    <xf borderId="172" fillId="13" fontId="1" numFmtId="0" xfId="0" applyAlignment="1" applyBorder="1" applyFont="1">
      <alignment horizontal="center" vertical="center"/>
    </xf>
    <xf borderId="174" fillId="14" fontId="1" numFmtId="0" xfId="0" applyAlignment="1" applyBorder="1" applyFont="1">
      <alignment horizontal="center" vertical="center"/>
    </xf>
    <xf borderId="173" fillId="14" fontId="1" numFmtId="0" xfId="0" applyAlignment="1" applyBorder="1" applyFont="1">
      <alignment horizontal="center" vertical="center"/>
    </xf>
    <xf borderId="175" fillId="14" fontId="1" numFmtId="0" xfId="0" applyAlignment="1" applyBorder="1" applyFont="1">
      <alignment horizontal="center" vertical="center"/>
    </xf>
    <xf quotePrefix="1" borderId="183" fillId="2" fontId="1" numFmtId="0" xfId="0" applyAlignment="1" applyBorder="1" applyFont="1">
      <alignment horizontal="center" vertical="center"/>
    </xf>
    <xf borderId="184" fillId="3" fontId="1" numFmtId="0" xfId="0" applyAlignment="1" applyBorder="1" applyFont="1">
      <alignment horizontal="center" vertical="center"/>
    </xf>
    <xf borderId="185" fillId="3" fontId="1" numFmtId="0" xfId="0" applyAlignment="1" applyBorder="1" applyFont="1">
      <alignment horizontal="center" vertical="center"/>
    </xf>
    <xf borderId="186" fillId="3" fontId="1" numFmtId="0" xfId="0" applyAlignment="1" applyBorder="1" applyFont="1">
      <alignment horizontal="center" vertical="center"/>
    </xf>
    <xf borderId="187" fillId="3" fontId="1" numFmtId="0" xfId="0" applyAlignment="1" applyBorder="1" applyFont="1">
      <alignment horizontal="center" vertical="center"/>
    </xf>
    <xf borderId="188" fillId="3" fontId="1" numFmtId="0" xfId="0" applyAlignment="1" applyBorder="1" applyFont="1">
      <alignment horizontal="center" vertical="center"/>
    </xf>
    <xf borderId="189" fillId="4" fontId="1" numFmtId="0" xfId="0" applyAlignment="1" applyBorder="1" applyFont="1">
      <alignment horizontal="center" vertical="center"/>
    </xf>
    <xf borderId="190" fillId="5" fontId="1" numFmtId="0" xfId="0" applyAlignment="1" applyBorder="1" applyFont="1">
      <alignment horizontal="center" vertical="center"/>
    </xf>
    <xf borderId="191" fillId="6" fontId="1" numFmtId="0" xfId="0" applyAlignment="1" applyBorder="1" applyFont="1">
      <alignment horizontal="center" vertical="center"/>
    </xf>
    <xf borderId="192" fillId="6" fontId="1" numFmtId="0" xfId="0" applyAlignment="1" applyBorder="1" applyFont="1">
      <alignment horizontal="center" vertical="center"/>
    </xf>
    <xf borderId="193" fillId="6" fontId="1" numFmtId="0" xfId="0" applyAlignment="1" applyBorder="1" applyFont="1">
      <alignment horizontal="center" vertical="center"/>
    </xf>
    <xf borderId="194" fillId="0" fontId="3" numFmtId="0" xfId="0" applyAlignment="1" applyBorder="1" applyFont="1">
      <alignment vertical="center"/>
    </xf>
    <xf borderId="195" fillId="5" fontId="1" numFmtId="0" xfId="0" applyAlignment="1" applyBorder="1" applyFont="1">
      <alignment horizontal="center" vertical="center"/>
    </xf>
    <xf borderId="196" fillId="6" fontId="1" numFmtId="0" xfId="0" applyAlignment="1" applyBorder="1" applyFont="1">
      <alignment horizontal="center" vertical="center"/>
    </xf>
    <xf borderId="197" fillId="6" fontId="1" numFmtId="0" xfId="0" applyAlignment="1" applyBorder="1" applyFont="1">
      <alignment horizontal="center" vertical="center"/>
    </xf>
    <xf borderId="198" fillId="6" fontId="1" numFmtId="0" xfId="0" applyAlignment="1" applyBorder="1" applyFont="1">
      <alignment horizontal="center" vertical="center"/>
    </xf>
    <xf borderId="199" fillId="0" fontId="3" numFmtId="0" xfId="0" applyAlignment="1" applyBorder="1" applyFont="1">
      <alignment vertical="center"/>
    </xf>
    <xf borderId="200" fillId="5" fontId="1" numFmtId="0" xfId="0" applyAlignment="1" applyBorder="1" applyFont="1">
      <alignment horizontal="center" vertical="center"/>
    </xf>
    <xf borderId="201" fillId="6" fontId="1" numFmtId="0" xfId="0" applyAlignment="1" applyBorder="1" applyFont="1">
      <alignment horizontal="center" vertical="center"/>
    </xf>
    <xf borderId="202" fillId="6" fontId="1" numFmtId="0" xfId="0" applyAlignment="1" applyBorder="1" applyFont="1">
      <alignment horizontal="center" vertical="center"/>
    </xf>
    <xf borderId="203" fillId="6" fontId="1" numFmtId="0" xfId="0" applyAlignment="1" applyBorder="1" applyFont="1">
      <alignment horizontal="center" vertical="center"/>
    </xf>
    <xf borderId="204" fillId="4" fontId="1" numFmtId="0" xfId="0" applyAlignment="1" applyBorder="1" applyFont="1">
      <alignment horizontal="center" vertical="center"/>
    </xf>
    <xf borderId="205" fillId="15" fontId="1" numFmtId="0" xfId="0" applyAlignment="1" applyBorder="1" applyFill="1" applyFont="1">
      <alignment horizontal="center" vertical="center"/>
    </xf>
    <xf borderId="206" fillId="16" fontId="1" numFmtId="0" xfId="0" applyAlignment="1" applyBorder="1" applyFill="1" applyFont="1">
      <alignment horizontal="center" vertical="center"/>
    </xf>
    <xf borderId="207" fillId="16" fontId="1" numFmtId="0" xfId="0" applyAlignment="1" applyBorder="1" applyFont="1">
      <alignment horizontal="center" vertical="center"/>
    </xf>
    <xf quotePrefix="1" borderId="207" fillId="16" fontId="1" numFmtId="0" xfId="0" applyAlignment="1" applyBorder="1" applyFont="1">
      <alignment horizontal="center" vertical="center"/>
    </xf>
    <xf borderId="208" fillId="16" fontId="1" numFmtId="0" xfId="0" applyAlignment="1" applyBorder="1" applyFont="1">
      <alignment horizontal="center" vertical="center"/>
    </xf>
    <xf borderId="195" fillId="15" fontId="1" numFmtId="0" xfId="0" applyAlignment="1" applyBorder="1" applyFont="1">
      <alignment horizontal="center" vertical="center"/>
    </xf>
    <xf borderId="196" fillId="16" fontId="1" numFmtId="0" xfId="0" applyAlignment="1" applyBorder="1" applyFont="1">
      <alignment horizontal="center" vertical="center"/>
    </xf>
    <xf borderId="197" fillId="16" fontId="1" numFmtId="0" xfId="0" applyAlignment="1" applyBorder="1" applyFont="1">
      <alignment horizontal="center" vertical="center"/>
    </xf>
    <xf borderId="198" fillId="16" fontId="1" numFmtId="0" xfId="0" applyAlignment="1" applyBorder="1" applyFont="1">
      <alignment horizontal="center" vertical="center"/>
    </xf>
    <xf borderId="200" fillId="15" fontId="1" numFmtId="0" xfId="0" applyAlignment="1" applyBorder="1" applyFont="1">
      <alignment horizontal="center" vertical="center"/>
    </xf>
    <xf borderId="201" fillId="16" fontId="1" numFmtId="0" xfId="0" applyAlignment="1" applyBorder="1" applyFont="1">
      <alignment horizontal="center" vertical="center"/>
    </xf>
    <xf borderId="202" fillId="16" fontId="1" numFmtId="0" xfId="0" applyAlignment="1" applyBorder="1" applyFont="1">
      <alignment horizontal="center" vertical="center"/>
    </xf>
    <xf borderId="203" fillId="16" fontId="1" numFmtId="0" xfId="0" applyAlignment="1" applyBorder="1" applyFont="1">
      <alignment horizontal="center" vertical="center"/>
    </xf>
    <xf borderId="190" fillId="9" fontId="1" numFmtId="0" xfId="0" applyAlignment="1" applyBorder="1" applyFont="1">
      <alignment horizontal="center" vertical="center"/>
    </xf>
    <xf borderId="191" fillId="10" fontId="1" numFmtId="0" xfId="0" applyAlignment="1" applyBorder="1" applyFont="1">
      <alignment horizontal="center" vertical="center"/>
    </xf>
    <xf borderId="192" fillId="10" fontId="1" numFmtId="0" xfId="0" applyAlignment="1" applyBorder="1" applyFont="1">
      <alignment horizontal="center" vertical="center"/>
    </xf>
    <xf borderId="193" fillId="10" fontId="1" numFmtId="0" xfId="0" applyAlignment="1" applyBorder="1" applyFont="1">
      <alignment horizontal="center" vertical="center"/>
    </xf>
    <xf borderId="195" fillId="9" fontId="1" numFmtId="0" xfId="0" applyAlignment="1" applyBorder="1" applyFont="1">
      <alignment horizontal="center" vertical="center"/>
    </xf>
    <xf borderId="196" fillId="10" fontId="1" numFmtId="0" xfId="0" applyAlignment="1" applyBorder="1" applyFont="1">
      <alignment horizontal="center" vertical="center"/>
    </xf>
    <xf borderId="197" fillId="10" fontId="1" numFmtId="0" xfId="0" applyAlignment="1" applyBorder="1" applyFont="1">
      <alignment horizontal="center" vertical="center"/>
    </xf>
    <xf borderId="198" fillId="10" fontId="1" numFmtId="0" xfId="0" applyAlignment="1" applyBorder="1" applyFont="1">
      <alignment horizontal="center" vertical="center"/>
    </xf>
    <xf borderId="200" fillId="9" fontId="1" numFmtId="0" xfId="0" applyAlignment="1" applyBorder="1" applyFont="1">
      <alignment horizontal="center" vertical="center"/>
    </xf>
    <xf borderId="201" fillId="10" fontId="1" numFmtId="0" xfId="0" applyAlignment="1" applyBorder="1" applyFont="1">
      <alignment horizontal="center" vertical="center"/>
    </xf>
    <xf borderId="202" fillId="10" fontId="1" numFmtId="0" xfId="0" applyAlignment="1" applyBorder="1" applyFont="1">
      <alignment horizontal="center" vertical="center"/>
    </xf>
    <xf borderId="203" fillId="1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8.14"/>
    <col customWidth="1" min="3" max="3" width="9.43"/>
    <col customWidth="1" min="4" max="4" width="16.71"/>
    <col customWidth="1" min="5" max="5" width="6.0"/>
    <col customWidth="1" min="6" max="6" width="10.29"/>
    <col customWidth="1" min="7" max="7" width="6.0"/>
    <col customWidth="1" min="8" max="8" width="11.14"/>
    <col customWidth="1" min="9" max="9" width="24.71"/>
    <col customWidth="1" min="10" max="10" width="20.0"/>
    <col customWidth="1" min="11" max="11" width="6.0"/>
    <col customWidth="1" min="12" max="13" width="10.29"/>
    <col customWidth="1" min="14" max="14" width="6.71"/>
    <col customWidth="1" min="15" max="15" width="10.29"/>
    <col customWidth="1" min="16" max="16" width="8.86"/>
    <col customWidth="1" min="17" max="17" width="8.71"/>
    <col customWidth="1" hidden="1" min="18" max="35" width="8.71"/>
    <col customWidth="1" min="36" max="37" width="8.71"/>
  </cols>
  <sheetData>
    <row r="1">
      <c r="A1" s="1">
        <v>2024.03</v>
      </c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4" t="s">
        <v>11</v>
      </c>
      <c r="N1" s="4" t="s">
        <v>12</v>
      </c>
      <c r="O1" s="6" t="s">
        <v>13</v>
      </c>
      <c r="P1" s="7" t="s">
        <v>14</v>
      </c>
      <c r="AK1" s="8" t="s">
        <v>5</v>
      </c>
    </row>
    <row r="2">
      <c r="A2" s="9" t="s">
        <v>15</v>
      </c>
      <c r="B2" s="10" t="s">
        <v>16</v>
      </c>
      <c r="C2" s="11" t="s">
        <v>17</v>
      </c>
      <c r="D2" s="12" t="s">
        <v>18</v>
      </c>
      <c r="E2" s="12" t="s">
        <v>19</v>
      </c>
      <c r="F2" s="12" t="s">
        <v>20</v>
      </c>
      <c r="G2" s="12">
        <f t="shared" ref="G2:G106" si="1">IF(AJ2&gt;100,AJ2-100,AJ2)</f>
        <v>25</v>
      </c>
      <c r="H2" s="12" t="s">
        <v>21</v>
      </c>
      <c r="I2" s="12" t="s">
        <v>22</v>
      </c>
      <c r="J2" s="12"/>
      <c r="K2" s="12"/>
      <c r="L2" s="12" t="s">
        <v>23</v>
      </c>
      <c r="M2" s="12" t="s">
        <v>24</v>
      </c>
      <c r="N2" s="12"/>
      <c r="O2" s="13" t="s">
        <v>25</v>
      </c>
      <c r="P2" s="14">
        <v>39.0</v>
      </c>
      <c r="AJ2" s="15">
        <f t="shared" ref="AJ2:AJ222" si="2">124-VALUE(LEFT(F2,2))</f>
        <v>25</v>
      </c>
      <c r="AK2" s="16">
        <f t="shared" ref="AK2:AK106" si="3">124-VALUE(LEFT(F2,2))-1</f>
        <v>24</v>
      </c>
    </row>
    <row r="3">
      <c r="A3" s="17"/>
      <c r="B3" s="18" t="s">
        <v>26</v>
      </c>
      <c r="C3" s="19" t="s">
        <v>27</v>
      </c>
      <c r="D3" s="20" t="s">
        <v>28</v>
      </c>
      <c r="E3" s="20" t="s">
        <v>19</v>
      </c>
      <c r="F3" s="20" t="s">
        <v>29</v>
      </c>
      <c r="G3" s="20">
        <f t="shared" si="1"/>
        <v>29</v>
      </c>
      <c r="H3" s="20" t="s">
        <v>30</v>
      </c>
      <c r="I3" s="20" t="s">
        <v>31</v>
      </c>
      <c r="J3" s="20" t="s">
        <v>32</v>
      </c>
      <c r="K3" s="20">
        <v>15.0</v>
      </c>
      <c r="L3" s="20" t="s">
        <v>23</v>
      </c>
      <c r="M3" s="20" t="s">
        <v>24</v>
      </c>
      <c r="N3" s="20" t="s">
        <v>33</v>
      </c>
      <c r="O3" s="21" t="s">
        <v>25</v>
      </c>
      <c r="P3" s="22"/>
      <c r="AJ3" s="15">
        <f t="shared" si="2"/>
        <v>29</v>
      </c>
      <c r="AK3" s="16">
        <f t="shared" si="3"/>
        <v>28</v>
      </c>
    </row>
    <row r="4">
      <c r="A4" s="17"/>
      <c r="B4" s="23" t="s">
        <v>34</v>
      </c>
      <c r="C4" s="24" t="s">
        <v>35</v>
      </c>
      <c r="D4" s="20" t="s">
        <v>36</v>
      </c>
      <c r="E4" s="20" t="s">
        <v>37</v>
      </c>
      <c r="F4" s="20" t="s">
        <v>38</v>
      </c>
      <c r="G4" s="20">
        <f t="shared" si="1"/>
        <v>25</v>
      </c>
      <c r="H4" s="20" t="s">
        <v>39</v>
      </c>
      <c r="I4" s="20" t="s">
        <v>31</v>
      </c>
      <c r="J4" s="20" t="s">
        <v>40</v>
      </c>
      <c r="K4" s="20"/>
      <c r="L4" s="20" t="s">
        <v>41</v>
      </c>
      <c r="M4" s="20" t="s">
        <v>42</v>
      </c>
      <c r="N4" s="20"/>
      <c r="O4" s="21" t="s">
        <v>25</v>
      </c>
      <c r="P4" s="22"/>
      <c r="AJ4" s="15">
        <f t="shared" si="2"/>
        <v>25</v>
      </c>
      <c r="AK4" s="16">
        <f t="shared" si="3"/>
        <v>24</v>
      </c>
    </row>
    <row r="5">
      <c r="A5" s="17"/>
      <c r="B5" s="23" t="s">
        <v>43</v>
      </c>
      <c r="C5" s="24" t="s">
        <v>44</v>
      </c>
      <c r="D5" s="20" t="s">
        <v>45</v>
      </c>
      <c r="E5" s="20" t="s">
        <v>19</v>
      </c>
      <c r="F5" s="20" t="s">
        <v>46</v>
      </c>
      <c r="G5" s="20">
        <f t="shared" si="1"/>
        <v>27</v>
      </c>
      <c r="H5" s="20" t="s">
        <v>21</v>
      </c>
      <c r="I5" s="20" t="s">
        <v>47</v>
      </c>
      <c r="J5" s="20"/>
      <c r="K5" s="20"/>
      <c r="L5" s="20" t="s">
        <v>23</v>
      </c>
      <c r="M5" s="20" t="s">
        <v>48</v>
      </c>
      <c r="N5" s="20"/>
      <c r="O5" s="21" t="s">
        <v>25</v>
      </c>
      <c r="P5" s="22"/>
      <c r="AJ5" s="15">
        <f t="shared" si="2"/>
        <v>27</v>
      </c>
      <c r="AK5" s="16">
        <f t="shared" si="3"/>
        <v>26</v>
      </c>
    </row>
    <row r="6">
      <c r="A6" s="17"/>
      <c r="B6" s="23" t="s">
        <v>49</v>
      </c>
      <c r="C6" s="24" t="s">
        <v>44</v>
      </c>
      <c r="D6" s="20" t="s">
        <v>50</v>
      </c>
      <c r="E6" s="20" t="s">
        <v>37</v>
      </c>
      <c r="F6" s="20" t="s">
        <v>51</v>
      </c>
      <c r="G6" s="20">
        <f t="shared" si="1"/>
        <v>26</v>
      </c>
      <c r="H6" s="20" t="s">
        <v>30</v>
      </c>
      <c r="I6" s="20" t="s">
        <v>52</v>
      </c>
      <c r="J6" s="20"/>
      <c r="K6" s="20"/>
      <c r="L6" s="20" t="s">
        <v>41</v>
      </c>
      <c r="M6" s="20" t="s">
        <v>42</v>
      </c>
      <c r="N6" s="20"/>
      <c r="O6" s="21" t="s">
        <v>25</v>
      </c>
      <c r="P6" s="22"/>
      <c r="AJ6" s="15">
        <f t="shared" si="2"/>
        <v>26</v>
      </c>
      <c r="AK6" s="16">
        <f t="shared" si="3"/>
        <v>25</v>
      </c>
    </row>
    <row r="7">
      <c r="A7" s="17"/>
      <c r="B7" s="23" t="s">
        <v>53</v>
      </c>
      <c r="C7" s="24" t="s">
        <v>44</v>
      </c>
      <c r="D7" s="20" t="s">
        <v>54</v>
      </c>
      <c r="E7" s="20" t="s">
        <v>19</v>
      </c>
      <c r="F7" s="20" t="s">
        <v>55</v>
      </c>
      <c r="G7" s="20">
        <f t="shared" si="1"/>
        <v>29</v>
      </c>
      <c r="H7" s="20" t="s">
        <v>56</v>
      </c>
      <c r="I7" s="20" t="s">
        <v>57</v>
      </c>
      <c r="J7" s="20" t="s">
        <v>58</v>
      </c>
      <c r="K7" s="20"/>
      <c r="L7" s="20" t="s">
        <v>23</v>
      </c>
      <c r="M7" s="20" t="s">
        <v>48</v>
      </c>
      <c r="N7" s="20" t="s">
        <v>59</v>
      </c>
      <c r="O7" s="21" t="s">
        <v>25</v>
      </c>
      <c r="P7" s="22"/>
      <c r="AJ7" s="15">
        <f t="shared" si="2"/>
        <v>29</v>
      </c>
      <c r="AK7" s="16">
        <f t="shared" si="3"/>
        <v>28</v>
      </c>
    </row>
    <row r="8">
      <c r="A8" s="25"/>
      <c r="B8" s="26" t="s">
        <v>60</v>
      </c>
      <c r="C8" s="27" t="s">
        <v>44</v>
      </c>
      <c r="D8" s="28" t="s">
        <v>61</v>
      </c>
      <c r="E8" s="28" t="s">
        <v>37</v>
      </c>
      <c r="F8" s="28" t="s">
        <v>62</v>
      </c>
      <c r="G8" s="28">
        <f t="shared" si="1"/>
        <v>27</v>
      </c>
      <c r="H8" s="28" t="s">
        <v>63</v>
      </c>
      <c r="I8" s="28" t="s">
        <v>64</v>
      </c>
      <c r="J8" s="28"/>
      <c r="K8" s="28"/>
      <c r="L8" s="29" t="s">
        <v>23</v>
      </c>
      <c r="M8" s="29" t="s">
        <v>48</v>
      </c>
      <c r="N8" s="28" t="s">
        <v>65</v>
      </c>
      <c r="O8" s="30" t="s">
        <v>25</v>
      </c>
      <c r="P8" s="22"/>
      <c r="AJ8" s="15">
        <f t="shared" si="2"/>
        <v>27</v>
      </c>
      <c r="AK8" s="16">
        <f t="shared" si="3"/>
        <v>26</v>
      </c>
    </row>
    <row r="9">
      <c r="A9" s="31" t="s">
        <v>66</v>
      </c>
      <c r="B9" s="32" t="s">
        <v>67</v>
      </c>
      <c r="C9" s="33" t="s">
        <v>68</v>
      </c>
      <c r="D9" s="34" t="s">
        <v>69</v>
      </c>
      <c r="E9" s="34" t="s">
        <v>19</v>
      </c>
      <c r="F9" s="34" t="s">
        <v>70</v>
      </c>
      <c r="G9" s="34">
        <f t="shared" si="1"/>
        <v>28</v>
      </c>
      <c r="H9" s="34" t="s">
        <v>71</v>
      </c>
      <c r="I9" s="34" t="s">
        <v>57</v>
      </c>
      <c r="J9" s="34" t="s">
        <v>72</v>
      </c>
      <c r="K9" s="34">
        <v>17.0</v>
      </c>
      <c r="L9" s="34" t="s">
        <v>23</v>
      </c>
      <c r="M9" s="34" t="s">
        <v>23</v>
      </c>
      <c r="N9" s="34" t="s">
        <v>73</v>
      </c>
      <c r="O9" s="35" t="s">
        <v>25</v>
      </c>
      <c r="P9" s="22"/>
      <c r="AJ9" s="15">
        <f t="shared" si="2"/>
        <v>28</v>
      </c>
      <c r="AK9" s="16">
        <f t="shared" si="3"/>
        <v>27</v>
      </c>
    </row>
    <row r="10">
      <c r="A10" s="22"/>
      <c r="B10" s="36" t="s">
        <v>74</v>
      </c>
      <c r="C10" s="37" t="s">
        <v>75</v>
      </c>
      <c r="D10" s="38" t="s">
        <v>76</v>
      </c>
      <c r="E10" s="38" t="s">
        <v>19</v>
      </c>
      <c r="F10" s="38" t="s">
        <v>77</v>
      </c>
      <c r="G10" s="38">
        <f t="shared" si="1"/>
        <v>28</v>
      </c>
      <c r="H10" s="38" t="s">
        <v>78</v>
      </c>
      <c r="I10" s="38" t="s">
        <v>79</v>
      </c>
      <c r="J10" s="38"/>
      <c r="K10" s="38"/>
      <c r="L10" s="38" t="s">
        <v>23</v>
      </c>
      <c r="M10" s="38" t="s">
        <v>48</v>
      </c>
      <c r="N10" s="38"/>
      <c r="O10" s="39" t="s">
        <v>25</v>
      </c>
      <c r="P10" s="22"/>
      <c r="AJ10" s="15">
        <f t="shared" si="2"/>
        <v>28</v>
      </c>
      <c r="AK10" s="16">
        <f t="shared" si="3"/>
        <v>27</v>
      </c>
    </row>
    <row r="11">
      <c r="A11" s="22"/>
      <c r="B11" s="36" t="s">
        <v>80</v>
      </c>
      <c r="C11" s="37" t="s">
        <v>17</v>
      </c>
      <c r="D11" s="38" t="s">
        <v>81</v>
      </c>
      <c r="E11" s="38" t="s">
        <v>19</v>
      </c>
      <c r="F11" s="38" t="s">
        <v>82</v>
      </c>
      <c r="G11" s="38">
        <f t="shared" si="1"/>
        <v>26</v>
      </c>
      <c r="H11" s="38" t="s">
        <v>30</v>
      </c>
      <c r="I11" s="38" t="s">
        <v>83</v>
      </c>
      <c r="J11" s="38"/>
      <c r="K11" s="38"/>
      <c r="L11" s="38" t="s">
        <v>23</v>
      </c>
      <c r="M11" s="38" t="s">
        <v>84</v>
      </c>
      <c r="N11" s="38"/>
      <c r="O11" s="39" t="s">
        <v>25</v>
      </c>
      <c r="P11" s="22"/>
      <c r="AJ11" s="15">
        <f t="shared" si="2"/>
        <v>26</v>
      </c>
      <c r="AK11" s="16">
        <f t="shared" si="3"/>
        <v>25</v>
      </c>
    </row>
    <row r="12">
      <c r="A12" s="22"/>
      <c r="B12" s="40" t="s">
        <v>85</v>
      </c>
      <c r="C12" s="41" t="s">
        <v>17</v>
      </c>
      <c r="D12" s="38" t="s">
        <v>86</v>
      </c>
      <c r="E12" s="38" t="s">
        <v>19</v>
      </c>
      <c r="F12" s="38" t="s">
        <v>87</v>
      </c>
      <c r="G12" s="38">
        <f t="shared" si="1"/>
        <v>27</v>
      </c>
      <c r="H12" s="38" t="s">
        <v>88</v>
      </c>
      <c r="I12" s="38" t="s">
        <v>89</v>
      </c>
      <c r="J12" s="38" t="s">
        <v>90</v>
      </c>
      <c r="K12" s="38">
        <v>16.0</v>
      </c>
      <c r="L12" s="42" t="s">
        <v>23</v>
      </c>
      <c r="M12" s="38" t="s">
        <v>42</v>
      </c>
      <c r="N12" s="38" t="s">
        <v>91</v>
      </c>
      <c r="O12" s="39" t="s">
        <v>25</v>
      </c>
      <c r="P12" s="22"/>
      <c r="AJ12" s="15">
        <f t="shared" si="2"/>
        <v>27</v>
      </c>
      <c r="AK12" s="16">
        <f t="shared" si="3"/>
        <v>26</v>
      </c>
    </row>
    <row r="13">
      <c r="A13" s="22"/>
      <c r="B13" s="40" t="s">
        <v>92</v>
      </c>
      <c r="C13" s="37" t="s">
        <v>17</v>
      </c>
      <c r="D13" s="38" t="s">
        <v>93</v>
      </c>
      <c r="E13" s="38" t="s">
        <v>37</v>
      </c>
      <c r="F13" s="38" t="s">
        <v>94</v>
      </c>
      <c r="G13" s="38">
        <f t="shared" si="1"/>
        <v>27</v>
      </c>
      <c r="H13" s="38" t="s">
        <v>78</v>
      </c>
      <c r="I13" s="38" t="s">
        <v>95</v>
      </c>
      <c r="J13" s="38" t="s">
        <v>96</v>
      </c>
      <c r="K13" s="38">
        <v>16.0</v>
      </c>
      <c r="L13" s="38" t="s">
        <v>23</v>
      </c>
      <c r="M13" s="38" t="s">
        <v>48</v>
      </c>
      <c r="N13" s="38" t="s">
        <v>73</v>
      </c>
      <c r="O13" s="43" t="s">
        <v>25</v>
      </c>
      <c r="P13" s="22"/>
      <c r="AJ13" s="15">
        <f t="shared" si="2"/>
        <v>27</v>
      </c>
      <c r="AK13" s="16">
        <f t="shared" si="3"/>
        <v>26</v>
      </c>
    </row>
    <row r="14">
      <c r="A14" s="22"/>
      <c r="B14" s="40" t="s">
        <v>97</v>
      </c>
      <c r="C14" s="41" t="s">
        <v>98</v>
      </c>
      <c r="D14" s="38" t="s">
        <v>99</v>
      </c>
      <c r="E14" s="38" t="s">
        <v>19</v>
      </c>
      <c r="F14" s="38" t="s">
        <v>100</v>
      </c>
      <c r="G14" s="38">
        <f t="shared" si="1"/>
        <v>24</v>
      </c>
      <c r="H14" s="38" t="s">
        <v>101</v>
      </c>
      <c r="I14" s="38" t="s">
        <v>31</v>
      </c>
      <c r="J14" s="38" t="s">
        <v>102</v>
      </c>
      <c r="K14" s="38">
        <v>19.0</v>
      </c>
      <c r="L14" s="38" t="s">
        <v>41</v>
      </c>
      <c r="M14" s="38" t="s">
        <v>42</v>
      </c>
      <c r="N14" s="38" t="s">
        <v>73</v>
      </c>
      <c r="O14" s="39" t="s">
        <v>25</v>
      </c>
      <c r="P14" s="22"/>
      <c r="AJ14" s="15">
        <f t="shared" si="2"/>
        <v>124</v>
      </c>
      <c r="AK14" s="16">
        <f t="shared" si="3"/>
        <v>123</v>
      </c>
    </row>
    <row r="15">
      <c r="A15" s="22"/>
      <c r="B15" s="36" t="s">
        <v>103</v>
      </c>
      <c r="C15" s="37" t="s">
        <v>98</v>
      </c>
      <c r="D15" s="38" t="s">
        <v>104</v>
      </c>
      <c r="E15" s="38" t="s">
        <v>19</v>
      </c>
      <c r="F15" s="38" t="s">
        <v>105</v>
      </c>
      <c r="G15" s="38">
        <f t="shared" si="1"/>
        <v>27</v>
      </c>
      <c r="H15" s="38" t="s">
        <v>56</v>
      </c>
      <c r="I15" s="38" t="s">
        <v>79</v>
      </c>
      <c r="J15" s="38" t="s">
        <v>106</v>
      </c>
      <c r="K15" s="38">
        <v>19.0</v>
      </c>
      <c r="L15" s="38" t="s">
        <v>41</v>
      </c>
      <c r="M15" s="38" t="s">
        <v>42</v>
      </c>
      <c r="N15" s="38" t="s">
        <v>107</v>
      </c>
      <c r="O15" s="39" t="s">
        <v>25</v>
      </c>
      <c r="P15" s="22"/>
      <c r="AJ15" s="15">
        <f t="shared" si="2"/>
        <v>27</v>
      </c>
      <c r="AK15" s="16">
        <f t="shared" si="3"/>
        <v>26</v>
      </c>
    </row>
    <row r="16">
      <c r="A16" s="22"/>
      <c r="B16" s="40" t="s">
        <v>108</v>
      </c>
      <c r="C16" s="37" t="s">
        <v>109</v>
      </c>
      <c r="D16" s="38" t="s">
        <v>110</v>
      </c>
      <c r="E16" s="38" t="s">
        <v>19</v>
      </c>
      <c r="F16" s="38" t="s">
        <v>111</v>
      </c>
      <c r="G16" s="38">
        <f t="shared" si="1"/>
        <v>25</v>
      </c>
      <c r="H16" s="38" t="s">
        <v>71</v>
      </c>
      <c r="I16" s="38" t="s">
        <v>112</v>
      </c>
      <c r="J16" s="38" t="s">
        <v>113</v>
      </c>
      <c r="K16" s="38"/>
      <c r="L16" s="38" t="s">
        <v>41</v>
      </c>
      <c r="M16" s="38" t="s">
        <v>42</v>
      </c>
      <c r="N16" s="38"/>
      <c r="O16" s="43" t="s">
        <v>25</v>
      </c>
      <c r="P16" s="22"/>
      <c r="AJ16" s="15">
        <f t="shared" si="2"/>
        <v>25</v>
      </c>
      <c r="AK16" s="16">
        <f t="shared" si="3"/>
        <v>24</v>
      </c>
    </row>
    <row r="17">
      <c r="A17" s="22"/>
      <c r="B17" s="36" t="s">
        <v>114</v>
      </c>
      <c r="C17" s="37" t="s">
        <v>109</v>
      </c>
      <c r="D17" s="38" t="s">
        <v>115</v>
      </c>
      <c r="E17" s="38" t="s">
        <v>37</v>
      </c>
      <c r="F17" s="38" t="s">
        <v>116</v>
      </c>
      <c r="G17" s="38">
        <f t="shared" si="1"/>
        <v>23</v>
      </c>
      <c r="H17" s="38" t="s">
        <v>117</v>
      </c>
      <c r="I17" s="38" t="s">
        <v>118</v>
      </c>
      <c r="J17" s="38" t="s">
        <v>119</v>
      </c>
      <c r="K17" s="38"/>
      <c r="L17" s="38" t="s">
        <v>41</v>
      </c>
      <c r="M17" s="38" t="s">
        <v>42</v>
      </c>
      <c r="N17" s="38" t="s">
        <v>65</v>
      </c>
      <c r="O17" s="39" t="s">
        <v>25</v>
      </c>
      <c r="P17" s="22"/>
      <c r="AJ17" s="15">
        <f t="shared" si="2"/>
        <v>123</v>
      </c>
      <c r="AK17" s="16">
        <f t="shared" si="3"/>
        <v>122</v>
      </c>
    </row>
    <row r="18">
      <c r="A18" s="22"/>
      <c r="B18" s="40" t="s">
        <v>120</v>
      </c>
      <c r="C18" s="37" t="s">
        <v>121</v>
      </c>
      <c r="D18" s="38" t="s">
        <v>122</v>
      </c>
      <c r="E18" s="38" t="s">
        <v>37</v>
      </c>
      <c r="F18" s="38" t="s">
        <v>123</v>
      </c>
      <c r="G18" s="38">
        <f t="shared" si="1"/>
        <v>27</v>
      </c>
      <c r="H18" s="38" t="s">
        <v>124</v>
      </c>
      <c r="I18" s="38" t="s">
        <v>95</v>
      </c>
      <c r="J18" s="38"/>
      <c r="K18" s="38"/>
      <c r="L18" s="38" t="s">
        <v>23</v>
      </c>
      <c r="M18" s="38" t="s">
        <v>125</v>
      </c>
      <c r="N18" s="38" t="s">
        <v>126</v>
      </c>
      <c r="O18" s="43" t="s">
        <v>127</v>
      </c>
      <c r="P18" s="22"/>
      <c r="AJ18" s="15">
        <f t="shared" si="2"/>
        <v>27</v>
      </c>
      <c r="AK18" s="16">
        <f t="shared" si="3"/>
        <v>26</v>
      </c>
    </row>
    <row r="19">
      <c r="A19" s="22"/>
      <c r="B19" s="36" t="s">
        <v>128</v>
      </c>
      <c r="C19" s="37" t="s">
        <v>35</v>
      </c>
      <c r="D19" s="38" t="s">
        <v>129</v>
      </c>
      <c r="E19" s="38" t="s">
        <v>37</v>
      </c>
      <c r="F19" s="38" t="s">
        <v>130</v>
      </c>
      <c r="G19" s="38">
        <f t="shared" si="1"/>
        <v>24</v>
      </c>
      <c r="H19" s="38" t="s">
        <v>131</v>
      </c>
      <c r="I19" s="38" t="s">
        <v>132</v>
      </c>
      <c r="J19" s="38" t="s">
        <v>133</v>
      </c>
      <c r="K19" s="38">
        <v>19.0</v>
      </c>
      <c r="L19" s="38" t="s">
        <v>41</v>
      </c>
      <c r="M19" s="38" t="s">
        <v>42</v>
      </c>
      <c r="N19" s="38"/>
      <c r="O19" s="39" t="s">
        <v>25</v>
      </c>
      <c r="P19" s="22"/>
      <c r="AJ19" s="15">
        <f t="shared" si="2"/>
        <v>124</v>
      </c>
      <c r="AK19" s="16">
        <f t="shared" si="3"/>
        <v>123</v>
      </c>
    </row>
    <row r="20">
      <c r="A20" s="22"/>
      <c r="B20" s="36" t="s">
        <v>134</v>
      </c>
      <c r="C20" s="37" t="s">
        <v>35</v>
      </c>
      <c r="D20" s="38" t="s">
        <v>135</v>
      </c>
      <c r="E20" s="38" t="s">
        <v>19</v>
      </c>
      <c r="F20" s="38" t="s">
        <v>136</v>
      </c>
      <c r="G20" s="38">
        <f t="shared" si="1"/>
        <v>26</v>
      </c>
      <c r="H20" s="38" t="s">
        <v>137</v>
      </c>
      <c r="I20" s="38" t="s">
        <v>138</v>
      </c>
      <c r="J20" s="38" t="s">
        <v>139</v>
      </c>
      <c r="K20" s="38"/>
      <c r="L20" s="38" t="s">
        <v>41</v>
      </c>
      <c r="M20" s="38" t="s">
        <v>42</v>
      </c>
      <c r="N20" s="38"/>
      <c r="O20" s="39" t="s">
        <v>25</v>
      </c>
      <c r="P20" s="22"/>
      <c r="AJ20" s="15">
        <f t="shared" si="2"/>
        <v>26</v>
      </c>
      <c r="AK20" s="16">
        <f t="shared" si="3"/>
        <v>25</v>
      </c>
    </row>
    <row r="21">
      <c r="A21" s="22"/>
      <c r="B21" s="36" t="s">
        <v>140</v>
      </c>
      <c r="C21" s="37" t="s">
        <v>35</v>
      </c>
      <c r="D21" s="38" t="s">
        <v>141</v>
      </c>
      <c r="E21" s="38" t="s">
        <v>37</v>
      </c>
      <c r="F21" s="38" t="s">
        <v>51</v>
      </c>
      <c r="G21" s="38">
        <f t="shared" si="1"/>
        <v>26</v>
      </c>
      <c r="H21" s="38" t="s">
        <v>142</v>
      </c>
      <c r="I21" s="38" t="s">
        <v>143</v>
      </c>
      <c r="J21" s="38" t="s">
        <v>90</v>
      </c>
      <c r="K21" s="38"/>
      <c r="L21" s="38" t="s">
        <v>23</v>
      </c>
      <c r="M21" s="38" t="s">
        <v>24</v>
      </c>
      <c r="N21" s="38"/>
      <c r="O21" s="39" t="s">
        <v>25</v>
      </c>
      <c r="P21" s="22"/>
      <c r="AJ21" s="15">
        <f t="shared" si="2"/>
        <v>26</v>
      </c>
      <c r="AK21" s="16">
        <f t="shared" si="3"/>
        <v>25</v>
      </c>
    </row>
    <row r="22" ht="15.75" customHeight="1">
      <c r="A22" s="22"/>
      <c r="B22" s="36" t="s">
        <v>144</v>
      </c>
      <c r="C22" s="37" t="s">
        <v>44</v>
      </c>
      <c r="D22" s="38" t="s">
        <v>145</v>
      </c>
      <c r="E22" s="38" t="s">
        <v>37</v>
      </c>
      <c r="F22" s="38" t="s">
        <v>146</v>
      </c>
      <c r="G22" s="38">
        <f t="shared" si="1"/>
        <v>26</v>
      </c>
      <c r="H22" s="38" t="s">
        <v>101</v>
      </c>
      <c r="I22" s="38" t="s">
        <v>147</v>
      </c>
      <c r="J22" s="38"/>
      <c r="K22" s="38"/>
      <c r="L22" s="38" t="s">
        <v>41</v>
      </c>
      <c r="M22" s="38" t="s">
        <v>42</v>
      </c>
      <c r="N22" s="38"/>
      <c r="O22" s="39" t="s">
        <v>25</v>
      </c>
      <c r="P22" s="22"/>
      <c r="AJ22" s="15">
        <f t="shared" si="2"/>
        <v>26</v>
      </c>
      <c r="AK22" s="16">
        <f t="shared" si="3"/>
        <v>25</v>
      </c>
    </row>
    <row r="23" ht="15.75" customHeight="1">
      <c r="A23" s="22"/>
      <c r="B23" s="36" t="s">
        <v>148</v>
      </c>
      <c r="C23" s="37" t="s">
        <v>44</v>
      </c>
      <c r="D23" s="38" t="s">
        <v>149</v>
      </c>
      <c r="E23" s="38" t="s">
        <v>37</v>
      </c>
      <c r="F23" s="38" t="s">
        <v>150</v>
      </c>
      <c r="G23" s="38">
        <f t="shared" si="1"/>
        <v>23</v>
      </c>
      <c r="H23" s="38" t="s">
        <v>151</v>
      </c>
      <c r="I23" s="38" t="s">
        <v>152</v>
      </c>
      <c r="J23" s="38"/>
      <c r="K23" s="38"/>
      <c r="L23" s="38" t="s">
        <v>41</v>
      </c>
      <c r="M23" s="38" t="s">
        <v>42</v>
      </c>
      <c r="N23" s="38"/>
      <c r="O23" s="39" t="s">
        <v>25</v>
      </c>
      <c r="P23" s="22"/>
      <c r="AJ23" s="15">
        <f t="shared" si="2"/>
        <v>123</v>
      </c>
      <c r="AK23" s="16">
        <f t="shared" si="3"/>
        <v>122</v>
      </c>
    </row>
    <row r="24" ht="15.75" customHeight="1">
      <c r="A24" s="22"/>
      <c r="B24" s="36" t="s">
        <v>153</v>
      </c>
      <c r="C24" s="37" t="s">
        <v>44</v>
      </c>
      <c r="D24" s="38" t="s">
        <v>154</v>
      </c>
      <c r="E24" s="38" t="s">
        <v>19</v>
      </c>
      <c r="F24" s="38" t="s">
        <v>155</v>
      </c>
      <c r="G24" s="38">
        <f t="shared" si="1"/>
        <v>27</v>
      </c>
      <c r="H24" s="38" t="s">
        <v>117</v>
      </c>
      <c r="I24" s="38" t="s">
        <v>156</v>
      </c>
      <c r="J24" s="38"/>
      <c r="K24" s="38"/>
      <c r="L24" s="38" t="s">
        <v>41</v>
      </c>
      <c r="M24" s="38" t="s">
        <v>42</v>
      </c>
      <c r="N24" s="38" t="s">
        <v>157</v>
      </c>
      <c r="O24" s="39" t="s">
        <v>25</v>
      </c>
      <c r="P24" s="22"/>
      <c r="AJ24" s="15">
        <f t="shared" si="2"/>
        <v>27</v>
      </c>
      <c r="AK24" s="16">
        <f t="shared" si="3"/>
        <v>26</v>
      </c>
    </row>
    <row r="25" ht="15.75" customHeight="1">
      <c r="A25" s="22"/>
      <c r="B25" s="36" t="s">
        <v>158</v>
      </c>
      <c r="C25" s="37" t="s">
        <v>44</v>
      </c>
      <c r="D25" s="38" t="s">
        <v>159</v>
      </c>
      <c r="E25" s="38" t="s">
        <v>19</v>
      </c>
      <c r="F25" s="38" t="s">
        <v>160</v>
      </c>
      <c r="G25" s="38">
        <f t="shared" si="1"/>
        <v>28</v>
      </c>
      <c r="H25" s="38" t="s">
        <v>161</v>
      </c>
      <c r="I25" s="38" t="s">
        <v>162</v>
      </c>
      <c r="J25" s="38"/>
      <c r="K25" s="38"/>
      <c r="L25" s="38" t="s">
        <v>23</v>
      </c>
      <c r="M25" s="38" t="s">
        <v>48</v>
      </c>
      <c r="N25" s="38"/>
      <c r="O25" s="39" t="s">
        <v>25</v>
      </c>
      <c r="P25" s="22"/>
      <c r="AJ25" s="15">
        <f t="shared" si="2"/>
        <v>28</v>
      </c>
      <c r="AK25" s="16">
        <f t="shared" si="3"/>
        <v>27</v>
      </c>
    </row>
    <row r="26" ht="15.75" customHeight="1">
      <c r="A26" s="22"/>
      <c r="B26" s="44" t="s">
        <v>163</v>
      </c>
      <c r="C26" s="45" t="s">
        <v>44</v>
      </c>
      <c r="D26" s="46" t="s">
        <v>164</v>
      </c>
      <c r="E26" s="46" t="s">
        <v>19</v>
      </c>
      <c r="F26" s="46" t="s">
        <v>165</v>
      </c>
      <c r="G26" s="46">
        <f t="shared" si="1"/>
        <v>26</v>
      </c>
      <c r="H26" s="46" t="s">
        <v>166</v>
      </c>
      <c r="I26" s="46" t="s">
        <v>89</v>
      </c>
      <c r="J26" s="46" t="s">
        <v>167</v>
      </c>
      <c r="K26" s="46"/>
      <c r="L26" s="46" t="s">
        <v>41</v>
      </c>
      <c r="M26" s="46" t="s">
        <v>48</v>
      </c>
      <c r="N26" s="46"/>
      <c r="O26" s="47" t="s">
        <v>25</v>
      </c>
      <c r="P26" s="22"/>
      <c r="AJ26" s="15">
        <f t="shared" si="2"/>
        <v>26</v>
      </c>
      <c r="AK26" s="16">
        <f t="shared" si="3"/>
        <v>25</v>
      </c>
    </row>
    <row r="27" ht="15.75" customHeight="1">
      <c r="A27" s="22"/>
      <c r="B27" s="48" t="s">
        <v>168</v>
      </c>
      <c r="C27" s="49" t="s">
        <v>169</v>
      </c>
      <c r="D27" s="50" t="s">
        <v>170</v>
      </c>
      <c r="E27" s="50" t="s">
        <v>19</v>
      </c>
      <c r="F27" s="50" t="s">
        <v>171</v>
      </c>
      <c r="G27" s="51">
        <f t="shared" si="1"/>
        <v>27</v>
      </c>
      <c r="H27" s="50" t="s">
        <v>56</v>
      </c>
      <c r="I27" s="50" t="s">
        <v>172</v>
      </c>
      <c r="J27" s="50" t="s">
        <v>173</v>
      </c>
      <c r="K27" s="51"/>
      <c r="L27" s="50" t="s">
        <v>23</v>
      </c>
      <c r="M27" s="50" t="s">
        <v>48</v>
      </c>
      <c r="N27" s="51"/>
      <c r="O27" s="52" t="s">
        <v>25</v>
      </c>
      <c r="P27" s="22"/>
      <c r="AJ27" s="15">
        <f t="shared" si="2"/>
        <v>27</v>
      </c>
      <c r="AK27" s="16">
        <f t="shared" si="3"/>
        <v>26</v>
      </c>
    </row>
    <row r="28" ht="15.75" customHeight="1">
      <c r="A28" s="22"/>
      <c r="B28" s="53" t="s">
        <v>174</v>
      </c>
      <c r="C28" s="54" t="s">
        <v>169</v>
      </c>
      <c r="D28" s="55" t="s">
        <v>175</v>
      </c>
      <c r="E28" s="55" t="s">
        <v>19</v>
      </c>
      <c r="F28" s="55" t="s">
        <v>176</v>
      </c>
      <c r="G28" s="56">
        <f t="shared" si="1"/>
        <v>26</v>
      </c>
      <c r="H28" s="55" t="s">
        <v>30</v>
      </c>
      <c r="I28" s="55" t="s">
        <v>31</v>
      </c>
      <c r="J28" s="55" t="s">
        <v>177</v>
      </c>
      <c r="K28" s="56"/>
      <c r="L28" s="55" t="s">
        <v>41</v>
      </c>
      <c r="M28" s="56"/>
      <c r="N28" s="55" t="s">
        <v>126</v>
      </c>
      <c r="O28" s="57"/>
      <c r="P28" s="22"/>
      <c r="AJ28" s="15">
        <f t="shared" si="2"/>
        <v>26</v>
      </c>
      <c r="AK28" s="16">
        <f t="shared" si="3"/>
        <v>25</v>
      </c>
    </row>
    <row r="29" ht="15.75" customHeight="1">
      <c r="A29" s="22"/>
      <c r="B29" s="53" t="s">
        <v>178</v>
      </c>
      <c r="C29" s="54" t="s">
        <v>169</v>
      </c>
      <c r="D29" s="55" t="s">
        <v>179</v>
      </c>
      <c r="E29" s="55" t="s">
        <v>37</v>
      </c>
      <c r="F29" s="55" t="s">
        <v>180</v>
      </c>
      <c r="G29" s="56">
        <f t="shared" si="1"/>
        <v>24</v>
      </c>
      <c r="H29" s="55" t="s">
        <v>124</v>
      </c>
      <c r="I29" s="55" t="s">
        <v>181</v>
      </c>
      <c r="J29" s="55" t="s">
        <v>182</v>
      </c>
      <c r="K29" s="56"/>
      <c r="L29" s="55" t="s">
        <v>23</v>
      </c>
      <c r="M29" s="56"/>
      <c r="N29" s="56" t="s">
        <v>157</v>
      </c>
      <c r="O29" s="58" t="s">
        <v>25</v>
      </c>
      <c r="P29" s="22"/>
      <c r="AJ29" s="15">
        <f t="shared" si="2"/>
        <v>124</v>
      </c>
      <c r="AK29" s="16">
        <f t="shared" si="3"/>
        <v>123</v>
      </c>
    </row>
    <row r="30" ht="15.75" customHeight="1">
      <c r="A30" s="22"/>
      <c r="B30" s="59" t="s">
        <v>183</v>
      </c>
      <c r="C30" s="54" t="s">
        <v>169</v>
      </c>
      <c r="D30" s="55" t="s">
        <v>184</v>
      </c>
      <c r="E30" s="55" t="s">
        <v>19</v>
      </c>
      <c r="F30" s="55" t="s">
        <v>185</v>
      </c>
      <c r="G30" s="56">
        <f t="shared" si="1"/>
        <v>26</v>
      </c>
      <c r="H30" s="55" t="s">
        <v>30</v>
      </c>
      <c r="I30" s="55" t="s">
        <v>31</v>
      </c>
      <c r="J30" s="55" t="s">
        <v>32</v>
      </c>
      <c r="K30" s="55">
        <v>19.0</v>
      </c>
      <c r="L30" s="55" t="s">
        <v>41</v>
      </c>
      <c r="M30" s="55" t="s">
        <v>42</v>
      </c>
      <c r="N30" s="55" t="s">
        <v>59</v>
      </c>
      <c r="O30" s="58" t="s">
        <v>25</v>
      </c>
      <c r="P30" s="22"/>
      <c r="AJ30" s="15">
        <f t="shared" si="2"/>
        <v>26</v>
      </c>
      <c r="AK30" s="16">
        <f t="shared" si="3"/>
        <v>25</v>
      </c>
    </row>
    <row r="31" ht="15.75" customHeight="1">
      <c r="A31" s="22"/>
      <c r="B31" s="60" t="s">
        <v>186</v>
      </c>
      <c r="C31" s="54" t="s">
        <v>169</v>
      </c>
      <c r="D31" s="55" t="s">
        <v>187</v>
      </c>
      <c r="E31" s="55" t="s">
        <v>19</v>
      </c>
      <c r="F31" s="55" t="s">
        <v>188</v>
      </c>
      <c r="G31" s="56">
        <f t="shared" si="1"/>
        <v>25</v>
      </c>
      <c r="H31" s="55" t="s">
        <v>189</v>
      </c>
      <c r="I31" s="55" t="s">
        <v>190</v>
      </c>
      <c r="J31" s="55" t="s">
        <v>191</v>
      </c>
      <c r="K31" s="56"/>
      <c r="L31" s="55" t="s">
        <v>23</v>
      </c>
      <c r="M31" s="55" t="s">
        <v>192</v>
      </c>
      <c r="N31" s="56"/>
      <c r="O31" s="58" t="s">
        <v>25</v>
      </c>
      <c r="P31" s="22"/>
      <c r="AJ31" s="15">
        <f t="shared" si="2"/>
        <v>25</v>
      </c>
      <c r="AK31" s="16">
        <f t="shared" si="3"/>
        <v>24</v>
      </c>
    </row>
    <row r="32" ht="15.75" customHeight="1">
      <c r="A32" s="22"/>
      <c r="B32" s="61" t="s">
        <v>193</v>
      </c>
      <c r="C32" s="54" t="s">
        <v>169</v>
      </c>
      <c r="D32" s="55" t="s">
        <v>194</v>
      </c>
      <c r="E32" s="55" t="s">
        <v>19</v>
      </c>
      <c r="F32" s="55" t="s">
        <v>195</v>
      </c>
      <c r="G32" s="56">
        <f t="shared" si="1"/>
        <v>28</v>
      </c>
      <c r="H32" s="55" t="s">
        <v>196</v>
      </c>
      <c r="I32" s="55" t="s">
        <v>143</v>
      </c>
      <c r="J32" s="55" t="s">
        <v>197</v>
      </c>
      <c r="K32" s="56"/>
      <c r="L32" s="55" t="s">
        <v>23</v>
      </c>
      <c r="M32" s="55" t="s">
        <v>24</v>
      </c>
      <c r="N32" s="55" t="s">
        <v>198</v>
      </c>
      <c r="O32" s="57"/>
      <c r="P32" s="22"/>
      <c r="AJ32" s="15">
        <f t="shared" si="2"/>
        <v>28</v>
      </c>
      <c r="AK32" s="16">
        <f t="shared" si="3"/>
        <v>27</v>
      </c>
    </row>
    <row r="33" ht="15.75" customHeight="1">
      <c r="A33" s="22"/>
      <c r="B33" s="61" t="s">
        <v>199</v>
      </c>
      <c r="C33" s="54" t="s">
        <v>169</v>
      </c>
      <c r="D33" s="55" t="s">
        <v>200</v>
      </c>
      <c r="E33" s="55" t="s">
        <v>37</v>
      </c>
      <c r="F33" s="55" t="s">
        <v>201</v>
      </c>
      <c r="G33" s="56">
        <f t="shared" si="1"/>
        <v>24</v>
      </c>
      <c r="H33" s="55" t="s">
        <v>39</v>
      </c>
      <c r="I33" s="55" t="s">
        <v>31</v>
      </c>
      <c r="J33" s="55" t="s">
        <v>90</v>
      </c>
      <c r="K33" s="56"/>
      <c r="L33" s="55" t="s">
        <v>202</v>
      </c>
      <c r="M33" s="56"/>
      <c r="N33" s="55" t="s">
        <v>91</v>
      </c>
      <c r="O33" s="58" t="s">
        <v>25</v>
      </c>
      <c r="P33" s="22"/>
      <c r="AJ33" s="15">
        <f t="shared" si="2"/>
        <v>124</v>
      </c>
      <c r="AK33" s="16">
        <f t="shared" si="3"/>
        <v>123</v>
      </c>
    </row>
    <row r="34" ht="15.75" customHeight="1">
      <c r="A34" s="22"/>
      <c r="B34" s="61" t="s">
        <v>203</v>
      </c>
      <c r="C34" s="54" t="s">
        <v>169</v>
      </c>
      <c r="D34" s="55" t="s">
        <v>204</v>
      </c>
      <c r="E34" s="55" t="s">
        <v>19</v>
      </c>
      <c r="F34" s="55" t="s">
        <v>205</v>
      </c>
      <c r="G34" s="56">
        <f t="shared" si="1"/>
        <v>28</v>
      </c>
      <c r="H34" s="55" t="s">
        <v>56</v>
      </c>
      <c r="I34" s="55" t="s">
        <v>206</v>
      </c>
      <c r="J34" s="55" t="s">
        <v>207</v>
      </c>
      <c r="K34" s="56"/>
      <c r="L34" s="55" t="s">
        <v>208</v>
      </c>
      <c r="M34" s="55" t="s">
        <v>24</v>
      </c>
      <c r="N34" s="56"/>
      <c r="O34" s="57"/>
      <c r="P34" s="22"/>
      <c r="AJ34" s="15">
        <f t="shared" si="2"/>
        <v>28</v>
      </c>
      <c r="AK34" s="16">
        <f t="shared" si="3"/>
        <v>27</v>
      </c>
    </row>
    <row r="35" ht="15.75" customHeight="1">
      <c r="A35" s="22"/>
      <c r="B35" s="61" t="s">
        <v>209</v>
      </c>
      <c r="C35" s="54" t="s">
        <v>169</v>
      </c>
      <c r="D35" s="55" t="s">
        <v>210</v>
      </c>
      <c r="E35" s="55" t="s">
        <v>19</v>
      </c>
      <c r="F35" s="55" t="s">
        <v>211</v>
      </c>
      <c r="G35" s="56">
        <f t="shared" si="1"/>
        <v>24</v>
      </c>
      <c r="H35" s="55" t="s">
        <v>117</v>
      </c>
      <c r="I35" s="55" t="s">
        <v>83</v>
      </c>
      <c r="J35" s="55" t="s">
        <v>212</v>
      </c>
      <c r="K35" s="56"/>
      <c r="L35" s="55" t="s">
        <v>41</v>
      </c>
      <c r="M35" s="55" t="s">
        <v>42</v>
      </c>
      <c r="N35" s="55" t="s">
        <v>213</v>
      </c>
      <c r="O35" s="58" t="s">
        <v>25</v>
      </c>
      <c r="P35" s="22"/>
      <c r="AJ35" s="15">
        <f t="shared" si="2"/>
        <v>124</v>
      </c>
      <c r="AK35" s="16">
        <f t="shared" si="3"/>
        <v>123</v>
      </c>
    </row>
    <row r="36" ht="15.75" customHeight="1">
      <c r="A36" s="22"/>
      <c r="B36" s="61" t="s">
        <v>214</v>
      </c>
      <c r="C36" s="54" t="s">
        <v>169</v>
      </c>
      <c r="D36" s="55" t="s">
        <v>215</v>
      </c>
      <c r="E36" s="55" t="s">
        <v>37</v>
      </c>
      <c r="F36" s="55" t="s">
        <v>216</v>
      </c>
      <c r="G36" s="56">
        <f t="shared" si="1"/>
        <v>27</v>
      </c>
      <c r="H36" s="55" t="s">
        <v>217</v>
      </c>
      <c r="I36" s="55" t="s">
        <v>218</v>
      </c>
      <c r="J36" s="55" t="s">
        <v>219</v>
      </c>
      <c r="K36" s="56"/>
      <c r="L36" s="55" t="s">
        <v>41</v>
      </c>
      <c r="M36" s="55" t="s">
        <v>42</v>
      </c>
      <c r="N36" s="56"/>
      <c r="O36" s="57"/>
      <c r="P36" s="22"/>
      <c r="AJ36" s="15">
        <f t="shared" si="2"/>
        <v>27</v>
      </c>
      <c r="AK36" s="16">
        <f t="shared" si="3"/>
        <v>26</v>
      </c>
    </row>
    <row r="37" ht="15.75" customHeight="1">
      <c r="A37" s="22"/>
      <c r="B37" s="61" t="s">
        <v>220</v>
      </c>
      <c r="C37" s="54" t="s">
        <v>169</v>
      </c>
      <c r="D37" s="55" t="s">
        <v>221</v>
      </c>
      <c r="E37" s="55" t="s">
        <v>37</v>
      </c>
      <c r="F37" s="55" t="s">
        <v>222</v>
      </c>
      <c r="G37" s="56">
        <f t="shared" si="1"/>
        <v>21</v>
      </c>
      <c r="H37" s="55" t="s">
        <v>101</v>
      </c>
      <c r="I37" s="55" t="s">
        <v>223</v>
      </c>
      <c r="J37" s="55" t="s">
        <v>224</v>
      </c>
      <c r="K37" s="56"/>
      <c r="L37" s="55" t="s">
        <v>41</v>
      </c>
      <c r="M37" s="55" t="s">
        <v>42</v>
      </c>
      <c r="N37" s="56"/>
      <c r="O37" s="57"/>
      <c r="P37" s="22"/>
      <c r="AJ37" s="15">
        <f t="shared" si="2"/>
        <v>121</v>
      </c>
      <c r="AK37" s="16">
        <f t="shared" si="3"/>
        <v>120</v>
      </c>
    </row>
    <row r="38" ht="15.75" customHeight="1">
      <c r="A38" s="22"/>
      <c r="B38" s="61" t="s">
        <v>225</v>
      </c>
      <c r="C38" s="54" t="s">
        <v>169</v>
      </c>
      <c r="D38" s="55" t="s">
        <v>226</v>
      </c>
      <c r="E38" s="55" t="s">
        <v>37</v>
      </c>
      <c r="F38" s="55" t="s">
        <v>227</v>
      </c>
      <c r="G38" s="56">
        <f t="shared" si="1"/>
        <v>22</v>
      </c>
      <c r="H38" s="55" t="s">
        <v>39</v>
      </c>
      <c r="I38" s="55" t="s">
        <v>228</v>
      </c>
      <c r="J38" s="55" t="s">
        <v>229</v>
      </c>
      <c r="K38" s="56"/>
      <c r="L38" s="55" t="s">
        <v>41</v>
      </c>
      <c r="M38" s="55" t="s">
        <v>42</v>
      </c>
      <c r="N38" s="55" t="s">
        <v>59</v>
      </c>
      <c r="O38" s="58" t="s">
        <v>25</v>
      </c>
      <c r="P38" s="22"/>
      <c r="AJ38" s="15">
        <f t="shared" si="2"/>
        <v>122</v>
      </c>
      <c r="AK38" s="16">
        <f t="shared" si="3"/>
        <v>121</v>
      </c>
    </row>
    <row r="39" ht="15.75" customHeight="1">
      <c r="A39" s="22"/>
      <c r="B39" s="61" t="s">
        <v>230</v>
      </c>
      <c r="C39" s="54" t="s">
        <v>169</v>
      </c>
      <c r="D39" s="55" t="s">
        <v>231</v>
      </c>
      <c r="E39" s="55" t="s">
        <v>19</v>
      </c>
      <c r="F39" s="55" t="s">
        <v>232</v>
      </c>
      <c r="G39" s="56">
        <f t="shared" si="1"/>
        <v>28</v>
      </c>
      <c r="H39" s="55" t="s">
        <v>233</v>
      </c>
      <c r="I39" s="55" t="s">
        <v>234</v>
      </c>
      <c r="J39" s="55" t="s">
        <v>235</v>
      </c>
      <c r="K39" s="55">
        <v>16.0</v>
      </c>
      <c r="L39" s="55" t="s">
        <v>23</v>
      </c>
      <c r="M39" s="55" t="s">
        <v>48</v>
      </c>
      <c r="N39" s="56"/>
      <c r="O39" s="58" t="s">
        <v>25</v>
      </c>
      <c r="P39" s="22"/>
      <c r="AJ39" s="15">
        <f t="shared" si="2"/>
        <v>28</v>
      </c>
      <c r="AK39" s="16">
        <f t="shared" si="3"/>
        <v>27</v>
      </c>
    </row>
    <row r="40" ht="15.75" customHeight="1">
      <c r="A40" s="62"/>
      <c r="B40" s="63" t="s">
        <v>236</v>
      </c>
      <c r="C40" s="64" t="s">
        <v>169</v>
      </c>
      <c r="D40" s="65" t="s">
        <v>237</v>
      </c>
      <c r="E40" s="65" t="s">
        <v>19</v>
      </c>
      <c r="F40" s="65" t="s">
        <v>238</v>
      </c>
      <c r="G40" s="66">
        <f t="shared" si="1"/>
        <v>26</v>
      </c>
      <c r="H40" s="65" t="s">
        <v>30</v>
      </c>
      <c r="I40" s="65" t="s">
        <v>31</v>
      </c>
      <c r="J40" s="65" t="s">
        <v>239</v>
      </c>
      <c r="K40" s="65">
        <v>21.0</v>
      </c>
      <c r="L40" s="65" t="s">
        <v>41</v>
      </c>
      <c r="M40" s="65" t="s">
        <v>42</v>
      </c>
      <c r="N40" s="66"/>
      <c r="O40" s="67" t="s">
        <v>25</v>
      </c>
      <c r="P40" s="62"/>
      <c r="AJ40" s="15">
        <f t="shared" si="2"/>
        <v>26</v>
      </c>
      <c r="AK40" s="16">
        <f t="shared" si="3"/>
        <v>25</v>
      </c>
    </row>
    <row r="41" ht="15.75" customHeight="1">
      <c r="A41" s="68" t="s">
        <v>240</v>
      </c>
      <c r="B41" s="69" t="s">
        <v>241</v>
      </c>
      <c r="C41" s="70" t="s">
        <v>68</v>
      </c>
      <c r="D41" s="71" t="s">
        <v>242</v>
      </c>
      <c r="E41" s="71" t="s">
        <v>37</v>
      </c>
      <c r="F41" s="71" t="s">
        <v>243</v>
      </c>
      <c r="G41" s="71">
        <f t="shared" si="1"/>
        <v>27</v>
      </c>
      <c r="H41" s="71" t="s">
        <v>39</v>
      </c>
      <c r="I41" s="71" t="s">
        <v>244</v>
      </c>
      <c r="J41" s="71" t="s">
        <v>245</v>
      </c>
      <c r="K41" s="71"/>
      <c r="L41" s="71" t="s">
        <v>23</v>
      </c>
      <c r="M41" s="71" t="s">
        <v>48</v>
      </c>
      <c r="N41" s="71"/>
      <c r="O41" s="72" t="s">
        <v>25</v>
      </c>
      <c r="P41" s="14">
        <v>9.0</v>
      </c>
      <c r="AJ41" s="15">
        <f t="shared" si="2"/>
        <v>27</v>
      </c>
      <c r="AK41" s="16">
        <f t="shared" si="3"/>
        <v>26</v>
      </c>
    </row>
    <row r="42" ht="15.75" customHeight="1">
      <c r="A42" s="73"/>
      <c r="B42" s="74" t="s">
        <v>246</v>
      </c>
      <c r="C42" s="75" t="s">
        <v>247</v>
      </c>
      <c r="D42" s="76" t="s">
        <v>248</v>
      </c>
      <c r="E42" s="76" t="s">
        <v>19</v>
      </c>
      <c r="F42" s="76" t="s">
        <v>249</v>
      </c>
      <c r="G42" s="76">
        <f t="shared" si="1"/>
        <v>26</v>
      </c>
      <c r="H42" s="76" t="s">
        <v>39</v>
      </c>
      <c r="I42" s="76" t="s">
        <v>112</v>
      </c>
      <c r="J42" s="76"/>
      <c r="K42" s="76"/>
      <c r="L42" s="76" t="s">
        <v>41</v>
      </c>
      <c r="M42" s="76" t="s">
        <v>42</v>
      </c>
      <c r="N42" s="76"/>
      <c r="O42" s="77" t="s">
        <v>25</v>
      </c>
      <c r="P42" s="22"/>
      <c r="AJ42" s="15">
        <f t="shared" si="2"/>
        <v>26</v>
      </c>
      <c r="AK42" s="16">
        <f t="shared" si="3"/>
        <v>25</v>
      </c>
    </row>
    <row r="43" ht="15.75" customHeight="1">
      <c r="A43" s="73"/>
      <c r="B43" s="74" t="s">
        <v>250</v>
      </c>
      <c r="C43" s="75" t="s">
        <v>17</v>
      </c>
      <c r="D43" s="76" t="s">
        <v>251</v>
      </c>
      <c r="E43" s="76" t="s">
        <v>37</v>
      </c>
      <c r="F43" s="76" t="s">
        <v>252</v>
      </c>
      <c r="G43" s="76">
        <f t="shared" si="1"/>
        <v>24</v>
      </c>
      <c r="H43" s="76" t="s">
        <v>161</v>
      </c>
      <c r="I43" s="76" t="s">
        <v>112</v>
      </c>
      <c r="J43" s="76" t="s">
        <v>253</v>
      </c>
      <c r="K43" s="76">
        <v>19.0</v>
      </c>
      <c r="L43" s="76" t="s">
        <v>41</v>
      </c>
      <c r="M43" s="76" t="s">
        <v>42</v>
      </c>
      <c r="N43" s="76" t="s">
        <v>65</v>
      </c>
      <c r="O43" s="77" t="s">
        <v>25</v>
      </c>
      <c r="P43" s="22"/>
      <c r="AJ43" s="15">
        <f t="shared" si="2"/>
        <v>124</v>
      </c>
      <c r="AK43" s="16">
        <f t="shared" si="3"/>
        <v>123</v>
      </c>
    </row>
    <row r="44" ht="15.75" customHeight="1">
      <c r="A44" s="73"/>
      <c r="B44" s="74" t="s">
        <v>254</v>
      </c>
      <c r="C44" s="75" t="s">
        <v>109</v>
      </c>
      <c r="D44" s="76" t="s">
        <v>255</v>
      </c>
      <c r="E44" s="76" t="s">
        <v>19</v>
      </c>
      <c r="F44" s="76" t="s">
        <v>256</v>
      </c>
      <c r="G44" s="76">
        <f t="shared" si="1"/>
        <v>27</v>
      </c>
      <c r="H44" s="76" t="s">
        <v>257</v>
      </c>
      <c r="I44" s="76" t="s">
        <v>258</v>
      </c>
      <c r="J44" s="76"/>
      <c r="K44" s="76"/>
      <c r="L44" s="76" t="s">
        <v>23</v>
      </c>
      <c r="M44" s="76" t="s">
        <v>259</v>
      </c>
      <c r="N44" s="76"/>
      <c r="O44" s="77" t="s">
        <v>25</v>
      </c>
      <c r="P44" s="22"/>
      <c r="AJ44" s="15">
        <f t="shared" si="2"/>
        <v>27</v>
      </c>
      <c r="AK44" s="16">
        <f t="shared" si="3"/>
        <v>26</v>
      </c>
    </row>
    <row r="45" ht="15.75" customHeight="1">
      <c r="A45" s="73"/>
      <c r="B45" s="74" t="s">
        <v>260</v>
      </c>
      <c r="C45" s="75" t="s">
        <v>121</v>
      </c>
      <c r="D45" s="76" t="s">
        <v>261</v>
      </c>
      <c r="E45" s="76" t="s">
        <v>37</v>
      </c>
      <c r="F45" s="76" t="s">
        <v>262</v>
      </c>
      <c r="G45" s="76">
        <f t="shared" si="1"/>
        <v>26</v>
      </c>
      <c r="H45" s="76" t="s">
        <v>263</v>
      </c>
      <c r="I45" s="76" t="s">
        <v>264</v>
      </c>
      <c r="J45" s="76" t="s">
        <v>265</v>
      </c>
      <c r="K45" s="76"/>
      <c r="L45" s="76" t="s">
        <v>41</v>
      </c>
      <c r="M45" s="76" t="s">
        <v>42</v>
      </c>
      <c r="N45" s="76"/>
      <c r="O45" s="77" t="s">
        <v>25</v>
      </c>
      <c r="P45" s="22"/>
      <c r="AJ45" s="15">
        <f t="shared" si="2"/>
        <v>26</v>
      </c>
      <c r="AK45" s="16">
        <f t="shared" si="3"/>
        <v>25</v>
      </c>
    </row>
    <row r="46" ht="15.75" customHeight="1">
      <c r="A46" s="73"/>
      <c r="B46" s="74" t="s">
        <v>266</v>
      </c>
      <c r="C46" s="75" t="s">
        <v>121</v>
      </c>
      <c r="D46" s="76" t="s">
        <v>267</v>
      </c>
      <c r="E46" s="76" t="s">
        <v>19</v>
      </c>
      <c r="F46" s="76" t="s">
        <v>268</v>
      </c>
      <c r="G46" s="76">
        <f t="shared" si="1"/>
        <v>26</v>
      </c>
      <c r="H46" s="76" t="s">
        <v>269</v>
      </c>
      <c r="I46" s="76" t="s">
        <v>31</v>
      </c>
      <c r="J46" s="76" t="s">
        <v>270</v>
      </c>
      <c r="K46" s="76">
        <v>16.0</v>
      </c>
      <c r="L46" s="76" t="s">
        <v>208</v>
      </c>
      <c r="M46" s="76" t="s">
        <v>271</v>
      </c>
      <c r="N46" s="76" t="s">
        <v>272</v>
      </c>
      <c r="O46" s="77" t="s">
        <v>25</v>
      </c>
      <c r="P46" s="22"/>
      <c r="AJ46" s="15">
        <f t="shared" si="2"/>
        <v>26</v>
      </c>
      <c r="AK46" s="16">
        <f t="shared" si="3"/>
        <v>25</v>
      </c>
    </row>
    <row r="47" ht="15.75" customHeight="1">
      <c r="A47" s="73"/>
      <c r="B47" s="74" t="s">
        <v>273</v>
      </c>
      <c r="C47" s="75" t="s">
        <v>35</v>
      </c>
      <c r="D47" s="76" t="s">
        <v>274</v>
      </c>
      <c r="E47" s="76" t="s">
        <v>19</v>
      </c>
      <c r="F47" s="76" t="s">
        <v>275</v>
      </c>
      <c r="G47" s="76">
        <f t="shared" si="1"/>
        <v>26</v>
      </c>
      <c r="H47" s="76" t="s">
        <v>276</v>
      </c>
      <c r="I47" s="76" t="s">
        <v>277</v>
      </c>
      <c r="J47" s="76"/>
      <c r="K47" s="76"/>
      <c r="L47" s="76"/>
      <c r="M47" s="76"/>
      <c r="N47" s="76"/>
      <c r="O47" s="77" t="s">
        <v>25</v>
      </c>
      <c r="P47" s="22"/>
      <c r="AJ47" s="15">
        <f t="shared" si="2"/>
        <v>26</v>
      </c>
      <c r="AK47" s="16">
        <f t="shared" si="3"/>
        <v>25</v>
      </c>
    </row>
    <row r="48" ht="15.75" customHeight="1">
      <c r="A48" s="73"/>
      <c r="B48" s="74" t="s">
        <v>278</v>
      </c>
      <c r="C48" s="75" t="s">
        <v>44</v>
      </c>
      <c r="D48" s="76" t="s">
        <v>279</v>
      </c>
      <c r="E48" s="76" t="s">
        <v>19</v>
      </c>
      <c r="F48" s="76" t="s">
        <v>280</v>
      </c>
      <c r="G48" s="76">
        <f t="shared" si="1"/>
        <v>27</v>
      </c>
      <c r="H48" s="76" t="s">
        <v>142</v>
      </c>
      <c r="I48" s="76" t="s">
        <v>143</v>
      </c>
      <c r="J48" s="76"/>
      <c r="K48" s="76"/>
      <c r="L48" s="76" t="s">
        <v>41</v>
      </c>
      <c r="M48" s="76" t="s">
        <v>42</v>
      </c>
      <c r="N48" s="76"/>
      <c r="O48" s="77" t="s">
        <v>127</v>
      </c>
      <c r="P48" s="22"/>
      <c r="AJ48" s="15">
        <f t="shared" si="2"/>
        <v>27</v>
      </c>
      <c r="AK48" s="16">
        <f t="shared" si="3"/>
        <v>26</v>
      </c>
    </row>
    <row r="49" ht="15.75" customHeight="1">
      <c r="A49" s="78"/>
      <c r="B49" s="79" t="s">
        <v>281</v>
      </c>
      <c r="C49" s="80" t="s">
        <v>44</v>
      </c>
      <c r="D49" s="81" t="s">
        <v>282</v>
      </c>
      <c r="E49" s="81" t="s">
        <v>37</v>
      </c>
      <c r="F49" s="81" t="s">
        <v>283</v>
      </c>
      <c r="G49" s="81">
        <f t="shared" si="1"/>
        <v>26</v>
      </c>
      <c r="H49" s="81" t="s">
        <v>196</v>
      </c>
      <c r="I49" s="81" t="s">
        <v>156</v>
      </c>
      <c r="J49" s="81" t="s">
        <v>284</v>
      </c>
      <c r="K49" s="81"/>
      <c r="L49" s="81" t="s">
        <v>41</v>
      </c>
      <c r="M49" s="81" t="s">
        <v>42</v>
      </c>
      <c r="N49" s="81"/>
      <c r="O49" s="82" t="s">
        <v>25</v>
      </c>
      <c r="P49" s="62"/>
      <c r="AJ49" s="15">
        <f t="shared" si="2"/>
        <v>26</v>
      </c>
      <c r="AK49" s="16">
        <f t="shared" si="3"/>
        <v>25</v>
      </c>
    </row>
    <row r="50" ht="15.75" customHeight="1">
      <c r="A50" s="83" t="s">
        <v>285</v>
      </c>
      <c r="B50" s="84" t="s">
        <v>286</v>
      </c>
      <c r="C50" s="85" t="s">
        <v>17</v>
      </c>
      <c r="D50" s="86" t="s">
        <v>287</v>
      </c>
      <c r="E50" s="86" t="s">
        <v>37</v>
      </c>
      <c r="F50" s="86" t="s">
        <v>288</v>
      </c>
      <c r="G50" s="86">
        <f t="shared" si="1"/>
        <v>26</v>
      </c>
      <c r="H50" s="86" t="s">
        <v>269</v>
      </c>
      <c r="I50" s="86" t="s">
        <v>289</v>
      </c>
      <c r="J50" s="86"/>
      <c r="K50" s="86"/>
      <c r="L50" s="86" t="s">
        <v>23</v>
      </c>
      <c r="M50" s="86"/>
      <c r="N50" s="86"/>
      <c r="O50" s="87" t="s">
        <v>25</v>
      </c>
      <c r="P50" s="88"/>
      <c r="AJ50" s="15">
        <f t="shared" si="2"/>
        <v>26</v>
      </c>
      <c r="AK50" s="16">
        <f t="shared" si="3"/>
        <v>25</v>
      </c>
    </row>
    <row r="51" ht="15.75" customHeight="1">
      <c r="A51" s="89"/>
      <c r="B51" s="90" t="s">
        <v>290</v>
      </c>
      <c r="C51" s="91" t="s">
        <v>98</v>
      </c>
      <c r="D51" s="92" t="s">
        <v>291</v>
      </c>
      <c r="E51" s="92" t="s">
        <v>19</v>
      </c>
      <c r="F51" s="92" t="s">
        <v>292</v>
      </c>
      <c r="G51" s="92">
        <f t="shared" si="1"/>
        <v>26</v>
      </c>
      <c r="H51" s="92" t="s">
        <v>131</v>
      </c>
      <c r="I51" s="92" t="s">
        <v>190</v>
      </c>
      <c r="J51" s="92" t="s">
        <v>293</v>
      </c>
      <c r="K51" s="92">
        <v>18.0</v>
      </c>
      <c r="L51" s="92" t="s">
        <v>41</v>
      </c>
      <c r="M51" s="92" t="s">
        <v>42</v>
      </c>
      <c r="N51" s="92" t="s">
        <v>198</v>
      </c>
      <c r="O51" s="93" t="s">
        <v>25</v>
      </c>
      <c r="P51" s="22"/>
      <c r="AJ51" s="15">
        <f t="shared" si="2"/>
        <v>26</v>
      </c>
      <c r="AK51" s="16">
        <f t="shared" si="3"/>
        <v>25</v>
      </c>
    </row>
    <row r="52" ht="15.75" customHeight="1">
      <c r="A52" s="89"/>
      <c r="B52" s="90" t="s">
        <v>294</v>
      </c>
      <c r="C52" s="91" t="s">
        <v>98</v>
      </c>
      <c r="D52" s="92" t="s">
        <v>295</v>
      </c>
      <c r="E52" s="92" t="s">
        <v>19</v>
      </c>
      <c r="F52" s="92" t="s">
        <v>296</v>
      </c>
      <c r="G52" s="92">
        <f t="shared" si="1"/>
        <v>28</v>
      </c>
      <c r="H52" s="92" t="s">
        <v>56</v>
      </c>
      <c r="I52" s="92" t="s">
        <v>190</v>
      </c>
      <c r="J52" s="92" t="s">
        <v>297</v>
      </c>
      <c r="K52" s="92"/>
      <c r="L52" s="92" t="s">
        <v>41</v>
      </c>
      <c r="M52" s="92" t="s">
        <v>42</v>
      </c>
      <c r="N52" s="92" t="s">
        <v>272</v>
      </c>
      <c r="O52" s="93" t="s">
        <v>25</v>
      </c>
      <c r="P52" s="22"/>
      <c r="AJ52" s="15">
        <f t="shared" si="2"/>
        <v>28</v>
      </c>
      <c r="AK52" s="16">
        <f t="shared" si="3"/>
        <v>27</v>
      </c>
    </row>
    <row r="53" ht="15.75" customHeight="1">
      <c r="A53" s="89"/>
      <c r="B53" s="90" t="s">
        <v>298</v>
      </c>
      <c r="C53" s="91" t="s">
        <v>98</v>
      </c>
      <c r="D53" s="92" t="s">
        <v>299</v>
      </c>
      <c r="E53" s="92" t="s">
        <v>19</v>
      </c>
      <c r="F53" s="92" t="s">
        <v>300</v>
      </c>
      <c r="G53" s="92">
        <f t="shared" si="1"/>
        <v>28</v>
      </c>
      <c r="H53" s="92" t="s">
        <v>217</v>
      </c>
      <c r="I53" s="92" t="s">
        <v>83</v>
      </c>
      <c r="J53" s="92" t="s">
        <v>207</v>
      </c>
      <c r="K53" s="92"/>
      <c r="L53" s="92" t="s">
        <v>41</v>
      </c>
      <c r="M53" s="92" t="s">
        <v>42</v>
      </c>
      <c r="N53" s="92" t="s">
        <v>301</v>
      </c>
      <c r="O53" s="93" t="s">
        <v>25</v>
      </c>
      <c r="P53" s="22"/>
      <c r="Q53" s="94"/>
      <c r="AJ53" s="15">
        <f t="shared" si="2"/>
        <v>28</v>
      </c>
      <c r="AK53" s="16">
        <f t="shared" si="3"/>
        <v>27</v>
      </c>
    </row>
    <row r="54" ht="15.75" customHeight="1">
      <c r="A54" s="89"/>
      <c r="B54" s="90" t="s">
        <v>302</v>
      </c>
      <c r="C54" s="91" t="s">
        <v>98</v>
      </c>
      <c r="D54" s="92" t="s">
        <v>303</v>
      </c>
      <c r="E54" s="92" t="s">
        <v>19</v>
      </c>
      <c r="F54" s="92" t="s">
        <v>304</v>
      </c>
      <c r="G54" s="92">
        <f t="shared" si="1"/>
        <v>27</v>
      </c>
      <c r="H54" s="92" t="s">
        <v>117</v>
      </c>
      <c r="I54" s="92" t="s">
        <v>31</v>
      </c>
      <c r="J54" s="92" t="s">
        <v>305</v>
      </c>
      <c r="K54" s="92">
        <v>17.0</v>
      </c>
      <c r="L54" s="92" t="s">
        <v>208</v>
      </c>
      <c r="M54" s="92" t="s">
        <v>42</v>
      </c>
      <c r="N54" s="92" t="s">
        <v>91</v>
      </c>
      <c r="O54" s="93" t="s">
        <v>25</v>
      </c>
      <c r="P54" s="22"/>
      <c r="Q54" s="94"/>
      <c r="AJ54" s="15">
        <f t="shared" si="2"/>
        <v>27</v>
      </c>
      <c r="AK54" s="16">
        <f t="shared" si="3"/>
        <v>26</v>
      </c>
    </row>
    <row r="55" ht="15.75" customHeight="1">
      <c r="A55" s="89"/>
      <c r="B55" s="90" t="s">
        <v>306</v>
      </c>
      <c r="C55" s="91" t="s">
        <v>109</v>
      </c>
      <c r="D55" s="92" t="s">
        <v>267</v>
      </c>
      <c r="E55" s="92" t="s">
        <v>19</v>
      </c>
      <c r="F55" s="92" t="s">
        <v>307</v>
      </c>
      <c r="G55" s="92">
        <f t="shared" si="1"/>
        <v>27</v>
      </c>
      <c r="H55" s="92" t="s">
        <v>117</v>
      </c>
      <c r="I55" s="92" t="s">
        <v>31</v>
      </c>
      <c r="J55" s="92"/>
      <c r="K55" s="92">
        <v>16.0</v>
      </c>
      <c r="L55" s="92" t="s">
        <v>41</v>
      </c>
      <c r="M55" s="92" t="s">
        <v>42</v>
      </c>
      <c r="N55" s="92"/>
      <c r="O55" s="93" t="s">
        <v>25</v>
      </c>
      <c r="P55" s="22"/>
      <c r="Q55" s="94"/>
      <c r="AJ55" s="15">
        <f t="shared" si="2"/>
        <v>27</v>
      </c>
      <c r="AK55" s="16">
        <f t="shared" si="3"/>
        <v>26</v>
      </c>
    </row>
    <row r="56" ht="15.75" customHeight="1">
      <c r="A56" s="89"/>
      <c r="B56" s="90" t="s">
        <v>308</v>
      </c>
      <c r="C56" s="91" t="s">
        <v>109</v>
      </c>
      <c r="D56" s="92" t="s">
        <v>309</v>
      </c>
      <c r="E56" s="92" t="s">
        <v>19</v>
      </c>
      <c r="F56" s="92" t="s">
        <v>310</v>
      </c>
      <c r="G56" s="92">
        <f t="shared" si="1"/>
        <v>27</v>
      </c>
      <c r="H56" s="92" t="s">
        <v>21</v>
      </c>
      <c r="I56" s="92" t="s">
        <v>156</v>
      </c>
      <c r="J56" s="92"/>
      <c r="K56" s="92"/>
      <c r="L56" s="92" t="s">
        <v>23</v>
      </c>
      <c r="M56" s="92" t="s">
        <v>48</v>
      </c>
      <c r="N56" s="92" t="s">
        <v>65</v>
      </c>
      <c r="O56" s="93" t="s">
        <v>25</v>
      </c>
      <c r="P56" s="22"/>
      <c r="AJ56" s="15">
        <f t="shared" si="2"/>
        <v>27</v>
      </c>
      <c r="AK56" s="16">
        <f t="shared" si="3"/>
        <v>26</v>
      </c>
    </row>
    <row r="57" ht="15.75" customHeight="1">
      <c r="A57" s="89"/>
      <c r="B57" s="90" t="s">
        <v>311</v>
      </c>
      <c r="C57" s="91" t="s">
        <v>109</v>
      </c>
      <c r="D57" s="92" t="s">
        <v>312</v>
      </c>
      <c r="E57" s="92" t="s">
        <v>37</v>
      </c>
      <c r="F57" s="92" t="s">
        <v>313</v>
      </c>
      <c r="G57" s="92">
        <f t="shared" si="1"/>
        <v>27</v>
      </c>
      <c r="H57" s="92" t="s">
        <v>39</v>
      </c>
      <c r="I57" s="92" t="s">
        <v>218</v>
      </c>
      <c r="J57" s="92"/>
      <c r="K57" s="92"/>
      <c r="L57" s="92" t="s">
        <v>202</v>
      </c>
      <c r="M57" s="92" t="s">
        <v>259</v>
      </c>
      <c r="N57" s="92"/>
      <c r="O57" s="93" t="s">
        <v>25</v>
      </c>
      <c r="P57" s="22"/>
      <c r="AJ57" s="15">
        <f t="shared" si="2"/>
        <v>27</v>
      </c>
      <c r="AK57" s="16">
        <f t="shared" si="3"/>
        <v>26</v>
      </c>
    </row>
    <row r="58" ht="15.75" customHeight="1">
      <c r="A58" s="89"/>
      <c r="B58" s="90" t="s">
        <v>314</v>
      </c>
      <c r="C58" s="91" t="s">
        <v>109</v>
      </c>
      <c r="D58" s="92" t="s">
        <v>315</v>
      </c>
      <c r="E58" s="92" t="s">
        <v>37</v>
      </c>
      <c r="F58" s="92" t="s">
        <v>316</v>
      </c>
      <c r="G58" s="92">
        <f t="shared" si="1"/>
        <v>25</v>
      </c>
      <c r="H58" s="92" t="s">
        <v>30</v>
      </c>
      <c r="I58" s="92" t="s">
        <v>162</v>
      </c>
      <c r="J58" s="92" t="s">
        <v>317</v>
      </c>
      <c r="K58" s="92"/>
      <c r="L58" s="92" t="s">
        <v>41</v>
      </c>
      <c r="M58" s="92" t="s">
        <v>42</v>
      </c>
      <c r="N58" s="92"/>
      <c r="O58" s="93" t="s">
        <v>25</v>
      </c>
      <c r="P58" s="22"/>
      <c r="AJ58" s="15">
        <f t="shared" si="2"/>
        <v>25</v>
      </c>
      <c r="AK58" s="16">
        <f t="shared" si="3"/>
        <v>24</v>
      </c>
    </row>
    <row r="59" ht="15.75" customHeight="1">
      <c r="A59" s="89"/>
      <c r="B59" s="90" t="s">
        <v>318</v>
      </c>
      <c r="C59" s="91" t="s">
        <v>109</v>
      </c>
      <c r="D59" s="92" t="s">
        <v>319</v>
      </c>
      <c r="E59" s="92" t="s">
        <v>37</v>
      </c>
      <c r="F59" s="92" t="s">
        <v>320</v>
      </c>
      <c r="G59" s="92">
        <f t="shared" si="1"/>
        <v>26</v>
      </c>
      <c r="H59" s="92" t="s">
        <v>137</v>
      </c>
      <c r="I59" s="92" t="s">
        <v>321</v>
      </c>
      <c r="J59" s="92" t="s">
        <v>322</v>
      </c>
      <c r="K59" s="92"/>
      <c r="L59" s="92" t="s">
        <v>23</v>
      </c>
      <c r="M59" s="92" t="s">
        <v>48</v>
      </c>
      <c r="N59" s="92"/>
      <c r="O59" s="93" t="s">
        <v>25</v>
      </c>
      <c r="P59" s="22"/>
      <c r="AJ59" s="15">
        <f t="shared" si="2"/>
        <v>26</v>
      </c>
      <c r="AK59" s="16">
        <f t="shared" si="3"/>
        <v>25</v>
      </c>
    </row>
    <row r="60" ht="15.75" customHeight="1">
      <c r="A60" s="89"/>
      <c r="B60" s="90" t="s">
        <v>323</v>
      </c>
      <c r="C60" s="91" t="s">
        <v>109</v>
      </c>
      <c r="D60" s="92" t="s">
        <v>324</v>
      </c>
      <c r="E60" s="92" t="s">
        <v>37</v>
      </c>
      <c r="F60" s="92" t="s">
        <v>325</v>
      </c>
      <c r="G60" s="92">
        <f t="shared" si="1"/>
        <v>26</v>
      </c>
      <c r="H60" s="92" t="s">
        <v>196</v>
      </c>
      <c r="I60" s="92" t="s">
        <v>156</v>
      </c>
      <c r="J60" s="92" t="s">
        <v>191</v>
      </c>
      <c r="K60" s="92"/>
      <c r="L60" s="92" t="s">
        <v>41</v>
      </c>
      <c r="M60" s="92" t="s">
        <v>42</v>
      </c>
      <c r="N60" s="92"/>
      <c r="O60" s="93" t="s">
        <v>25</v>
      </c>
      <c r="P60" s="22"/>
      <c r="AJ60" s="15">
        <f t="shared" si="2"/>
        <v>26</v>
      </c>
      <c r="AK60" s="16">
        <f t="shared" si="3"/>
        <v>25</v>
      </c>
    </row>
    <row r="61" ht="15.75" customHeight="1">
      <c r="A61" s="89"/>
      <c r="B61" s="90" t="s">
        <v>326</v>
      </c>
      <c r="C61" s="91" t="s">
        <v>17</v>
      </c>
      <c r="D61" s="92" t="s">
        <v>327</v>
      </c>
      <c r="E61" s="92" t="s">
        <v>37</v>
      </c>
      <c r="F61" s="92" t="s">
        <v>328</v>
      </c>
      <c r="G61" s="92">
        <f t="shared" si="1"/>
        <v>27</v>
      </c>
      <c r="H61" s="92" t="s">
        <v>329</v>
      </c>
      <c r="I61" s="92"/>
      <c r="J61" s="92"/>
      <c r="K61" s="92"/>
      <c r="L61" s="92"/>
      <c r="M61" s="92"/>
      <c r="N61" s="92"/>
      <c r="O61" s="93" t="s">
        <v>25</v>
      </c>
      <c r="P61" s="22"/>
      <c r="AJ61" s="15">
        <f t="shared" si="2"/>
        <v>27</v>
      </c>
      <c r="AK61" s="16">
        <f t="shared" si="3"/>
        <v>26</v>
      </c>
    </row>
    <row r="62" ht="15.75" customHeight="1">
      <c r="A62" s="89"/>
      <c r="B62" s="90" t="s">
        <v>330</v>
      </c>
      <c r="C62" s="91" t="s">
        <v>98</v>
      </c>
      <c r="D62" s="92" t="s">
        <v>331</v>
      </c>
      <c r="E62" s="92" t="s">
        <v>19</v>
      </c>
      <c r="F62" s="92" t="s">
        <v>332</v>
      </c>
      <c r="G62" s="92">
        <f t="shared" si="1"/>
        <v>25</v>
      </c>
      <c r="H62" s="92" t="s">
        <v>137</v>
      </c>
      <c r="I62" s="92" t="s">
        <v>190</v>
      </c>
      <c r="J62" s="92" t="s">
        <v>333</v>
      </c>
      <c r="K62" s="92">
        <v>18.0</v>
      </c>
      <c r="L62" s="92" t="s">
        <v>41</v>
      </c>
      <c r="M62" s="92" t="s">
        <v>42</v>
      </c>
      <c r="N62" s="92" t="s">
        <v>198</v>
      </c>
      <c r="O62" s="93" t="s">
        <v>25</v>
      </c>
      <c r="P62" s="22"/>
      <c r="AJ62" s="15">
        <f t="shared" si="2"/>
        <v>25</v>
      </c>
      <c r="AK62" s="16">
        <f t="shared" si="3"/>
        <v>24</v>
      </c>
    </row>
    <row r="63" ht="15.75" customHeight="1">
      <c r="A63" s="89"/>
      <c r="B63" s="90" t="s">
        <v>334</v>
      </c>
      <c r="C63" s="91" t="s">
        <v>98</v>
      </c>
      <c r="D63" s="92" t="s">
        <v>335</v>
      </c>
      <c r="E63" s="92" t="s">
        <v>37</v>
      </c>
      <c r="F63" s="92" t="s">
        <v>336</v>
      </c>
      <c r="G63" s="92">
        <f t="shared" si="1"/>
        <v>22</v>
      </c>
      <c r="H63" s="92" t="s">
        <v>71</v>
      </c>
      <c r="I63" s="92" t="s">
        <v>337</v>
      </c>
      <c r="J63" s="92" t="s">
        <v>182</v>
      </c>
      <c r="K63" s="92">
        <v>21.0</v>
      </c>
      <c r="L63" s="92" t="s">
        <v>41</v>
      </c>
      <c r="M63" s="92" t="s">
        <v>42</v>
      </c>
      <c r="N63" s="92"/>
      <c r="O63" s="93" t="s">
        <v>25</v>
      </c>
      <c r="P63" s="22"/>
      <c r="AJ63" s="15">
        <f t="shared" si="2"/>
        <v>122</v>
      </c>
      <c r="AK63" s="16">
        <f t="shared" si="3"/>
        <v>121</v>
      </c>
    </row>
    <row r="64" ht="15.75" customHeight="1">
      <c r="A64" s="89"/>
      <c r="B64" s="90" t="s">
        <v>338</v>
      </c>
      <c r="C64" s="91" t="s">
        <v>109</v>
      </c>
      <c r="D64" s="92" t="s">
        <v>339</v>
      </c>
      <c r="E64" s="92" t="s">
        <v>37</v>
      </c>
      <c r="F64" s="92" t="s">
        <v>340</v>
      </c>
      <c r="G64" s="92">
        <f t="shared" si="1"/>
        <v>25</v>
      </c>
      <c r="H64" s="92" t="s">
        <v>56</v>
      </c>
      <c r="I64" s="92" t="s">
        <v>341</v>
      </c>
      <c r="J64" s="92"/>
      <c r="K64" s="92"/>
      <c r="L64" s="92" t="s">
        <v>41</v>
      </c>
      <c r="M64" s="92" t="s">
        <v>42</v>
      </c>
      <c r="N64" s="92"/>
      <c r="O64" s="93" t="s">
        <v>25</v>
      </c>
      <c r="P64" s="22"/>
      <c r="AJ64" s="15">
        <f t="shared" si="2"/>
        <v>25</v>
      </c>
      <c r="AK64" s="16">
        <f t="shared" si="3"/>
        <v>24</v>
      </c>
    </row>
    <row r="65" ht="15.75" customHeight="1">
      <c r="A65" s="89"/>
      <c r="B65" s="90" t="s">
        <v>342</v>
      </c>
      <c r="C65" s="91" t="s">
        <v>121</v>
      </c>
      <c r="D65" s="92" t="s">
        <v>343</v>
      </c>
      <c r="E65" s="92" t="s">
        <v>37</v>
      </c>
      <c r="F65" s="92" t="s">
        <v>344</v>
      </c>
      <c r="G65" s="92">
        <f t="shared" si="1"/>
        <v>27</v>
      </c>
      <c r="H65" s="92" t="s">
        <v>117</v>
      </c>
      <c r="I65" s="92" t="s">
        <v>52</v>
      </c>
      <c r="J65" s="92" t="s">
        <v>90</v>
      </c>
      <c r="K65" s="92"/>
      <c r="L65" s="92" t="s">
        <v>41</v>
      </c>
      <c r="M65" s="92" t="s">
        <v>42</v>
      </c>
      <c r="N65" s="92"/>
      <c r="O65" s="93" t="s">
        <v>25</v>
      </c>
      <c r="P65" s="22"/>
      <c r="AJ65" s="15">
        <f t="shared" si="2"/>
        <v>27</v>
      </c>
      <c r="AK65" s="16">
        <f t="shared" si="3"/>
        <v>26</v>
      </c>
    </row>
    <row r="66" ht="15.75" customHeight="1">
      <c r="A66" s="89"/>
      <c r="B66" s="90" t="s">
        <v>345</v>
      </c>
      <c r="C66" s="91" t="s">
        <v>121</v>
      </c>
      <c r="D66" s="92" t="s">
        <v>346</v>
      </c>
      <c r="E66" s="92" t="s">
        <v>19</v>
      </c>
      <c r="F66" s="92" t="s">
        <v>347</v>
      </c>
      <c r="G66" s="92">
        <f t="shared" si="1"/>
        <v>27</v>
      </c>
      <c r="H66" s="92" t="s">
        <v>348</v>
      </c>
      <c r="I66" s="92" t="s">
        <v>89</v>
      </c>
      <c r="J66" s="92"/>
      <c r="K66" s="92"/>
      <c r="L66" s="92" t="s">
        <v>23</v>
      </c>
      <c r="M66" s="92" t="s">
        <v>24</v>
      </c>
      <c r="N66" s="92"/>
      <c r="O66" s="93" t="s">
        <v>127</v>
      </c>
      <c r="P66" s="22"/>
      <c r="AJ66" s="15">
        <f t="shared" si="2"/>
        <v>27</v>
      </c>
      <c r="AK66" s="16">
        <f t="shared" si="3"/>
        <v>26</v>
      </c>
    </row>
    <row r="67" ht="15.75" customHeight="1">
      <c r="A67" s="89"/>
      <c r="B67" s="90" t="s">
        <v>349</v>
      </c>
      <c r="C67" s="91" t="s">
        <v>121</v>
      </c>
      <c r="D67" s="92" t="s">
        <v>350</v>
      </c>
      <c r="E67" s="92" t="s">
        <v>37</v>
      </c>
      <c r="F67" s="92" t="s">
        <v>351</v>
      </c>
      <c r="G67" s="92">
        <f t="shared" si="1"/>
        <v>24</v>
      </c>
      <c r="H67" s="92" t="s">
        <v>71</v>
      </c>
      <c r="I67" s="92" t="s">
        <v>52</v>
      </c>
      <c r="J67" s="92" t="s">
        <v>352</v>
      </c>
      <c r="K67" s="92"/>
      <c r="L67" s="92" t="s">
        <v>41</v>
      </c>
      <c r="M67" s="92" t="s">
        <v>42</v>
      </c>
      <c r="N67" s="92"/>
      <c r="O67" s="93" t="s">
        <v>25</v>
      </c>
      <c r="P67" s="22"/>
      <c r="AJ67" s="15">
        <f t="shared" si="2"/>
        <v>124</v>
      </c>
      <c r="AK67" s="16">
        <f t="shared" si="3"/>
        <v>123</v>
      </c>
    </row>
    <row r="68" ht="15.75" customHeight="1">
      <c r="A68" s="89"/>
      <c r="B68" s="90" t="s">
        <v>353</v>
      </c>
      <c r="C68" s="91" t="s">
        <v>121</v>
      </c>
      <c r="D68" s="92" t="s">
        <v>354</v>
      </c>
      <c r="E68" s="92" t="s">
        <v>37</v>
      </c>
      <c r="F68" s="92" t="s">
        <v>355</v>
      </c>
      <c r="G68" s="92">
        <f t="shared" si="1"/>
        <v>26</v>
      </c>
      <c r="H68" s="92" t="s">
        <v>196</v>
      </c>
      <c r="I68" s="92" t="s">
        <v>277</v>
      </c>
      <c r="J68" s="92" t="s">
        <v>356</v>
      </c>
      <c r="K68" s="92">
        <v>23.0</v>
      </c>
      <c r="L68" s="92" t="s">
        <v>41</v>
      </c>
      <c r="M68" s="92" t="s">
        <v>42</v>
      </c>
      <c r="N68" s="92"/>
      <c r="O68" s="93" t="s">
        <v>127</v>
      </c>
      <c r="P68" s="22"/>
      <c r="AJ68" s="15">
        <f t="shared" si="2"/>
        <v>26</v>
      </c>
      <c r="AK68" s="16">
        <f t="shared" si="3"/>
        <v>25</v>
      </c>
    </row>
    <row r="69" ht="15.75" customHeight="1">
      <c r="A69" s="89"/>
      <c r="B69" s="90" t="s">
        <v>357</v>
      </c>
      <c r="C69" s="91" t="s">
        <v>121</v>
      </c>
      <c r="D69" s="92" t="s">
        <v>358</v>
      </c>
      <c r="E69" s="92" t="s">
        <v>19</v>
      </c>
      <c r="F69" s="92" t="s">
        <v>359</v>
      </c>
      <c r="G69" s="92">
        <f t="shared" si="1"/>
        <v>27</v>
      </c>
      <c r="H69" s="92" t="s">
        <v>30</v>
      </c>
      <c r="I69" s="92" t="s">
        <v>31</v>
      </c>
      <c r="J69" s="92"/>
      <c r="K69" s="92"/>
      <c r="L69" s="92" t="s">
        <v>41</v>
      </c>
      <c r="M69" s="92" t="s">
        <v>42</v>
      </c>
      <c r="N69" s="92"/>
      <c r="O69" s="93" t="s">
        <v>25</v>
      </c>
      <c r="P69" s="22"/>
      <c r="AJ69" s="15">
        <f t="shared" si="2"/>
        <v>27</v>
      </c>
      <c r="AK69" s="16">
        <f t="shared" si="3"/>
        <v>26</v>
      </c>
    </row>
    <row r="70" ht="15.75" customHeight="1">
      <c r="A70" s="89"/>
      <c r="B70" s="90" t="s">
        <v>360</v>
      </c>
      <c r="C70" s="91" t="s">
        <v>121</v>
      </c>
      <c r="D70" s="92" t="s">
        <v>361</v>
      </c>
      <c r="E70" s="92" t="s">
        <v>37</v>
      </c>
      <c r="F70" s="92" t="s">
        <v>362</v>
      </c>
      <c r="G70" s="92">
        <f t="shared" si="1"/>
        <v>26</v>
      </c>
      <c r="H70" s="92" t="s">
        <v>363</v>
      </c>
      <c r="I70" s="92" t="s">
        <v>289</v>
      </c>
      <c r="J70" s="92" t="s">
        <v>364</v>
      </c>
      <c r="K70" s="92">
        <v>19.0</v>
      </c>
      <c r="L70" s="92" t="s">
        <v>41</v>
      </c>
      <c r="M70" s="92" t="s">
        <v>42</v>
      </c>
      <c r="N70" s="92"/>
      <c r="O70" s="93" t="s">
        <v>25</v>
      </c>
      <c r="P70" s="22"/>
      <c r="AJ70" s="15">
        <f t="shared" si="2"/>
        <v>26</v>
      </c>
      <c r="AK70" s="16">
        <f t="shared" si="3"/>
        <v>25</v>
      </c>
    </row>
    <row r="71" ht="15.75" customHeight="1">
      <c r="A71" s="89"/>
      <c r="B71" s="90" t="s">
        <v>365</v>
      </c>
      <c r="C71" s="91" t="s">
        <v>121</v>
      </c>
      <c r="D71" s="92" t="s">
        <v>366</v>
      </c>
      <c r="E71" s="92" t="s">
        <v>37</v>
      </c>
      <c r="F71" s="92" t="s">
        <v>367</v>
      </c>
      <c r="G71" s="92">
        <f t="shared" si="1"/>
        <v>25</v>
      </c>
      <c r="H71" s="92" t="s">
        <v>117</v>
      </c>
      <c r="I71" s="92" t="s">
        <v>89</v>
      </c>
      <c r="J71" s="92" t="s">
        <v>90</v>
      </c>
      <c r="K71" s="92"/>
      <c r="L71" s="92" t="s">
        <v>41</v>
      </c>
      <c r="M71" s="92" t="s">
        <v>42</v>
      </c>
      <c r="N71" s="92"/>
      <c r="O71" s="93" t="s">
        <v>25</v>
      </c>
      <c r="P71" s="22"/>
      <c r="AJ71" s="15">
        <f t="shared" si="2"/>
        <v>25</v>
      </c>
      <c r="AK71" s="16">
        <f t="shared" si="3"/>
        <v>24</v>
      </c>
    </row>
    <row r="72" ht="15.75" customHeight="1">
      <c r="A72" s="89"/>
      <c r="B72" s="90" t="s">
        <v>368</v>
      </c>
      <c r="C72" s="91" t="s">
        <v>121</v>
      </c>
      <c r="D72" s="92" t="s">
        <v>369</v>
      </c>
      <c r="E72" s="92" t="s">
        <v>37</v>
      </c>
      <c r="F72" s="92" t="s">
        <v>370</v>
      </c>
      <c r="G72" s="92">
        <f t="shared" si="1"/>
        <v>24</v>
      </c>
      <c r="H72" s="92" t="s">
        <v>217</v>
      </c>
      <c r="I72" s="92" t="s">
        <v>31</v>
      </c>
      <c r="J72" s="92" t="s">
        <v>371</v>
      </c>
      <c r="K72" s="92">
        <v>19.0</v>
      </c>
      <c r="L72" s="92" t="s">
        <v>41</v>
      </c>
      <c r="M72" s="92" t="s">
        <v>42</v>
      </c>
      <c r="N72" s="92" t="s">
        <v>372</v>
      </c>
      <c r="O72" s="93" t="s">
        <v>25</v>
      </c>
      <c r="P72" s="22"/>
      <c r="AJ72" s="15">
        <f t="shared" si="2"/>
        <v>124</v>
      </c>
      <c r="AK72" s="16">
        <f t="shared" si="3"/>
        <v>123</v>
      </c>
    </row>
    <row r="73" ht="15.75" customHeight="1">
      <c r="A73" s="89"/>
      <c r="B73" s="90" t="s">
        <v>373</v>
      </c>
      <c r="C73" s="91" t="s">
        <v>121</v>
      </c>
      <c r="D73" s="92" t="s">
        <v>374</v>
      </c>
      <c r="E73" s="92" t="s">
        <v>19</v>
      </c>
      <c r="F73" s="92" t="s">
        <v>375</v>
      </c>
      <c r="G73" s="92">
        <f t="shared" si="1"/>
        <v>27</v>
      </c>
      <c r="H73" s="92" t="s">
        <v>137</v>
      </c>
      <c r="I73" s="92" t="s">
        <v>31</v>
      </c>
      <c r="J73" s="92" t="s">
        <v>239</v>
      </c>
      <c r="K73" s="92"/>
      <c r="L73" s="92" t="s">
        <v>41</v>
      </c>
      <c r="M73" s="92" t="s">
        <v>42</v>
      </c>
      <c r="N73" s="92" t="s">
        <v>33</v>
      </c>
      <c r="O73" s="93" t="s">
        <v>25</v>
      </c>
      <c r="P73" s="22"/>
      <c r="AJ73" s="15">
        <f t="shared" si="2"/>
        <v>27</v>
      </c>
      <c r="AK73" s="16">
        <f t="shared" si="3"/>
        <v>26</v>
      </c>
    </row>
    <row r="74" ht="15.75" customHeight="1">
      <c r="A74" s="89"/>
      <c r="B74" s="90" t="s">
        <v>376</v>
      </c>
      <c r="C74" s="91" t="s">
        <v>35</v>
      </c>
      <c r="D74" s="92" t="s">
        <v>377</v>
      </c>
      <c r="E74" s="92" t="s">
        <v>37</v>
      </c>
      <c r="F74" s="92" t="s">
        <v>378</v>
      </c>
      <c r="G74" s="92">
        <f t="shared" si="1"/>
        <v>24</v>
      </c>
      <c r="H74" s="92" t="s">
        <v>263</v>
      </c>
      <c r="I74" s="92" t="s">
        <v>112</v>
      </c>
      <c r="J74" s="92" t="s">
        <v>379</v>
      </c>
      <c r="K74" s="92">
        <v>20.0</v>
      </c>
      <c r="L74" s="92" t="s">
        <v>41</v>
      </c>
      <c r="M74" s="92" t="s">
        <v>42</v>
      </c>
      <c r="N74" s="92" t="s">
        <v>157</v>
      </c>
      <c r="O74" s="93" t="s">
        <v>127</v>
      </c>
      <c r="P74" s="22"/>
      <c r="AJ74" s="15">
        <f t="shared" si="2"/>
        <v>124</v>
      </c>
      <c r="AK74" s="16">
        <f t="shared" si="3"/>
        <v>123</v>
      </c>
    </row>
    <row r="75" ht="15.75" customHeight="1">
      <c r="A75" s="89"/>
      <c r="B75" s="90" t="s">
        <v>342</v>
      </c>
      <c r="C75" s="91" t="s">
        <v>121</v>
      </c>
      <c r="D75" s="92" t="s">
        <v>343</v>
      </c>
      <c r="E75" s="92" t="s">
        <v>37</v>
      </c>
      <c r="F75" s="92" t="s">
        <v>344</v>
      </c>
      <c r="G75" s="92">
        <f t="shared" si="1"/>
        <v>27</v>
      </c>
      <c r="H75" s="92" t="s">
        <v>117</v>
      </c>
      <c r="I75" s="92" t="s">
        <v>52</v>
      </c>
      <c r="J75" s="92" t="s">
        <v>90</v>
      </c>
      <c r="K75" s="92"/>
      <c r="L75" s="92" t="s">
        <v>41</v>
      </c>
      <c r="M75" s="92" t="s">
        <v>42</v>
      </c>
      <c r="N75" s="92"/>
      <c r="O75" s="93" t="s">
        <v>25</v>
      </c>
      <c r="P75" s="22"/>
      <c r="AJ75" s="15">
        <f t="shared" si="2"/>
        <v>27</v>
      </c>
      <c r="AK75" s="16">
        <f t="shared" si="3"/>
        <v>26</v>
      </c>
    </row>
    <row r="76" ht="15.75" customHeight="1">
      <c r="A76" s="89"/>
      <c r="B76" s="90" t="s">
        <v>380</v>
      </c>
      <c r="C76" s="91" t="s">
        <v>121</v>
      </c>
      <c r="D76" s="92" t="s">
        <v>381</v>
      </c>
      <c r="E76" s="92" t="s">
        <v>37</v>
      </c>
      <c r="F76" s="92" t="s">
        <v>382</v>
      </c>
      <c r="G76" s="92">
        <f t="shared" si="1"/>
        <v>25</v>
      </c>
      <c r="H76" s="92" t="s">
        <v>39</v>
      </c>
      <c r="I76" s="92" t="s">
        <v>289</v>
      </c>
      <c r="J76" s="92" t="s">
        <v>383</v>
      </c>
      <c r="K76" s="92">
        <v>18.0</v>
      </c>
      <c r="L76" s="92" t="s">
        <v>41</v>
      </c>
      <c r="M76" s="92" t="s">
        <v>42</v>
      </c>
      <c r="N76" s="92"/>
      <c r="O76" s="93" t="s">
        <v>25</v>
      </c>
      <c r="P76" s="22"/>
      <c r="AJ76" s="15">
        <f t="shared" si="2"/>
        <v>25</v>
      </c>
      <c r="AK76" s="16">
        <f t="shared" si="3"/>
        <v>24</v>
      </c>
    </row>
    <row r="77" ht="15.75" customHeight="1">
      <c r="A77" s="89"/>
      <c r="B77" s="90" t="s">
        <v>384</v>
      </c>
      <c r="C77" s="91" t="s">
        <v>35</v>
      </c>
      <c r="D77" s="92" t="s">
        <v>385</v>
      </c>
      <c r="E77" s="92" t="s">
        <v>19</v>
      </c>
      <c r="F77" s="92" t="s">
        <v>386</v>
      </c>
      <c r="G77" s="92">
        <f t="shared" si="1"/>
        <v>26</v>
      </c>
      <c r="H77" s="92" t="s">
        <v>101</v>
      </c>
      <c r="I77" s="92" t="s">
        <v>118</v>
      </c>
      <c r="J77" s="92" t="s">
        <v>284</v>
      </c>
      <c r="K77" s="92"/>
      <c r="L77" s="92" t="s">
        <v>41</v>
      </c>
      <c r="M77" s="92" t="s">
        <v>42</v>
      </c>
      <c r="N77" s="92" t="s">
        <v>301</v>
      </c>
      <c r="O77" s="93" t="s">
        <v>25</v>
      </c>
      <c r="P77" s="22"/>
      <c r="AJ77" s="15">
        <f t="shared" si="2"/>
        <v>26</v>
      </c>
      <c r="AK77" s="16">
        <f t="shared" si="3"/>
        <v>25</v>
      </c>
    </row>
    <row r="78" ht="15.75" customHeight="1">
      <c r="A78" s="89"/>
      <c r="B78" s="90" t="s">
        <v>387</v>
      </c>
      <c r="C78" s="91" t="s">
        <v>35</v>
      </c>
      <c r="D78" s="92" t="s">
        <v>388</v>
      </c>
      <c r="E78" s="92" t="s">
        <v>37</v>
      </c>
      <c r="F78" s="92" t="s">
        <v>389</v>
      </c>
      <c r="G78" s="92">
        <f t="shared" si="1"/>
        <v>23</v>
      </c>
      <c r="H78" s="92" t="s">
        <v>117</v>
      </c>
      <c r="I78" s="92" t="s">
        <v>83</v>
      </c>
      <c r="J78" s="92" t="s">
        <v>390</v>
      </c>
      <c r="K78" s="92"/>
      <c r="L78" s="92" t="s">
        <v>41</v>
      </c>
      <c r="M78" s="92" t="s">
        <v>42</v>
      </c>
      <c r="N78" s="92" t="s">
        <v>33</v>
      </c>
      <c r="O78" s="93" t="s">
        <v>25</v>
      </c>
      <c r="P78" s="22"/>
      <c r="AJ78" s="15">
        <f t="shared" si="2"/>
        <v>123</v>
      </c>
      <c r="AK78" s="16">
        <f t="shared" si="3"/>
        <v>122</v>
      </c>
    </row>
    <row r="79" ht="15.75" customHeight="1">
      <c r="A79" s="89"/>
      <c r="B79" s="90" t="s">
        <v>391</v>
      </c>
      <c r="C79" s="91" t="s">
        <v>35</v>
      </c>
      <c r="D79" s="92" t="s">
        <v>392</v>
      </c>
      <c r="E79" s="92" t="s">
        <v>37</v>
      </c>
      <c r="F79" s="92" t="s">
        <v>393</v>
      </c>
      <c r="G79" s="92">
        <f t="shared" si="1"/>
        <v>24</v>
      </c>
      <c r="H79" s="92" t="s">
        <v>348</v>
      </c>
      <c r="I79" s="92" t="s">
        <v>83</v>
      </c>
      <c r="J79" s="92" t="s">
        <v>390</v>
      </c>
      <c r="K79" s="92"/>
      <c r="L79" s="92" t="s">
        <v>41</v>
      </c>
      <c r="M79" s="92" t="s">
        <v>42</v>
      </c>
      <c r="N79" s="92"/>
      <c r="O79" s="93" t="s">
        <v>25</v>
      </c>
      <c r="P79" s="22"/>
      <c r="AJ79" s="15">
        <f t="shared" si="2"/>
        <v>124</v>
      </c>
      <c r="AK79" s="16">
        <f t="shared" si="3"/>
        <v>123</v>
      </c>
    </row>
    <row r="80" ht="15.75" customHeight="1">
      <c r="A80" s="89"/>
      <c r="B80" s="90" t="s">
        <v>394</v>
      </c>
      <c r="C80" s="91" t="s">
        <v>27</v>
      </c>
      <c r="D80" s="92" t="s">
        <v>395</v>
      </c>
      <c r="E80" s="92" t="s">
        <v>19</v>
      </c>
      <c r="F80" s="95" t="s">
        <v>396</v>
      </c>
      <c r="G80" s="92">
        <f t="shared" si="1"/>
        <v>28</v>
      </c>
      <c r="H80" s="92" t="s">
        <v>397</v>
      </c>
      <c r="I80" s="92" t="s">
        <v>398</v>
      </c>
      <c r="J80" s="92" t="s">
        <v>399</v>
      </c>
      <c r="K80" s="92">
        <v>22.0</v>
      </c>
      <c r="L80" s="92" t="s">
        <v>41</v>
      </c>
      <c r="M80" s="92" t="s">
        <v>42</v>
      </c>
      <c r="N80" s="92"/>
      <c r="O80" s="93" t="s">
        <v>25</v>
      </c>
      <c r="P80" s="22"/>
      <c r="AJ80" s="15">
        <f t="shared" si="2"/>
        <v>28</v>
      </c>
      <c r="AK80" s="16">
        <f t="shared" si="3"/>
        <v>27</v>
      </c>
    </row>
    <row r="81" ht="15.75" customHeight="1">
      <c r="A81" s="89"/>
      <c r="B81" s="90" t="s">
        <v>400</v>
      </c>
      <c r="C81" s="91" t="s">
        <v>98</v>
      </c>
      <c r="D81" s="92" t="s">
        <v>401</v>
      </c>
      <c r="E81" s="92" t="s">
        <v>37</v>
      </c>
      <c r="F81" s="92" t="s">
        <v>402</v>
      </c>
      <c r="G81" s="92">
        <f t="shared" si="1"/>
        <v>25</v>
      </c>
      <c r="H81" s="92" t="s">
        <v>189</v>
      </c>
      <c r="I81" s="92" t="s">
        <v>89</v>
      </c>
      <c r="J81" s="92" t="s">
        <v>403</v>
      </c>
      <c r="K81" s="92">
        <v>22.0</v>
      </c>
      <c r="L81" s="92" t="s">
        <v>23</v>
      </c>
      <c r="M81" s="92" t="s">
        <v>24</v>
      </c>
      <c r="N81" s="92" t="s">
        <v>33</v>
      </c>
      <c r="O81" s="93" t="s">
        <v>25</v>
      </c>
      <c r="P81" s="22"/>
      <c r="AJ81" s="15">
        <f t="shared" si="2"/>
        <v>25</v>
      </c>
      <c r="AK81" s="16">
        <f t="shared" si="3"/>
        <v>24</v>
      </c>
    </row>
    <row r="82" ht="15.75" customHeight="1">
      <c r="A82" s="89"/>
      <c r="B82" s="90" t="s">
        <v>404</v>
      </c>
      <c r="C82" s="91" t="s">
        <v>98</v>
      </c>
      <c r="D82" s="92" t="s">
        <v>405</v>
      </c>
      <c r="E82" s="92" t="s">
        <v>37</v>
      </c>
      <c r="F82" s="92" t="s">
        <v>406</v>
      </c>
      <c r="G82" s="92">
        <f t="shared" si="1"/>
        <v>24</v>
      </c>
      <c r="H82" s="92" t="s">
        <v>196</v>
      </c>
      <c r="I82" s="92" t="s">
        <v>156</v>
      </c>
      <c r="J82" s="92"/>
      <c r="K82" s="92"/>
      <c r="L82" s="92"/>
      <c r="M82" s="92"/>
      <c r="N82" s="92"/>
      <c r="O82" s="93" t="s">
        <v>25</v>
      </c>
      <c r="P82" s="22"/>
      <c r="AJ82" s="15">
        <f t="shared" si="2"/>
        <v>124</v>
      </c>
      <c r="AK82" s="16">
        <f t="shared" si="3"/>
        <v>123</v>
      </c>
    </row>
    <row r="83" ht="15.75" customHeight="1">
      <c r="A83" s="89"/>
      <c r="B83" s="90" t="s">
        <v>407</v>
      </c>
      <c r="C83" s="91" t="s">
        <v>109</v>
      </c>
      <c r="D83" s="92" t="s">
        <v>408</v>
      </c>
      <c r="E83" s="92" t="s">
        <v>19</v>
      </c>
      <c r="F83" s="92" t="s">
        <v>409</v>
      </c>
      <c r="G83" s="92">
        <f t="shared" si="1"/>
        <v>26</v>
      </c>
      <c r="H83" s="92" t="s">
        <v>78</v>
      </c>
      <c r="I83" s="92" t="s">
        <v>258</v>
      </c>
      <c r="J83" s="92" t="s">
        <v>410</v>
      </c>
      <c r="K83" s="92"/>
      <c r="L83" s="92" t="s">
        <v>41</v>
      </c>
      <c r="M83" s="92" t="s">
        <v>42</v>
      </c>
      <c r="N83" s="92"/>
      <c r="O83" s="93" t="s">
        <v>25</v>
      </c>
      <c r="P83" s="22"/>
      <c r="AJ83" s="15">
        <f t="shared" si="2"/>
        <v>26</v>
      </c>
      <c r="AK83" s="16">
        <f t="shared" si="3"/>
        <v>25</v>
      </c>
    </row>
    <row r="84" ht="15.75" customHeight="1">
      <c r="A84" s="89"/>
      <c r="B84" s="90" t="s">
        <v>411</v>
      </c>
      <c r="C84" s="91" t="s">
        <v>121</v>
      </c>
      <c r="D84" s="92" t="s">
        <v>412</v>
      </c>
      <c r="E84" s="92" t="s">
        <v>37</v>
      </c>
      <c r="F84" s="92" t="s">
        <v>413</v>
      </c>
      <c r="G84" s="92">
        <f t="shared" si="1"/>
        <v>25</v>
      </c>
      <c r="H84" s="92" t="s">
        <v>414</v>
      </c>
      <c r="I84" s="92" t="s">
        <v>112</v>
      </c>
      <c r="J84" s="92" t="s">
        <v>415</v>
      </c>
      <c r="K84" s="92"/>
      <c r="L84" s="92" t="s">
        <v>23</v>
      </c>
      <c r="M84" s="92" t="s">
        <v>416</v>
      </c>
      <c r="N84" s="92"/>
      <c r="O84" s="93" t="s">
        <v>25</v>
      </c>
      <c r="P84" s="22"/>
      <c r="AJ84" s="15">
        <f t="shared" si="2"/>
        <v>25</v>
      </c>
      <c r="AK84" s="16">
        <f t="shared" si="3"/>
        <v>24</v>
      </c>
    </row>
    <row r="85" ht="15.75" customHeight="1">
      <c r="A85" s="89"/>
      <c r="B85" s="90" t="s">
        <v>417</v>
      </c>
      <c r="C85" s="91" t="s">
        <v>121</v>
      </c>
      <c r="D85" s="92" t="s">
        <v>418</v>
      </c>
      <c r="E85" s="92" t="s">
        <v>19</v>
      </c>
      <c r="F85" s="92" t="s">
        <v>320</v>
      </c>
      <c r="G85" s="92">
        <f t="shared" si="1"/>
        <v>26</v>
      </c>
      <c r="H85" s="92" t="s">
        <v>419</v>
      </c>
      <c r="I85" s="92" t="s">
        <v>89</v>
      </c>
      <c r="J85" s="92"/>
      <c r="K85" s="92"/>
      <c r="L85" s="92" t="s">
        <v>23</v>
      </c>
      <c r="M85" s="92" t="s">
        <v>48</v>
      </c>
      <c r="N85" s="92"/>
      <c r="O85" s="93" t="s">
        <v>25</v>
      </c>
      <c r="P85" s="22"/>
      <c r="AJ85" s="15">
        <f t="shared" si="2"/>
        <v>26</v>
      </c>
      <c r="AK85" s="16">
        <f t="shared" si="3"/>
        <v>25</v>
      </c>
    </row>
    <row r="86" ht="15.75" customHeight="1">
      <c r="A86" s="89"/>
      <c r="B86" s="90" t="s">
        <v>420</v>
      </c>
      <c r="C86" s="91" t="s">
        <v>44</v>
      </c>
      <c r="D86" s="92" t="s">
        <v>421</v>
      </c>
      <c r="E86" s="92" t="s">
        <v>19</v>
      </c>
      <c r="F86" s="92" t="s">
        <v>422</v>
      </c>
      <c r="G86" s="92">
        <f t="shared" si="1"/>
        <v>25</v>
      </c>
      <c r="H86" s="92" t="s">
        <v>101</v>
      </c>
      <c r="I86" s="92" t="s">
        <v>118</v>
      </c>
      <c r="J86" s="92"/>
      <c r="K86" s="92"/>
      <c r="L86" s="92" t="s">
        <v>41</v>
      </c>
      <c r="M86" s="92" t="s">
        <v>42</v>
      </c>
      <c r="N86" s="92"/>
      <c r="O86" s="93" t="s">
        <v>127</v>
      </c>
      <c r="P86" s="22"/>
      <c r="AJ86" s="15">
        <f t="shared" si="2"/>
        <v>25</v>
      </c>
      <c r="AK86" s="16">
        <f t="shared" si="3"/>
        <v>24</v>
      </c>
    </row>
    <row r="87" ht="15.75" customHeight="1">
      <c r="A87" s="89"/>
      <c r="B87" s="90" t="s">
        <v>423</v>
      </c>
      <c r="C87" s="91" t="s">
        <v>44</v>
      </c>
      <c r="D87" s="92" t="s">
        <v>424</v>
      </c>
      <c r="E87" s="92" t="s">
        <v>19</v>
      </c>
      <c r="F87" s="92" t="s">
        <v>425</v>
      </c>
      <c r="G87" s="92">
        <f t="shared" si="1"/>
        <v>23</v>
      </c>
      <c r="H87" s="92" t="s">
        <v>56</v>
      </c>
      <c r="I87" s="92" t="s">
        <v>190</v>
      </c>
      <c r="J87" s="92"/>
      <c r="K87" s="92"/>
      <c r="L87" s="92" t="s">
        <v>41</v>
      </c>
      <c r="M87" s="92" t="s">
        <v>42</v>
      </c>
      <c r="N87" s="92"/>
      <c r="O87" s="93" t="s">
        <v>127</v>
      </c>
      <c r="P87" s="22"/>
      <c r="AJ87" s="15">
        <f t="shared" si="2"/>
        <v>123</v>
      </c>
      <c r="AK87" s="16">
        <f t="shared" si="3"/>
        <v>122</v>
      </c>
    </row>
    <row r="88" ht="15.75" customHeight="1">
      <c r="A88" s="89"/>
      <c r="B88" s="90" t="s">
        <v>426</v>
      </c>
      <c r="C88" s="91" t="s">
        <v>98</v>
      </c>
      <c r="D88" s="92" t="s">
        <v>427</v>
      </c>
      <c r="E88" s="92" t="s">
        <v>19</v>
      </c>
      <c r="F88" s="92" t="s">
        <v>428</v>
      </c>
      <c r="G88" s="92">
        <f t="shared" si="1"/>
        <v>29</v>
      </c>
      <c r="H88" s="92" t="s">
        <v>196</v>
      </c>
      <c r="I88" s="92"/>
      <c r="J88" s="92"/>
      <c r="K88" s="92"/>
      <c r="L88" s="92" t="s">
        <v>208</v>
      </c>
      <c r="M88" s="92" t="s">
        <v>42</v>
      </c>
      <c r="N88" s="92"/>
      <c r="O88" s="93" t="s">
        <v>25</v>
      </c>
      <c r="P88" s="22"/>
      <c r="AJ88" s="15">
        <f t="shared" si="2"/>
        <v>29</v>
      </c>
      <c r="AK88" s="16">
        <f t="shared" si="3"/>
        <v>28</v>
      </c>
    </row>
    <row r="89" ht="15.75" customHeight="1">
      <c r="A89" s="89"/>
      <c r="B89" s="90" t="s">
        <v>429</v>
      </c>
      <c r="C89" s="91" t="s">
        <v>109</v>
      </c>
      <c r="D89" s="92" t="s">
        <v>430</v>
      </c>
      <c r="E89" s="92" t="s">
        <v>19</v>
      </c>
      <c r="F89" s="92" t="s">
        <v>431</v>
      </c>
      <c r="G89" s="92">
        <f t="shared" si="1"/>
        <v>28</v>
      </c>
      <c r="H89" s="92" t="s">
        <v>196</v>
      </c>
      <c r="I89" s="92" t="s">
        <v>156</v>
      </c>
      <c r="J89" s="92" t="s">
        <v>284</v>
      </c>
      <c r="K89" s="92"/>
      <c r="L89" s="92" t="s">
        <v>41</v>
      </c>
      <c r="M89" s="92" t="s">
        <v>42</v>
      </c>
      <c r="N89" s="92" t="s">
        <v>272</v>
      </c>
      <c r="O89" s="93" t="s">
        <v>25</v>
      </c>
      <c r="P89" s="22"/>
      <c r="AJ89" s="15">
        <f t="shared" si="2"/>
        <v>28</v>
      </c>
      <c r="AK89" s="16">
        <f t="shared" si="3"/>
        <v>27</v>
      </c>
    </row>
    <row r="90" ht="15.75" customHeight="1">
      <c r="A90" s="89"/>
      <c r="B90" s="90" t="s">
        <v>432</v>
      </c>
      <c r="C90" s="91" t="s">
        <v>109</v>
      </c>
      <c r="D90" s="92" t="s">
        <v>433</v>
      </c>
      <c r="E90" s="92" t="s">
        <v>37</v>
      </c>
      <c r="F90" s="92" t="s">
        <v>434</v>
      </c>
      <c r="G90" s="92">
        <f t="shared" si="1"/>
        <v>26</v>
      </c>
      <c r="H90" s="92" t="s">
        <v>196</v>
      </c>
      <c r="I90" s="92" t="s">
        <v>156</v>
      </c>
      <c r="J90" s="92" t="s">
        <v>90</v>
      </c>
      <c r="K90" s="92"/>
      <c r="L90" s="92" t="s">
        <v>41</v>
      </c>
      <c r="M90" s="92" t="s">
        <v>42</v>
      </c>
      <c r="N90" s="92"/>
      <c r="O90" s="93" t="s">
        <v>25</v>
      </c>
      <c r="P90" s="22"/>
      <c r="AJ90" s="15">
        <f t="shared" si="2"/>
        <v>26</v>
      </c>
      <c r="AK90" s="16">
        <f t="shared" si="3"/>
        <v>25</v>
      </c>
    </row>
    <row r="91" ht="15.75" customHeight="1">
      <c r="A91" s="89"/>
      <c r="B91" s="96" t="s">
        <v>435</v>
      </c>
      <c r="C91" s="91" t="s">
        <v>109</v>
      </c>
      <c r="D91" s="92" t="s">
        <v>436</v>
      </c>
      <c r="E91" s="92" t="s">
        <v>37</v>
      </c>
      <c r="F91" s="92" t="s">
        <v>437</v>
      </c>
      <c r="G91" s="92">
        <f t="shared" si="1"/>
        <v>26</v>
      </c>
      <c r="H91" s="92" t="s">
        <v>348</v>
      </c>
      <c r="I91" s="92" t="s">
        <v>138</v>
      </c>
      <c r="J91" s="92" t="s">
        <v>207</v>
      </c>
      <c r="K91" s="92"/>
      <c r="L91" s="92" t="s">
        <v>41</v>
      </c>
      <c r="M91" s="92" t="s">
        <v>42</v>
      </c>
      <c r="N91" s="92" t="s">
        <v>73</v>
      </c>
      <c r="O91" s="97" t="s">
        <v>25</v>
      </c>
      <c r="P91" s="22"/>
      <c r="AJ91" s="15">
        <f t="shared" si="2"/>
        <v>26</v>
      </c>
      <c r="AK91" s="16">
        <f t="shared" si="3"/>
        <v>25</v>
      </c>
    </row>
    <row r="92" ht="15.75" customHeight="1">
      <c r="A92" s="89"/>
      <c r="B92" s="96" t="s">
        <v>438</v>
      </c>
      <c r="C92" s="98" t="s">
        <v>121</v>
      </c>
      <c r="D92" s="92" t="s">
        <v>439</v>
      </c>
      <c r="E92" s="92" t="s">
        <v>37</v>
      </c>
      <c r="F92" s="92" t="s">
        <v>440</v>
      </c>
      <c r="G92" s="92">
        <f t="shared" si="1"/>
        <v>23</v>
      </c>
      <c r="H92" s="92" t="s">
        <v>441</v>
      </c>
      <c r="I92" s="92" t="s">
        <v>89</v>
      </c>
      <c r="J92" s="92"/>
      <c r="K92" s="92">
        <v>23.0</v>
      </c>
      <c r="L92" s="92" t="s">
        <v>41</v>
      </c>
      <c r="M92" s="92" t="s">
        <v>442</v>
      </c>
      <c r="N92" s="92" t="s">
        <v>107</v>
      </c>
      <c r="O92" s="93" t="s">
        <v>25</v>
      </c>
      <c r="P92" s="22"/>
      <c r="AJ92" s="15">
        <f t="shared" si="2"/>
        <v>123</v>
      </c>
      <c r="AK92" s="16">
        <f t="shared" si="3"/>
        <v>122</v>
      </c>
    </row>
    <row r="93" ht="15.75" customHeight="1">
      <c r="A93" s="89"/>
      <c r="B93" s="90" t="s">
        <v>443</v>
      </c>
      <c r="C93" s="91" t="s">
        <v>121</v>
      </c>
      <c r="D93" s="92" t="s">
        <v>444</v>
      </c>
      <c r="E93" s="92" t="s">
        <v>37</v>
      </c>
      <c r="F93" s="92" t="s">
        <v>445</v>
      </c>
      <c r="G93" s="92">
        <f t="shared" si="1"/>
        <v>28</v>
      </c>
      <c r="H93" s="92" t="s">
        <v>441</v>
      </c>
      <c r="I93" s="92" t="s">
        <v>89</v>
      </c>
      <c r="J93" s="92"/>
      <c r="K93" s="92"/>
      <c r="L93" s="92" t="s">
        <v>41</v>
      </c>
      <c r="M93" s="92" t="s">
        <v>42</v>
      </c>
      <c r="N93" s="92" t="s">
        <v>446</v>
      </c>
      <c r="O93" s="93" t="s">
        <v>25</v>
      </c>
      <c r="P93" s="22"/>
      <c r="AJ93" s="15">
        <f t="shared" si="2"/>
        <v>28</v>
      </c>
      <c r="AK93" s="16">
        <f t="shared" si="3"/>
        <v>27</v>
      </c>
    </row>
    <row r="94" ht="15.75" customHeight="1">
      <c r="A94" s="89"/>
      <c r="B94" s="96" t="s">
        <v>447</v>
      </c>
      <c r="C94" s="91" t="s">
        <v>121</v>
      </c>
      <c r="D94" s="92" t="s">
        <v>448</v>
      </c>
      <c r="E94" s="92" t="s">
        <v>37</v>
      </c>
      <c r="F94" s="92" t="s">
        <v>252</v>
      </c>
      <c r="G94" s="92">
        <f t="shared" si="1"/>
        <v>24</v>
      </c>
      <c r="H94" s="92" t="s">
        <v>449</v>
      </c>
      <c r="I94" s="92" t="s">
        <v>264</v>
      </c>
      <c r="J94" s="92" t="s">
        <v>191</v>
      </c>
      <c r="K94" s="92"/>
      <c r="L94" s="92" t="s">
        <v>41</v>
      </c>
      <c r="M94" s="92" t="s">
        <v>42</v>
      </c>
      <c r="N94" s="92" t="s">
        <v>126</v>
      </c>
      <c r="O94" s="97" t="s">
        <v>127</v>
      </c>
      <c r="P94" s="22"/>
      <c r="AJ94" s="15">
        <f t="shared" si="2"/>
        <v>124</v>
      </c>
      <c r="AK94" s="16">
        <f t="shared" si="3"/>
        <v>123</v>
      </c>
    </row>
    <row r="95" ht="15.75" customHeight="1">
      <c r="A95" s="89"/>
      <c r="B95" s="96" t="s">
        <v>450</v>
      </c>
      <c r="C95" s="98" t="s">
        <v>121</v>
      </c>
      <c r="D95" s="92" t="s">
        <v>451</v>
      </c>
      <c r="E95" s="92" t="s">
        <v>37</v>
      </c>
      <c r="F95" s="92" t="s">
        <v>452</v>
      </c>
      <c r="G95" s="92">
        <f t="shared" si="1"/>
        <v>25</v>
      </c>
      <c r="H95" s="92" t="s">
        <v>453</v>
      </c>
      <c r="I95" s="92" t="s">
        <v>289</v>
      </c>
      <c r="J95" s="92" t="s">
        <v>454</v>
      </c>
      <c r="K95" s="92"/>
      <c r="L95" s="92" t="s">
        <v>41</v>
      </c>
      <c r="M95" s="92" t="s">
        <v>42</v>
      </c>
      <c r="N95" s="92" t="s">
        <v>59</v>
      </c>
      <c r="O95" s="93" t="s">
        <v>25</v>
      </c>
      <c r="P95" s="22"/>
      <c r="AJ95" s="15">
        <f t="shared" si="2"/>
        <v>25</v>
      </c>
      <c r="AK95" s="16">
        <f t="shared" si="3"/>
        <v>24</v>
      </c>
    </row>
    <row r="96" ht="15.75" customHeight="1">
      <c r="A96" s="89"/>
      <c r="B96" s="96" t="s">
        <v>455</v>
      </c>
      <c r="C96" s="91" t="s">
        <v>121</v>
      </c>
      <c r="D96" s="92" t="s">
        <v>456</v>
      </c>
      <c r="E96" s="92" t="s">
        <v>37</v>
      </c>
      <c r="F96" s="92" t="s">
        <v>457</v>
      </c>
      <c r="G96" s="92">
        <f t="shared" si="1"/>
        <v>24</v>
      </c>
      <c r="H96" s="92" t="s">
        <v>458</v>
      </c>
      <c r="I96" s="92" t="s">
        <v>341</v>
      </c>
      <c r="J96" s="92"/>
      <c r="K96" s="92"/>
      <c r="L96" s="92" t="s">
        <v>41</v>
      </c>
      <c r="M96" s="92" t="s">
        <v>42</v>
      </c>
      <c r="N96" s="92"/>
      <c r="O96" s="97" t="s">
        <v>127</v>
      </c>
      <c r="P96" s="22"/>
      <c r="AJ96" s="15">
        <f t="shared" si="2"/>
        <v>124</v>
      </c>
      <c r="AK96" s="16">
        <f t="shared" si="3"/>
        <v>123</v>
      </c>
    </row>
    <row r="97" ht="15.75" customHeight="1">
      <c r="A97" s="89"/>
      <c r="B97" s="96" t="s">
        <v>459</v>
      </c>
      <c r="C97" s="91" t="s">
        <v>121</v>
      </c>
      <c r="D97" s="92" t="s">
        <v>460</v>
      </c>
      <c r="E97" s="92" t="s">
        <v>37</v>
      </c>
      <c r="F97" s="92" t="s">
        <v>461</v>
      </c>
      <c r="G97" s="92">
        <f t="shared" si="1"/>
        <v>28</v>
      </c>
      <c r="H97" s="92" t="s">
        <v>142</v>
      </c>
      <c r="I97" s="92" t="s">
        <v>79</v>
      </c>
      <c r="J97" s="92" t="s">
        <v>462</v>
      </c>
      <c r="K97" s="92"/>
      <c r="L97" s="92" t="s">
        <v>23</v>
      </c>
      <c r="M97" s="92"/>
      <c r="N97" s="92"/>
      <c r="O97" s="97" t="s">
        <v>25</v>
      </c>
      <c r="P97" s="22"/>
      <c r="AJ97" s="15">
        <f t="shared" si="2"/>
        <v>28</v>
      </c>
      <c r="AK97" s="16">
        <f t="shared" si="3"/>
        <v>27</v>
      </c>
    </row>
    <row r="98" ht="15.75" customHeight="1">
      <c r="A98" s="89"/>
      <c r="B98" s="90" t="s">
        <v>463</v>
      </c>
      <c r="C98" s="91" t="s">
        <v>35</v>
      </c>
      <c r="D98" s="92" t="s">
        <v>464</v>
      </c>
      <c r="E98" s="92" t="s">
        <v>19</v>
      </c>
      <c r="F98" s="92" t="s">
        <v>465</v>
      </c>
      <c r="G98" s="92">
        <f t="shared" si="1"/>
        <v>25</v>
      </c>
      <c r="H98" s="92" t="s">
        <v>441</v>
      </c>
      <c r="I98" s="92" t="s">
        <v>147</v>
      </c>
      <c r="J98" s="92"/>
      <c r="K98" s="92">
        <v>20.0</v>
      </c>
      <c r="L98" s="92" t="s">
        <v>41</v>
      </c>
      <c r="M98" s="92" t="s">
        <v>42</v>
      </c>
      <c r="N98" s="92"/>
      <c r="O98" s="93" t="s">
        <v>25</v>
      </c>
      <c r="P98" s="22"/>
      <c r="AJ98" s="15">
        <f t="shared" si="2"/>
        <v>25</v>
      </c>
      <c r="AK98" s="16">
        <f t="shared" si="3"/>
        <v>24</v>
      </c>
    </row>
    <row r="99" ht="15.75" customHeight="1">
      <c r="A99" s="89"/>
      <c r="B99" s="90" t="s">
        <v>466</v>
      </c>
      <c r="C99" s="91" t="s">
        <v>35</v>
      </c>
      <c r="D99" s="92" t="s">
        <v>467</v>
      </c>
      <c r="E99" s="92" t="s">
        <v>37</v>
      </c>
      <c r="F99" s="92" t="s">
        <v>468</v>
      </c>
      <c r="G99" s="92">
        <f t="shared" si="1"/>
        <v>26</v>
      </c>
      <c r="H99" s="92" t="s">
        <v>56</v>
      </c>
      <c r="I99" s="92" t="s">
        <v>228</v>
      </c>
      <c r="J99" s="92"/>
      <c r="K99" s="92"/>
      <c r="L99" s="92"/>
      <c r="M99" s="92"/>
      <c r="N99" s="92" t="s">
        <v>469</v>
      </c>
      <c r="O99" s="93" t="s">
        <v>25</v>
      </c>
      <c r="P99" s="22"/>
      <c r="AJ99" s="15">
        <f t="shared" si="2"/>
        <v>26</v>
      </c>
      <c r="AK99" s="16">
        <f t="shared" si="3"/>
        <v>25</v>
      </c>
    </row>
    <row r="100" ht="15.75" customHeight="1">
      <c r="A100" s="89"/>
      <c r="B100" s="90" t="s">
        <v>470</v>
      </c>
      <c r="C100" s="91" t="s">
        <v>35</v>
      </c>
      <c r="D100" s="92" t="s">
        <v>471</v>
      </c>
      <c r="E100" s="92" t="s">
        <v>37</v>
      </c>
      <c r="F100" s="92" t="s">
        <v>472</v>
      </c>
      <c r="G100" s="92">
        <f t="shared" si="1"/>
        <v>24</v>
      </c>
      <c r="H100" s="92" t="s">
        <v>441</v>
      </c>
      <c r="I100" s="92" t="s">
        <v>31</v>
      </c>
      <c r="J100" s="92"/>
      <c r="K100" s="92">
        <v>20.0</v>
      </c>
      <c r="L100" s="92" t="s">
        <v>41</v>
      </c>
      <c r="M100" s="92" t="s">
        <v>42</v>
      </c>
      <c r="N100" s="92"/>
      <c r="O100" s="93" t="s">
        <v>25</v>
      </c>
      <c r="P100" s="22"/>
      <c r="AJ100" s="15">
        <f t="shared" si="2"/>
        <v>124</v>
      </c>
      <c r="AK100" s="16">
        <f t="shared" si="3"/>
        <v>123</v>
      </c>
    </row>
    <row r="101" ht="15.75" customHeight="1">
      <c r="A101" s="89"/>
      <c r="B101" s="90" t="s">
        <v>473</v>
      </c>
      <c r="C101" s="91" t="s">
        <v>44</v>
      </c>
      <c r="D101" s="92" t="s">
        <v>474</v>
      </c>
      <c r="E101" s="92" t="s">
        <v>19</v>
      </c>
      <c r="F101" s="92" t="s">
        <v>472</v>
      </c>
      <c r="G101" s="92">
        <f t="shared" si="1"/>
        <v>24</v>
      </c>
      <c r="H101" s="92" t="s">
        <v>189</v>
      </c>
      <c r="I101" s="92" t="s">
        <v>89</v>
      </c>
      <c r="J101" s="92"/>
      <c r="K101" s="92"/>
      <c r="L101" s="92" t="s">
        <v>41</v>
      </c>
      <c r="M101" s="92" t="s">
        <v>42</v>
      </c>
      <c r="N101" s="92" t="s">
        <v>59</v>
      </c>
      <c r="O101" s="93" t="s">
        <v>25</v>
      </c>
      <c r="P101" s="22"/>
      <c r="AJ101" s="15">
        <f t="shared" si="2"/>
        <v>124</v>
      </c>
      <c r="AK101" s="16">
        <f t="shared" si="3"/>
        <v>123</v>
      </c>
    </row>
    <row r="102" ht="15.75" customHeight="1">
      <c r="A102" s="89"/>
      <c r="B102" s="90" t="s">
        <v>475</v>
      </c>
      <c r="C102" s="91" t="s">
        <v>44</v>
      </c>
      <c r="D102" s="92" t="s">
        <v>476</v>
      </c>
      <c r="E102" s="92" t="s">
        <v>37</v>
      </c>
      <c r="F102" s="92" t="s">
        <v>477</v>
      </c>
      <c r="G102" s="92">
        <f t="shared" si="1"/>
        <v>24</v>
      </c>
      <c r="H102" s="92" t="s">
        <v>478</v>
      </c>
      <c r="I102" s="92" t="s">
        <v>258</v>
      </c>
      <c r="J102" s="92"/>
      <c r="K102" s="92"/>
      <c r="L102" s="92" t="s">
        <v>23</v>
      </c>
      <c r="M102" s="92" t="s">
        <v>479</v>
      </c>
      <c r="N102" s="92"/>
      <c r="O102" s="93" t="s">
        <v>127</v>
      </c>
      <c r="P102" s="22"/>
      <c r="AJ102" s="15">
        <f t="shared" si="2"/>
        <v>124</v>
      </c>
      <c r="AK102" s="16">
        <f t="shared" si="3"/>
        <v>123</v>
      </c>
    </row>
    <row r="103" ht="15.75" customHeight="1">
      <c r="A103" s="89"/>
      <c r="B103" s="90" t="s">
        <v>480</v>
      </c>
      <c r="C103" s="91" t="s">
        <v>44</v>
      </c>
      <c r="D103" s="92" t="s">
        <v>481</v>
      </c>
      <c r="E103" s="92" t="s">
        <v>19</v>
      </c>
      <c r="F103" s="92" t="s">
        <v>482</v>
      </c>
      <c r="G103" s="92">
        <f t="shared" si="1"/>
        <v>28</v>
      </c>
      <c r="H103" s="92" t="s">
        <v>483</v>
      </c>
      <c r="I103" s="92" t="s">
        <v>83</v>
      </c>
      <c r="J103" s="92"/>
      <c r="K103" s="92"/>
      <c r="L103" s="92" t="s">
        <v>23</v>
      </c>
      <c r="M103" s="92" t="s">
        <v>48</v>
      </c>
      <c r="N103" s="92" t="s">
        <v>107</v>
      </c>
      <c r="O103" s="93" t="s">
        <v>25</v>
      </c>
      <c r="P103" s="22"/>
      <c r="AJ103" s="15">
        <f t="shared" si="2"/>
        <v>28</v>
      </c>
      <c r="AK103" s="16">
        <f t="shared" si="3"/>
        <v>27</v>
      </c>
    </row>
    <row r="104" ht="15.75" customHeight="1">
      <c r="A104" s="89"/>
      <c r="B104" s="90" t="s">
        <v>484</v>
      </c>
      <c r="C104" s="91" t="s">
        <v>44</v>
      </c>
      <c r="D104" s="92" t="s">
        <v>485</v>
      </c>
      <c r="E104" s="92" t="s">
        <v>19</v>
      </c>
      <c r="F104" s="92" t="s">
        <v>486</v>
      </c>
      <c r="G104" s="92">
        <f t="shared" si="1"/>
        <v>28</v>
      </c>
      <c r="H104" s="92" t="s">
        <v>166</v>
      </c>
      <c r="I104" s="92" t="s">
        <v>118</v>
      </c>
      <c r="J104" s="92"/>
      <c r="K104" s="92"/>
      <c r="L104" s="92" t="s">
        <v>23</v>
      </c>
      <c r="M104" s="92" t="s">
        <v>487</v>
      </c>
      <c r="N104" s="92" t="s">
        <v>59</v>
      </c>
      <c r="O104" s="93" t="s">
        <v>25</v>
      </c>
      <c r="P104" s="22"/>
      <c r="AJ104" s="15">
        <f t="shared" si="2"/>
        <v>28</v>
      </c>
      <c r="AK104" s="16">
        <f t="shared" si="3"/>
        <v>27</v>
      </c>
    </row>
    <row r="105" ht="15.75" customHeight="1">
      <c r="A105" s="89"/>
      <c r="B105" s="90" t="s">
        <v>488</v>
      </c>
      <c r="C105" s="91" t="s">
        <v>44</v>
      </c>
      <c r="D105" s="92" t="s">
        <v>489</v>
      </c>
      <c r="E105" s="92" t="s">
        <v>19</v>
      </c>
      <c r="F105" s="92" t="s">
        <v>490</v>
      </c>
      <c r="G105" s="92">
        <f t="shared" si="1"/>
        <v>26</v>
      </c>
      <c r="H105" s="92" t="s">
        <v>263</v>
      </c>
      <c r="I105" s="92" t="s">
        <v>147</v>
      </c>
      <c r="J105" s="92"/>
      <c r="K105" s="92"/>
      <c r="L105" s="92" t="s">
        <v>41</v>
      </c>
      <c r="M105" s="92" t="s">
        <v>42</v>
      </c>
      <c r="N105" s="92" t="s">
        <v>33</v>
      </c>
      <c r="O105" s="93" t="s">
        <v>25</v>
      </c>
      <c r="P105" s="22"/>
      <c r="AJ105" s="15">
        <f t="shared" si="2"/>
        <v>26</v>
      </c>
      <c r="AK105" s="16">
        <f t="shared" si="3"/>
        <v>25</v>
      </c>
    </row>
    <row r="106" ht="15.75" customHeight="1">
      <c r="A106" s="99"/>
      <c r="B106" s="100" t="s">
        <v>491</v>
      </c>
      <c r="C106" s="101" t="s">
        <v>44</v>
      </c>
      <c r="D106" s="102" t="s">
        <v>492</v>
      </c>
      <c r="E106" s="102" t="s">
        <v>19</v>
      </c>
      <c r="F106" s="102" t="s">
        <v>493</v>
      </c>
      <c r="G106" s="102">
        <f t="shared" si="1"/>
        <v>27</v>
      </c>
      <c r="H106" s="102" t="s">
        <v>217</v>
      </c>
      <c r="I106" s="102" t="s">
        <v>190</v>
      </c>
      <c r="J106" s="102"/>
      <c r="K106" s="102"/>
      <c r="L106" s="102" t="s">
        <v>208</v>
      </c>
      <c r="M106" s="101" t="s">
        <v>42</v>
      </c>
      <c r="N106" s="102"/>
      <c r="O106" s="103" t="s">
        <v>25</v>
      </c>
      <c r="P106" s="62"/>
      <c r="AJ106" s="15">
        <f t="shared" si="2"/>
        <v>27</v>
      </c>
      <c r="AK106" s="16">
        <f t="shared" si="3"/>
        <v>26</v>
      </c>
    </row>
    <row r="107" ht="15.75" customHeight="1">
      <c r="AJ107" s="15">
        <f t="shared" si="2"/>
        <v>124</v>
      </c>
      <c r="AK107" s="16" t="str">
        <f t="shared" ref="AK107:AK129" si="4">124-VALUE(LEFT(#REF!,2))-1</f>
        <v>#REF!</v>
      </c>
    </row>
    <row r="108" ht="15.75" customHeight="1">
      <c r="AJ108" s="15">
        <f t="shared" si="2"/>
        <v>124</v>
      </c>
      <c r="AK108" s="16" t="str">
        <f t="shared" si="4"/>
        <v>#REF!</v>
      </c>
    </row>
    <row r="109" ht="15.75" customHeight="1">
      <c r="AJ109" s="15">
        <f t="shared" si="2"/>
        <v>124</v>
      </c>
      <c r="AK109" s="16" t="str">
        <f t="shared" si="4"/>
        <v>#REF!</v>
      </c>
    </row>
    <row r="110" ht="15.75" customHeight="1">
      <c r="AJ110" s="15">
        <f t="shared" si="2"/>
        <v>124</v>
      </c>
      <c r="AK110" s="16" t="str">
        <f t="shared" si="4"/>
        <v>#REF!</v>
      </c>
    </row>
    <row r="111" ht="15.75" customHeight="1">
      <c r="AJ111" s="15">
        <f t="shared" si="2"/>
        <v>124</v>
      </c>
      <c r="AK111" s="16" t="str">
        <f t="shared" si="4"/>
        <v>#REF!</v>
      </c>
    </row>
    <row r="112" ht="15.75" customHeight="1">
      <c r="AJ112" s="15">
        <f t="shared" si="2"/>
        <v>124</v>
      </c>
      <c r="AK112" s="16" t="str">
        <f t="shared" si="4"/>
        <v>#REF!</v>
      </c>
    </row>
    <row r="113" ht="15.75" customHeight="1">
      <c r="AJ113" s="15">
        <f t="shared" si="2"/>
        <v>124</v>
      </c>
      <c r="AK113" s="16" t="str">
        <f t="shared" si="4"/>
        <v>#REF!</v>
      </c>
    </row>
    <row r="114" ht="15.75" customHeight="1">
      <c r="AJ114" s="15">
        <f t="shared" si="2"/>
        <v>124</v>
      </c>
      <c r="AK114" s="16" t="str">
        <f t="shared" si="4"/>
        <v>#REF!</v>
      </c>
    </row>
    <row r="115" ht="15.75" customHeight="1">
      <c r="AJ115" s="15">
        <f t="shared" si="2"/>
        <v>124</v>
      </c>
      <c r="AK115" s="16" t="str">
        <f t="shared" si="4"/>
        <v>#REF!</v>
      </c>
    </row>
    <row r="116" ht="15.75" customHeight="1">
      <c r="AJ116" s="15">
        <f t="shared" si="2"/>
        <v>124</v>
      </c>
      <c r="AK116" s="16" t="str">
        <f t="shared" si="4"/>
        <v>#REF!</v>
      </c>
    </row>
    <row r="117" ht="15.75" customHeight="1">
      <c r="AJ117" s="15">
        <f t="shared" si="2"/>
        <v>124</v>
      </c>
      <c r="AK117" s="16" t="str">
        <f t="shared" si="4"/>
        <v>#REF!</v>
      </c>
    </row>
    <row r="118" ht="15.75" customHeight="1">
      <c r="AJ118" s="15">
        <f t="shared" si="2"/>
        <v>124</v>
      </c>
      <c r="AK118" s="16" t="str">
        <f t="shared" si="4"/>
        <v>#REF!</v>
      </c>
    </row>
    <row r="119" ht="15.75" customHeight="1">
      <c r="AJ119" s="15">
        <f t="shared" si="2"/>
        <v>124</v>
      </c>
      <c r="AK119" s="16" t="str">
        <f t="shared" si="4"/>
        <v>#REF!</v>
      </c>
    </row>
    <row r="120" ht="15.75" customHeight="1">
      <c r="AJ120" s="15">
        <f t="shared" si="2"/>
        <v>124</v>
      </c>
      <c r="AK120" s="16" t="str">
        <f t="shared" si="4"/>
        <v>#REF!</v>
      </c>
    </row>
    <row r="121" ht="15.75" customHeight="1">
      <c r="AJ121" s="15">
        <f t="shared" si="2"/>
        <v>124</v>
      </c>
      <c r="AK121" s="16" t="str">
        <f t="shared" si="4"/>
        <v>#REF!</v>
      </c>
    </row>
    <row r="122" ht="15.75" customHeight="1">
      <c r="AJ122" s="15">
        <f t="shared" si="2"/>
        <v>124</v>
      </c>
      <c r="AK122" s="16" t="str">
        <f t="shared" si="4"/>
        <v>#REF!</v>
      </c>
    </row>
    <row r="123" ht="15.75" customHeight="1">
      <c r="AJ123" s="15">
        <f t="shared" si="2"/>
        <v>124</v>
      </c>
      <c r="AK123" s="16" t="str">
        <f t="shared" si="4"/>
        <v>#REF!</v>
      </c>
    </row>
    <row r="124" ht="15.75" customHeight="1">
      <c r="AJ124" s="15">
        <f t="shared" si="2"/>
        <v>124</v>
      </c>
      <c r="AK124" s="16" t="str">
        <f t="shared" si="4"/>
        <v>#REF!</v>
      </c>
    </row>
    <row r="125" ht="15.75" customHeight="1">
      <c r="AJ125" s="15">
        <f t="shared" si="2"/>
        <v>124</v>
      </c>
      <c r="AK125" s="16" t="str">
        <f t="shared" si="4"/>
        <v>#REF!</v>
      </c>
    </row>
    <row r="126" ht="15.75" customHeight="1">
      <c r="AJ126" s="15">
        <f t="shared" si="2"/>
        <v>124</v>
      </c>
      <c r="AK126" s="16" t="str">
        <f t="shared" si="4"/>
        <v>#REF!</v>
      </c>
    </row>
    <row r="127" ht="15.75" customHeight="1">
      <c r="AJ127" s="15">
        <f t="shared" si="2"/>
        <v>124</v>
      </c>
      <c r="AK127" s="16" t="str">
        <f t="shared" si="4"/>
        <v>#REF!</v>
      </c>
    </row>
    <row r="128" ht="15.75" customHeight="1">
      <c r="AJ128" s="15">
        <f t="shared" si="2"/>
        <v>124</v>
      </c>
      <c r="AK128" s="16" t="str">
        <f t="shared" si="4"/>
        <v>#REF!</v>
      </c>
    </row>
    <row r="129" ht="15.75" customHeight="1">
      <c r="AJ129" s="15">
        <f t="shared" si="2"/>
        <v>124</v>
      </c>
      <c r="AK129" s="16" t="str">
        <f t="shared" si="4"/>
        <v>#REF!</v>
      </c>
    </row>
    <row r="130" ht="15.75" customHeight="1">
      <c r="AJ130" s="15">
        <f t="shared" si="2"/>
        <v>124</v>
      </c>
      <c r="AK130" s="16">
        <f t="shared" ref="AK130:AK218" si="5">124-VALUE(LEFT(F130,2))-1</f>
        <v>123</v>
      </c>
    </row>
    <row r="131" ht="15.75" customHeight="1">
      <c r="AJ131" s="15">
        <f t="shared" si="2"/>
        <v>124</v>
      </c>
      <c r="AK131" s="16">
        <f t="shared" si="5"/>
        <v>123</v>
      </c>
    </row>
    <row r="132" ht="15.75" customHeight="1">
      <c r="AJ132" s="15">
        <f t="shared" si="2"/>
        <v>124</v>
      </c>
      <c r="AK132" s="16">
        <f t="shared" si="5"/>
        <v>123</v>
      </c>
    </row>
    <row r="133" ht="15.75" customHeight="1">
      <c r="AJ133" s="15">
        <f t="shared" si="2"/>
        <v>124</v>
      </c>
      <c r="AK133" s="16">
        <f t="shared" si="5"/>
        <v>123</v>
      </c>
    </row>
    <row r="134" ht="15.75" customHeight="1">
      <c r="AJ134" s="15">
        <f t="shared" si="2"/>
        <v>124</v>
      </c>
      <c r="AK134" s="16">
        <f t="shared" si="5"/>
        <v>123</v>
      </c>
    </row>
    <row r="135" ht="15.75" customHeight="1">
      <c r="AJ135" s="15">
        <f t="shared" si="2"/>
        <v>124</v>
      </c>
      <c r="AK135" s="16">
        <f t="shared" si="5"/>
        <v>123</v>
      </c>
    </row>
    <row r="136" ht="15.75" customHeight="1">
      <c r="AJ136" s="15">
        <f t="shared" si="2"/>
        <v>124</v>
      </c>
      <c r="AK136" s="16">
        <f t="shared" si="5"/>
        <v>123</v>
      </c>
    </row>
    <row r="137" ht="15.75" customHeight="1">
      <c r="AJ137" s="15">
        <f t="shared" si="2"/>
        <v>124</v>
      </c>
      <c r="AK137" s="16">
        <f t="shared" si="5"/>
        <v>123</v>
      </c>
    </row>
    <row r="138" ht="15.75" customHeight="1">
      <c r="AJ138" s="15">
        <f t="shared" si="2"/>
        <v>124</v>
      </c>
      <c r="AK138" s="16">
        <f t="shared" si="5"/>
        <v>123</v>
      </c>
    </row>
    <row r="139" ht="15.75" customHeight="1">
      <c r="AJ139" s="15">
        <f t="shared" si="2"/>
        <v>124</v>
      </c>
      <c r="AK139" s="16">
        <f t="shared" si="5"/>
        <v>123</v>
      </c>
    </row>
    <row r="140" ht="15.75" customHeight="1">
      <c r="AJ140" s="15">
        <f t="shared" si="2"/>
        <v>124</v>
      </c>
      <c r="AK140" s="16">
        <f t="shared" si="5"/>
        <v>123</v>
      </c>
    </row>
    <row r="141" ht="15.75" customHeight="1">
      <c r="AJ141" s="15">
        <f t="shared" si="2"/>
        <v>124</v>
      </c>
      <c r="AK141" s="16">
        <f t="shared" si="5"/>
        <v>123</v>
      </c>
    </row>
    <row r="142" ht="15.75" customHeight="1">
      <c r="AJ142" s="15">
        <f t="shared" si="2"/>
        <v>124</v>
      </c>
      <c r="AK142" s="16">
        <f t="shared" si="5"/>
        <v>123</v>
      </c>
    </row>
    <row r="143" ht="15.75" customHeight="1">
      <c r="AJ143" s="15">
        <f t="shared" si="2"/>
        <v>124</v>
      </c>
      <c r="AK143" s="16">
        <f t="shared" si="5"/>
        <v>123</v>
      </c>
    </row>
    <row r="144" ht="15.75" customHeight="1">
      <c r="AJ144" s="15">
        <f t="shared" si="2"/>
        <v>124</v>
      </c>
      <c r="AK144" s="16">
        <f t="shared" si="5"/>
        <v>123</v>
      </c>
    </row>
    <row r="145" ht="15.75" customHeight="1">
      <c r="AJ145" s="15">
        <f t="shared" si="2"/>
        <v>124</v>
      </c>
      <c r="AK145" s="16">
        <f t="shared" si="5"/>
        <v>123</v>
      </c>
    </row>
    <row r="146" ht="15.75" customHeight="1">
      <c r="AJ146" s="15">
        <f t="shared" si="2"/>
        <v>124</v>
      </c>
      <c r="AK146" s="16">
        <f t="shared" si="5"/>
        <v>123</v>
      </c>
    </row>
    <row r="147" ht="15.75" customHeight="1">
      <c r="AJ147" s="15">
        <f t="shared" si="2"/>
        <v>124</v>
      </c>
      <c r="AK147" s="16">
        <f t="shared" si="5"/>
        <v>123</v>
      </c>
    </row>
    <row r="148" ht="15.75" customHeight="1">
      <c r="AJ148" s="15">
        <f t="shared" si="2"/>
        <v>124</v>
      </c>
      <c r="AK148" s="16">
        <f t="shared" si="5"/>
        <v>123</v>
      </c>
    </row>
    <row r="149" ht="15.75" customHeight="1">
      <c r="AJ149" s="15">
        <f t="shared" si="2"/>
        <v>124</v>
      </c>
      <c r="AK149" s="16">
        <f t="shared" si="5"/>
        <v>123</v>
      </c>
    </row>
    <row r="150" ht="15.75" customHeight="1">
      <c r="AJ150" s="15">
        <f t="shared" si="2"/>
        <v>124</v>
      </c>
      <c r="AK150" s="16">
        <f t="shared" si="5"/>
        <v>123</v>
      </c>
    </row>
    <row r="151" ht="15.75" customHeight="1">
      <c r="AJ151" s="15">
        <f t="shared" si="2"/>
        <v>124</v>
      </c>
      <c r="AK151" s="16">
        <f t="shared" si="5"/>
        <v>123</v>
      </c>
    </row>
    <row r="152" ht="15.75" customHeight="1">
      <c r="AJ152" s="15">
        <f t="shared" si="2"/>
        <v>124</v>
      </c>
      <c r="AK152" s="16">
        <f t="shared" si="5"/>
        <v>123</v>
      </c>
    </row>
    <row r="153" ht="15.75" customHeight="1">
      <c r="AJ153" s="15">
        <f t="shared" si="2"/>
        <v>124</v>
      </c>
      <c r="AK153" s="16">
        <f t="shared" si="5"/>
        <v>123</v>
      </c>
    </row>
    <row r="154" ht="15.75" customHeight="1">
      <c r="AJ154" s="15">
        <f t="shared" si="2"/>
        <v>124</v>
      </c>
      <c r="AK154" s="16">
        <f t="shared" si="5"/>
        <v>123</v>
      </c>
    </row>
    <row r="155" ht="15.75" customHeight="1">
      <c r="AJ155" s="15">
        <f t="shared" si="2"/>
        <v>124</v>
      </c>
      <c r="AK155" s="16">
        <f t="shared" si="5"/>
        <v>123</v>
      </c>
    </row>
    <row r="156" ht="15.75" customHeight="1">
      <c r="AJ156" s="15">
        <f t="shared" si="2"/>
        <v>124</v>
      </c>
      <c r="AK156" s="16">
        <f t="shared" si="5"/>
        <v>123</v>
      </c>
    </row>
    <row r="157" ht="15.75" customHeight="1">
      <c r="AJ157" s="15">
        <f t="shared" si="2"/>
        <v>124</v>
      </c>
      <c r="AK157" s="16">
        <f t="shared" si="5"/>
        <v>123</v>
      </c>
    </row>
    <row r="158" ht="15.75" customHeight="1">
      <c r="AJ158" s="15">
        <f t="shared" si="2"/>
        <v>124</v>
      </c>
      <c r="AK158" s="16">
        <f t="shared" si="5"/>
        <v>123</v>
      </c>
    </row>
    <row r="159" ht="15.75" customHeight="1">
      <c r="AJ159" s="15">
        <f t="shared" si="2"/>
        <v>124</v>
      </c>
      <c r="AK159" s="16">
        <f t="shared" si="5"/>
        <v>123</v>
      </c>
    </row>
    <row r="160" ht="15.75" customHeight="1">
      <c r="AJ160" s="15">
        <f t="shared" si="2"/>
        <v>124</v>
      </c>
      <c r="AK160" s="16">
        <f t="shared" si="5"/>
        <v>123</v>
      </c>
    </row>
    <row r="161" ht="15.75" customHeight="1">
      <c r="AJ161" s="15">
        <f t="shared" si="2"/>
        <v>124</v>
      </c>
      <c r="AK161" s="16">
        <f t="shared" si="5"/>
        <v>123</v>
      </c>
    </row>
    <row r="162" ht="15.75" customHeight="1">
      <c r="AJ162" s="15">
        <f t="shared" si="2"/>
        <v>124</v>
      </c>
      <c r="AK162" s="16">
        <f t="shared" si="5"/>
        <v>123</v>
      </c>
    </row>
    <row r="163" ht="15.75" customHeight="1">
      <c r="AJ163" s="15">
        <f t="shared" si="2"/>
        <v>124</v>
      </c>
      <c r="AK163" s="16">
        <f t="shared" si="5"/>
        <v>123</v>
      </c>
    </row>
    <row r="164" ht="15.75" customHeight="1">
      <c r="AJ164" s="15">
        <f t="shared" si="2"/>
        <v>124</v>
      </c>
      <c r="AK164" s="16">
        <f t="shared" si="5"/>
        <v>123</v>
      </c>
    </row>
    <row r="165" ht="15.75" customHeight="1">
      <c r="AJ165" s="15">
        <f t="shared" si="2"/>
        <v>124</v>
      </c>
      <c r="AK165" s="16">
        <f t="shared" si="5"/>
        <v>123</v>
      </c>
    </row>
    <row r="166" ht="15.75" customHeight="1">
      <c r="AJ166" s="15">
        <f t="shared" si="2"/>
        <v>124</v>
      </c>
      <c r="AK166" s="16">
        <f t="shared" si="5"/>
        <v>123</v>
      </c>
    </row>
    <row r="167" ht="15.75" customHeight="1">
      <c r="AJ167" s="15">
        <f t="shared" si="2"/>
        <v>124</v>
      </c>
      <c r="AK167" s="16">
        <f t="shared" si="5"/>
        <v>123</v>
      </c>
    </row>
    <row r="168" ht="15.75" customHeight="1">
      <c r="AJ168" s="15">
        <f t="shared" si="2"/>
        <v>124</v>
      </c>
      <c r="AK168" s="16">
        <f t="shared" si="5"/>
        <v>123</v>
      </c>
    </row>
    <row r="169" ht="15.75" customHeight="1">
      <c r="AJ169" s="15">
        <f t="shared" si="2"/>
        <v>124</v>
      </c>
      <c r="AK169" s="16">
        <f t="shared" si="5"/>
        <v>123</v>
      </c>
    </row>
    <row r="170" ht="15.75" customHeight="1">
      <c r="AJ170" s="15">
        <f t="shared" si="2"/>
        <v>124</v>
      </c>
      <c r="AK170" s="16">
        <f t="shared" si="5"/>
        <v>123</v>
      </c>
    </row>
    <row r="171" ht="15.75" customHeight="1">
      <c r="AJ171" s="15">
        <f t="shared" si="2"/>
        <v>124</v>
      </c>
      <c r="AK171" s="16">
        <f t="shared" si="5"/>
        <v>123</v>
      </c>
    </row>
    <row r="172" ht="15.75" customHeight="1">
      <c r="AJ172" s="15">
        <f t="shared" si="2"/>
        <v>124</v>
      </c>
      <c r="AK172" s="16">
        <f t="shared" si="5"/>
        <v>123</v>
      </c>
    </row>
    <row r="173" ht="15.75" customHeight="1">
      <c r="AJ173" s="15">
        <f t="shared" si="2"/>
        <v>124</v>
      </c>
      <c r="AK173" s="16">
        <f t="shared" si="5"/>
        <v>123</v>
      </c>
    </row>
    <row r="174" ht="15.75" customHeight="1">
      <c r="AJ174" s="15">
        <f t="shared" si="2"/>
        <v>124</v>
      </c>
      <c r="AK174" s="16">
        <f t="shared" si="5"/>
        <v>123</v>
      </c>
    </row>
    <row r="175" ht="15.75" customHeight="1">
      <c r="AJ175" s="15">
        <f t="shared" si="2"/>
        <v>124</v>
      </c>
      <c r="AK175" s="16">
        <f t="shared" si="5"/>
        <v>123</v>
      </c>
    </row>
    <row r="176" ht="15.75" customHeight="1">
      <c r="AJ176" s="15">
        <f t="shared" si="2"/>
        <v>124</v>
      </c>
      <c r="AK176" s="16">
        <f t="shared" si="5"/>
        <v>123</v>
      </c>
    </row>
    <row r="177" ht="15.75" customHeight="1">
      <c r="AJ177" s="15">
        <f t="shared" si="2"/>
        <v>124</v>
      </c>
      <c r="AK177" s="16">
        <f t="shared" si="5"/>
        <v>123</v>
      </c>
    </row>
    <row r="178" ht="15.75" customHeight="1">
      <c r="AJ178" s="15">
        <f t="shared" si="2"/>
        <v>124</v>
      </c>
      <c r="AK178" s="16">
        <f t="shared" si="5"/>
        <v>123</v>
      </c>
    </row>
    <row r="179" ht="15.75" customHeight="1">
      <c r="AJ179" s="15">
        <f t="shared" si="2"/>
        <v>124</v>
      </c>
      <c r="AK179" s="16">
        <f t="shared" si="5"/>
        <v>123</v>
      </c>
    </row>
    <row r="180" ht="15.75" customHeight="1">
      <c r="AJ180" s="15">
        <f t="shared" si="2"/>
        <v>124</v>
      </c>
      <c r="AK180" s="16">
        <f t="shared" si="5"/>
        <v>123</v>
      </c>
    </row>
    <row r="181" ht="15.75" customHeight="1">
      <c r="AJ181" s="15">
        <f t="shared" si="2"/>
        <v>124</v>
      </c>
      <c r="AK181" s="16">
        <f t="shared" si="5"/>
        <v>123</v>
      </c>
    </row>
    <row r="182" ht="15.75" customHeight="1">
      <c r="AJ182" s="15">
        <f t="shared" si="2"/>
        <v>124</v>
      </c>
      <c r="AK182" s="16">
        <f t="shared" si="5"/>
        <v>123</v>
      </c>
    </row>
    <row r="183" ht="15.75" customHeight="1">
      <c r="AJ183" s="15">
        <f t="shared" si="2"/>
        <v>124</v>
      </c>
      <c r="AK183" s="16">
        <f t="shared" si="5"/>
        <v>123</v>
      </c>
    </row>
    <row r="184" ht="15.75" customHeight="1">
      <c r="AJ184" s="15">
        <f t="shared" si="2"/>
        <v>124</v>
      </c>
      <c r="AK184" s="16">
        <f t="shared" si="5"/>
        <v>123</v>
      </c>
    </row>
    <row r="185" ht="15.75" customHeight="1">
      <c r="AJ185" s="15">
        <f t="shared" si="2"/>
        <v>124</v>
      </c>
      <c r="AK185" s="16">
        <f t="shared" si="5"/>
        <v>123</v>
      </c>
    </row>
    <row r="186" ht="15.75" customHeight="1">
      <c r="AJ186" s="15">
        <f t="shared" si="2"/>
        <v>124</v>
      </c>
      <c r="AK186" s="16">
        <f t="shared" si="5"/>
        <v>123</v>
      </c>
    </row>
    <row r="187" ht="15.75" customHeight="1">
      <c r="AJ187" s="15">
        <f t="shared" si="2"/>
        <v>124</v>
      </c>
      <c r="AK187" s="16">
        <f t="shared" si="5"/>
        <v>123</v>
      </c>
    </row>
    <row r="188" ht="15.75" customHeight="1">
      <c r="AJ188" s="15">
        <f t="shared" si="2"/>
        <v>124</v>
      </c>
      <c r="AK188" s="16">
        <f t="shared" si="5"/>
        <v>123</v>
      </c>
    </row>
    <row r="189" ht="15.75" customHeight="1">
      <c r="AJ189" s="15">
        <f t="shared" si="2"/>
        <v>124</v>
      </c>
      <c r="AK189" s="16">
        <f t="shared" si="5"/>
        <v>123</v>
      </c>
    </row>
    <row r="190" ht="15.75" customHeight="1">
      <c r="AJ190" s="15">
        <f t="shared" si="2"/>
        <v>124</v>
      </c>
      <c r="AK190" s="16">
        <f t="shared" si="5"/>
        <v>123</v>
      </c>
    </row>
    <row r="191" ht="15.75" customHeight="1">
      <c r="AJ191" s="15">
        <f t="shared" si="2"/>
        <v>124</v>
      </c>
      <c r="AK191" s="16">
        <f t="shared" si="5"/>
        <v>123</v>
      </c>
    </row>
    <row r="192" ht="15.75" customHeight="1">
      <c r="AJ192" s="15">
        <f t="shared" si="2"/>
        <v>124</v>
      </c>
      <c r="AK192" s="16">
        <f t="shared" si="5"/>
        <v>123</v>
      </c>
    </row>
    <row r="193" ht="15.75" customHeight="1">
      <c r="AJ193" s="15">
        <f t="shared" si="2"/>
        <v>124</v>
      </c>
      <c r="AK193" s="16">
        <f t="shared" si="5"/>
        <v>123</v>
      </c>
    </row>
    <row r="194" ht="15.75" customHeight="1">
      <c r="AJ194" s="15">
        <f t="shared" si="2"/>
        <v>124</v>
      </c>
      <c r="AK194" s="16">
        <f t="shared" si="5"/>
        <v>123</v>
      </c>
    </row>
    <row r="195" ht="15.75" customHeight="1">
      <c r="AJ195" s="15">
        <f t="shared" si="2"/>
        <v>124</v>
      </c>
      <c r="AK195" s="16">
        <f t="shared" si="5"/>
        <v>123</v>
      </c>
    </row>
    <row r="196" ht="15.75" customHeight="1">
      <c r="AJ196" s="15">
        <f t="shared" si="2"/>
        <v>124</v>
      </c>
      <c r="AK196" s="16">
        <f t="shared" si="5"/>
        <v>123</v>
      </c>
    </row>
    <row r="197" ht="15.75" customHeight="1">
      <c r="AJ197" s="15">
        <f t="shared" si="2"/>
        <v>124</v>
      </c>
      <c r="AK197" s="16">
        <f t="shared" si="5"/>
        <v>123</v>
      </c>
    </row>
    <row r="198" ht="15.75" customHeight="1">
      <c r="AJ198" s="15">
        <f t="shared" si="2"/>
        <v>124</v>
      </c>
      <c r="AK198" s="16">
        <f t="shared" si="5"/>
        <v>123</v>
      </c>
    </row>
    <row r="199" ht="15.75" customHeight="1">
      <c r="AJ199" s="15">
        <f t="shared" si="2"/>
        <v>124</v>
      </c>
      <c r="AK199" s="16">
        <f t="shared" si="5"/>
        <v>123</v>
      </c>
    </row>
    <row r="200" ht="15.75" customHeight="1">
      <c r="AJ200" s="15">
        <f t="shared" si="2"/>
        <v>124</v>
      </c>
      <c r="AK200" s="16">
        <f t="shared" si="5"/>
        <v>123</v>
      </c>
    </row>
    <row r="201" ht="15.75" customHeight="1">
      <c r="AJ201" s="15">
        <f t="shared" si="2"/>
        <v>124</v>
      </c>
      <c r="AK201" s="16">
        <f t="shared" si="5"/>
        <v>123</v>
      </c>
    </row>
    <row r="202" ht="15.75" customHeight="1">
      <c r="AJ202" s="15">
        <f t="shared" si="2"/>
        <v>124</v>
      </c>
      <c r="AK202" s="16">
        <f t="shared" si="5"/>
        <v>123</v>
      </c>
    </row>
    <row r="203" ht="15.75" customHeight="1">
      <c r="AJ203" s="15">
        <f t="shared" si="2"/>
        <v>124</v>
      </c>
      <c r="AK203" s="16">
        <f t="shared" si="5"/>
        <v>123</v>
      </c>
    </row>
    <row r="204" ht="15.75" customHeight="1">
      <c r="AJ204" s="15">
        <f t="shared" si="2"/>
        <v>124</v>
      </c>
      <c r="AK204" s="16">
        <f t="shared" si="5"/>
        <v>123</v>
      </c>
    </row>
    <row r="205" ht="15.75" customHeight="1">
      <c r="AJ205" s="15">
        <f t="shared" si="2"/>
        <v>124</v>
      </c>
      <c r="AK205" s="16">
        <f t="shared" si="5"/>
        <v>123</v>
      </c>
    </row>
    <row r="206" ht="15.75" customHeight="1">
      <c r="AJ206" s="15">
        <f t="shared" si="2"/>
        <v>124</v>
      </c>
      <c r="AK206" s="16">
        <f t="shared" si="5"/>
        <v>123</v>
      </c>
    </row>
    <row r="207" ht="15.75" customHeight="1">
      <c r="AJ207" s="15">
        <f t="shared" si="2"/>
        <v>124</v>
      </c>
      <c r="AK207" s="16">
        <f t="shared" si="5"/>
        <v>123</v>
      </c>
    </row>
    <row r="208" ht="15.75" customHeight="1">
      <c r="AJ208" s="15">
        <f t="shared" si="2"/>
        <v>124</v>
      </c>
      <c r="AK208" s="16">
        <f t="shared" si="5"/>
        <v>123</v>
      </c>
    </row>
    <row r="209" ht="15.75" customHeight="1">
      <c r="AJ209" s="15">
        <f t="shared" si="2"/>
        <v>124</v>
      </c>
      <c r="AK209" s="16">
        <f t="shared" si="5"/>
        <v>123</v>
      </c>
    </row>
    <row r="210" ht="15.75" customHeight="1">
      <c r="AJ210" s="15">
        <f t="shared" si="2"/>
        <v>124</v>
      </c>
      <c r="AK210" s="16">
        <f t="shared" si="5"/>
        <v>123</v>
      </c>
    </row>
    <row r="211" ht="15.75" customHeight="1">
      <c r="AJ211" s="15">
        <f t="shared" si="2"/>
        <v>124</v>
      </c>
      <c r="AK211" s="16">
        <f t="shared" si="5"/>
        <v>123</v>
      </c>
    </row>
    <row r="212" ht="15.75" customHeight="1">
      <c r="AJ212" s="15">
        <f t="shared" si="2"/>
        <v>124</v>
      </c>
      <c r="AK212" s="16">
        <f t="shared" si="5"/>
        <v>123</v>
      </c>
    </row>
    <row r="213" ht="15.75" customHeight="1">
      <c r="AJ213" s="15">
        <f t="shared" si="2"/>
        <v>124</v>
      </c>
      <c r="AK213" s="16">
        <f t="shared" si="5"/>
        <v>123</v>
      </c>
    </row>
    <row r="214" ht="15.75" customHeight="1">
      <c r="AJ214" s="15">
        <f t="shared" si="2"/>
        <v>124</v>
      </c>
      <c r="AK214" s="16">
        <f t="shared" si="5"/>
        <v>123</v>
      </c>
    </row>
    <row r="215" ht="15.75" customHeight="1">
      <c r="AJ215" s="15">
        <f t="shared" si="2"/>
        <v>124</v>
      </c>
      <c r="AK215" s="16">
        <f t="shared" si="5"/>
        <v>123</v>
      </c>
    </row>
    <row r="216" ht="15.75" customHeight="1">
      <c r="AJ216" s="15">
        <f t="shared" si="2"/>
        <v>124</v>
      </c>
      <c r="AK216" s="16">
        <f t="shared" si="5"/>
        <v>123</v>
      </c>
    </row>
    <row r="217" ht="15.75" customHeight="1">
      <c r="AJ217" s="15">
        <f t="shared" si="2"/>
        <v>124</v>
      </c>
      <c r="AK217" s="16">
        <f t="shared" si="5"/>
        <v>123</v>
      </c>
    </row>
    <row r="218" ht="15.75" customHeight="1">
      <c r="AJ218" s="15">
        <f t="shared" si="2"/>
        <v>124</v>
      </c>
      <c r="AK218" s="16">
        <f t="shared" si="5"/>
        <v>123</v>
      </c>
    </row>
    <row r="219" ht="15.75" customHeight="1">
      <c r="AJ219" s="15">
        <f t="shared" si="2"/>
        <v>124</v>
      </c>
      <c r="AK219" s="16">
        <f t="shared" ref="AK219:AK222" si="6">124-VALUE(LEFT(F224,2))-1</f>
        <v>123</v>
      </c>
    </row>
    <row r="220" ht="15.75" customHeight="1">
      <c r="AJ220" s="15">
        <f t="shared" si="2"/>
        <v>124</v>
      </c>
      <c r="AK220" s="16">
        <f t="shared" si="6"/>
        <v>123</v>
      </c>
    </row>
    <row r="221" ht="15.75" customHeight="1">
      <c r="AJ221" s="15">
        <f t="shared" si="2"/>
        <v>124</v>
      </c>
      <c r="AK221" s="16">
        <f t="shared" si="6"/>
        <v>123</v>
      </c>
    </row>
    <row r="222" ht="15.75" customHeight="1">
      <c r="AJ222" s="15">
        <f t="shared" si="2"/>
        <v>124</v>
      </c>
      <c r="AK222" s="16">
        <f t="shared" si="6"/>
        <v>123</v>
      </c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7">
    <mergeCell ref="A2:A8"/>
    <mergeCell ref="P2:P40"/>
    <mergeCell ref="A9:A40"/>
    <mergeCell ref="A41:A49"/>
    <mergeCell ref="P41:P49"/>
    <mergeCell ref="A50:A106"/>
    <mergeCell ref="P50:P10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8.14"/>
    <col customWidth="1" min="3" max="3" width="9.43"/>
    <col customWidth="1" min="4" max="4" width="16.71"/>
    <col customWidth="1" min="5" max="5" width="6.0"/>
    <col customWidth="1" min="6" max="6" width="10.29"/>
    <col customWidth="1" min="7" max="7" width="6.0"/>
    <col customWidth="1" min="8" max="8" width="11.14"/>
    <col customWidth="1" min="9" max="9" width="24.71"/>
    <col customWidth="1" min="10" max="10" width="20.0"/>
    <col customWidth="1" min="11" max="11" width="6.0"/>
    <col customWidth="1" min="12" max="13" width="10.29"/>
    <col customWidth="1" min="14" max="14" width="6.71"/>
    <col customWidth="1" min="15" max="15" width="10.29"/>
    <col customWidth="1" min="16" max="16" width="8.86"/>
    <col customWidth="1" min="17" max="37" width="8.71"/>
  </cols>
  <sheetData>
    <row r="1">
      <c r="A1" s="104">
        <v>2023.09</v>
      </c>
      <c r="B1" s="105" t="s">
        <v>0</v>
      </c>
      <c r="C1" s="106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107" t="s">
        <v>10</v>
      </c>
      <c r="M1" s="8" t="s">
        <v>11</v>
      </c>
      <c r="N1" s="8" t="s">
        <v>12</v>
      </c>
      <c r="O1" s="108" t="s">
        <v>13</v>
      </c>
      <c r="P1" s="7" t="s">
        <v>14</v>
      </c>
      <c r="AK1" s="8" t="s">
        <v>5</v>
      </c>
    </row>
    <row r="2">
      <c r="A2" s="9" t="s">
        <v>15</v>
      </c>
      <c r="B2" s="109" t="s">
        <v>26</v>
      </c>
      <c r="C2" s="110" t="s">
        <v>27</v>
      </c>
      <c r="D2" s="111" t="s">
        <v>28</v>
      </c>
      <c r="E2" s="111" t="s">
        <v>19</v>
      </c>
      <c r="F2" s="111" t="s">
        <v>29</v>
      </c>
      <c r="G2" s="111">
        <f t="shared" ref="G2:G92" si="1">IF(AJ2&gt;100,AJ2-100,AJ2)</f>
        <v>29</v>
      </c>
      <c r="H2" s="111" t="s">
        <v>30</v>
      </c>
      <c r="I2" s="111" t="s">
        <v>31</v>
      </c>
      <c r="J2" s="111" t="s">
        <v>32</v>
      </c>
      <c r="K2" s="111">
        <v>15.0</v>
      </c>
      <c r="L2" s="111" t="s">
        <v>23</v>
      </c>
      <c r="M2" s="112" t="s">
        <v>24</v>
      </c>
      <c r="N2" s="111" t="s">
        <v>33</v>
      </c>
      <c r="O2" s="113" t="s">
        <v>25</v>
      </c>
      <c r="P2" s="88">
        <v>46.0</v>
      </c>
      <c r="AJ2" s="15">
        <f t="shared" ref="AJ2:AJ93" si="2">124-VALUE(LEFT(F2,2))</f>
        <v>29</v>
      </c>
      <c r="AK2" s="16">
        <f t="shared" ref="AK2:AK98" si="3">124-VALUE(LEFT(F2,2))-1</f>
        <v>28</v>
      </c>
    </row>
    <row r="3">
      <c r="A3" s="17"/>
      <c r="B3" s="114" t="s">
        <v>85</v>
      </c>
      <c r="C3" s="115" t="s">
        <v>17</v>
      </c>
      <c r="D3" s="116" t="s">
        <v>86</v>
      </c>
      <c r="E3" s="116" t="s">
        <v>19</v>
      </c>
      <c r="F3" s="116" t="s">
        <v>87</v>
      </c>
      <c r="G3" s="111">
        <f t="shared" si="1"/>
        <v>27</v>
      </c>
      <c r="H3" s="116" t="s">
        <v>88</v>
      </c>
      <c r="I3" s="116" t="s">
        <v>89</v>
      </c>
      <c r="J3" s="116" t="s">
        <v>90</v>
      </c>
      <c r="K3" s="116">
        <v>16.0</v>
      </c>
      <c r="L3" s="116" t="s">
        <v>202</v>
      </c>
      <c r="M3" s="117" t="s">
        <v>42</v>
      </c>
      <c r="N3" s="116" t="s">
        <v>91</v>
      </c>
      <c r="O3" s="118" t="s">
        <v>25</v>
      </c>
      <c r="P3" s="22"/>
      <c r="AJ3" s="15">
        <f t="shared" si="2"/>
        <v>27</v>
      </c>
      <c r="AK3" s="16">
        <f t="shared" si="3"/>
        <v>26</v>
      </c>
    </row>
    <row r="4">
      <c r="A4" s="17"/>
      <c r="B4" s="119" t="s">
        <v>250</v>
      </c>
      <c r="C4" s="120" t="s">
        <v>17</v>
      </c>
      <c r="D4" s="121" t="s">
        <v>251</v>
      </c>
      <c r="E4" s="121" t="s">
        <v>37</v>
      </c>
      <c r="F4" s="121" t="s">
        <v>252</v>
      </c>
      <c r="G4" s="111">
        <f t="shared" si="1"/>
        <v>24</v>
      </c>
      <c r="H4" s="121" t="s">
        <v>161</v>
      </c>
      <c r="I4" s="121" t="s">
        <v>112</v>
      </c>
      <c r="J4" s="121" t="s">
        <v>253</v>
      </c>
      <c r="K4" s="121">
        <v>19.0</v>
      </c>
      <c r="L4" s="121" t="s">
        <v>41</v>
      </c>
      <c r="M4" s="120" t="s">
        <v>42</v>
      </c>
      <c r="N4" s="121" t="s">
        <v>65</v>
      </c>
      <c r="O4" s="122" t="s">
        <v>25</v>
      </c>
      <c r="P4" s="22"/>
      <c r="AJ4" s="15">
        <f t="shared" si="2"/>
        <v>124</v>
      </c>
      <c r="AK4" s="16">
        <f t="shared" si="3"/>
        <v>123</v>
      </c>
    </row>
    <row r="5">
      <c r="A5" s="17"/>
      <c r="B5" s="123" t="s">
        <v>97</v>
      </c>
      <c r="C5" s="124" t="s">
        <v>98</v>
      </c>
      <c r="D5" s="125" t="s">
        <v>99</v>
      </c>
      <c r="E5" s="125" t="s">
        <v>19</v>
      </c>
      <c r="F5" s="125" t="s">
        <v>100</v>
      </c>
      <c r="G5" s="111">
        <f t="shared" si="1"/>
        <v>24</v>
      </c>
      <c r="H5" s="125" t="s">
        <v>101</v>
      </c>
      <c r="I5" s="125" t="s">
        <v>31</v>
      </c>
      <c r="J5" s="125" t="s">
        <v>102</v>
      </c>
      <c r="K5" s="125">
        <v>19.0</v>
      </c>
      <c r="L5" s="125" t="s">
        <v>41</v>
      </c>
      <c r="M5" s="126" t="s">
        <v>42</v>
      </c>
      <c r="N5" s="125" t="s">
        <v>73</v>
      </c>
      <c r="O5" s="127" t="s">
        <v>25</v>
      </c>
      <c r="P5" s="22"/>
      <c r="AJ5" s="15">
        <f t="shared" si="2"/>
        <v>124</v>
      </c>
      <c r="AK5" s="16">
        <f t="shared" si="3"/>
        <v>123</v>
      </c>
    </row>
    <row r="6">
      <c r="A6" s="17"/>
      <c r="B6" s="128" t="s">
        <v>450</v>
      </c>
      <c r="C6" s="129" t="s">
        <v>121</v>
      </c>
      <c r="D6" s="130" t="s">
        <v>451</v>
      </c>
      <c r="E6" s="130" t="s">
        <v>37</v>
      </c>
      <c r="F6" s="130" t="s">
        <v>452</v>
      </c>
      <c r="G6" s="111">
        <f t="shared" si="1"/>
        <v>25</v>
      </c>
      <c r="H6" s="130" t="s">
        <v>453</v>
      </c>
      <c r="I6" s="130" t="s">
        <v>289</v>
      </c>
      <c r="J6" s="130" t="s">
        <v>454</v>
      </c>
      <c r="K6" s="130"/>
      <c r="L6" s="130" t="s">
        <v>41</v>
      </c>
      <c r="M6" s="131" t="s">
        <v>42</v>
      </c>
      <c r="N6" s="130" t="s">
        <v>59</v>
      </c>
      <c r="O6" s="132" t="s">
        <v>25</v>
      </c>
      <c r="P6" s="22"/>
      <c r="AJ6" s="15">
        <f t="shared" si="2"/>
        <v>25</v>
      </c>
      <c r="AK6" s="16">
        <f t="shared" si="3"/>
        <v>24</v>
      </c>
    </row>
    <row r="7">
      <c r="A7" s="25"/>
      <c r="B7" s="133" t="s">
        <v>438</v>
      </c>
      <c r="C7" s="134" t="s">
        <v>121</v>
      </c>
      <c r="D7" s="135" t="s">
        <v>439</v>
      </c>
      <c r="E7" s="135" t="s">
        <v>37</v>
      </c>
      <c r="F7" s="135" t="s">
        <v>440</v>
      </c>
      <c r="G7" s="111">
        <f t="shared" si="1"/>
        <v>23</v>
      </c>
      <c r="H7" s="135" t="s">
        <v>441</v>
      </c>
      <c r="I7" s="135" t="s">
        <v>89</v>
      </c>
      <c r="J7" s="135"/>
      <c r="K7" s="135">
        <v>23.0</v>
      </c>
      <c r="L7" s="135" t="s">
        <v>41</v>
      </c>
      <c r="M7" s="136" t="s">
        <v>442</v>
      </c>
      <c r="N7" s="135" t="s">
        <v>107</v>
      </c>
      <c r="O7" s="137" t="s">
        <v>25</v>
      </c>
      <c r="P7" s="22"/>
      <c r="AJ7" s="15">
        <f t="shared" si="2"/>
        <v>123</v>
      </c>
      <c r="AK7" s="16">
        <f t="shared" si="3"/>
        <v>122</v>
      </c>
    </row>
    <row r="8">
      <c r="A8" s="31" t="s">
        <v>66</v>
      </c>
      <c r="B8" s="138" t="s">
        <v>241</v>
      </c>
      <c r="C8" s="139" t="s">
        <v>68</v>
      </c>
      <c r="D8" s="140" t="s">
        <v>242</v>
      </c>
      <c r="E8" s="140" t="s">
        <v>37</v>
      </c>
      <c r="F8" s="140" t="s">
        <v>243</v>
      </c>
      <c r="G8" s="141">
        <f t="shared" si="1"/>
        <v>27</v>
      </c>
      <c r="H8" s="140" t="s">
        <v>39</v>
      </c>
      <c r="I8" s="140" t="s">
        <v>244</v>
      </c>
      <c r="J8" s="140" t="s">
        <v>245</v>
      </c>
      <c r="K8" s="140"/>
      <c r="L8" s="140" t="s">
        <v>23</v>
      </c>
      <c r="M8" s="139" t="s">
        <v>48</v>
      </c>
      <c r="N8" s="140"/>
      <c r="O8" s="142" t="s">
        <v>25</v>
      </c>
      <c r="P8" s="22"/>
      <c r="AJ8" s="15">
        <f t="shared" si="2"/>
        <v>27</v>
      </c>
      <c r="AK8" s="16">
        <f t="shared" si="3"/>
        <v>26</v>
      </c>
    </row>
    <row r="9">
      <c r="A9" s="22"/>
      <c r="B9" s="143" t="s">
        <v>67</v>
      </c>
      <c r="C9" s="144" t="s">
        <v>68</v>
      </c>
      <c r="D9" s="145" t="s">
        <v>69</v>
      </c>
      <c r="E9" s="145" t="s">
        <v>19</v>
      </c>
      <c r="F9" s="145" t="s">
        <v>70</v>
      </c>
      <c r="G9" s="141">
        <f t="shared" si="1"/>
        <v>28</v>
      </c>
      <c r="H9" s="145" t="s">
        <v>71</v>
      </c>
      <c r="I9" s="145" t="s">
        <v>57</v>
      </c>
      <c r="J9" s="145" t="s">
        <v>72</v>
      </c>
      <c r="K9" s="145">
        <v>17.0</v>
      </c>
      <c r="L9" s="145" t="s">
        <v>23</v>
      </c>
      <c r="M9" s="144" t="s">
        <v>23</v>
      </c>
      <c r="N9" s="145" t="s">
        <v>73</v>
      </c>
      <c r="O9" s="146" t="s">
        <v>25</v>
      </c>
      <c r="P9" s="22"/>
      <c r="AJ9" s="15">
        <f t="shared" si="2"/>
        <v>28</v>
      </c>
      <c r="AK9" s="16">
        <f t="shared" si="3"/>
        <v>27</v>
      </c>
    </row>
    <row r="10">
      <c r="A10" s="22"/>
      <c r="B10" s="147" t="s">
        <v>74</v>
      </c>
      <c r="C10" s="148" t="s">
        <v>75</v>
      </c>
      <c r="D10" s="149" t="s">
        <v>76</v>
      </c>
      <c r="E10" s="149" t="s">
        <v>19</v>
      </c>
      <c r="F10" s="149" t="s">
        <v>77</v>
      </c>
      <c r="G10" s="141">
        <f t="shared" si="1"/>
        <v>28</v>
      </c>
      <c r="H10" s="149" t="s">
        <v>78</v>
      </c>
      <c r="I10" s="150" t="s">
        <v>79</v>
      </c>
      <c r="J10" s="151"/>
      <c r="K10" s="149"/>
      <c r="L10" s="149" t="s">
        <v>23</v>
      </c>
      <c r="M10" s="148" t="s">
        <v>48</v>
      </c>
      <c r="N10" s="149"/>
      <c r="O10" s="152" t="s">
        <v>25</v>
      </c>
      <c r="P10" s="22"/>
      <c r="AJ10" s="15">
        <f t="shared" si="2"/>
        <v>28</v>
      </c>
      <c r="AK10" s="16">
        <f t="shared" si="3"/>
        <v>27</v>
      </c>
    </row>
    <row r="11">
      <c r="A11" s="22"/>
      <c r="B11" s="147" t="s">
        <v>246</v>
      </c>
      <c r="C11" s="148" t="s">
        <v>247</v>
      </c>
      <c r="D11" s="149" t="s">
        <v>248</v>
      </c>
      <c r="E11" s="149" t="s">
        <v>19</v>
      </c>
      <c r="F11" s="149" t="s">
        <v>249</v>
      </c>
      <c r="G11" s="141">
        <f t="shared" si="1"/>
        <v>26</v>
      </c>
      <c r="H11" s="149" t="s">
        <v>39</v>
      </c>
      <c r="I11" s="153" t="s">
        <v>112</v>
      </c>
      <c r="J11" s="154"/>
      <c r="K11" s="149"/>
      <c r="L11" s="149" t="s">
        <v>41</v>
      </c>
      <c r="M11" s="148" t="s">
        <v>42</v>
      </c>
      <c r="N11" s="149"/>
      <c r="O11" s="152" t="s">
        <v>25</v>
      </c>
      <c r="P11" s="22"/>
      <c r="AJ11" s="15">
        <f t="shared" si="2"/>
        <v>26</v>
      </c>
      <c r="AK11" s="16">
        <f t="shared" si="3"/>
        <v>25</v>
      </c>
    </row>
    <row r="12">
      <c r="A12" s="22"/>
      <c r="B12" s="147" t="s">
        <v>80</v>
      </c>
      <c r="C12" s="148" t="s">
        <v>17</v>
      </c>
      <c r="D12" s="149" t="s">
        <v>81</v>
      </c>
      <c r="E12" s="149" t="s">
        <v>19</v>
      </c>
      <c r="F12" s="149" t="s">
        <v>82</v>
      </c>
      <c r="G12" s="141">
        <f t="shared" si="1"/>
        <v>26</v>
      </c>
      <c r="H12" s="149" t="s">
        <v>30</v>
      </c>
      <c r="I12" s="155" t="s">
        <v>83</v>
      </c>
      <c r="J12" s="156"/>
      <c r="K12" s="149"/>
      <c r="L12" s="149" t="s">
        <v>23</v>
      </c>
      <c r="M12" s="148" t="s">
        <v>84</v>
      </c>
      <c r="N12" s="149"/>
      <c r="O12" s="152" t="s">
        <v>25</v>
      </c>
      <c r="P12" s="22"/>
      <c r="AJ12" s="15">
        <f t="shared" si="2"/>
        <v>26</v>
      </c>
      <c r="AK12" s="16">
        <f t="shared" si="3"/>
        <v>25</v>
      </c>
    </row>
    <row r="13">
      <c r="A13" s="22"/>
      <c r="B13" s="147" t="s">
        <v>16</v>
      </c>
      <c r="C13" s="148" t="s">
        <v>17</v>
      </c>
      <c r="D13" s="149" t="s">
        <v>18</v>
      </c>
      <c r="E13" s="149" t="s">
        <v>19</v>
      </c>
      <c r="F13" s="149" t="s">
        <v>20</v>
      </c>
      <c r="G13" s="141">
        <f t="shared" si="1"/>
        <v>25</v>
      </c>
      <c r="H13" s="149" t="s">
        <v>21</v>
      </c>
      <c r="I13" s="149" t="s">
        <v>22</v>
      </c>
      <c r="J13" s="149"/>
      <c r="K13" s="149"/>
      <c r="L13" s="149" t="s">
        <v>23</v>
      </c>
      <c r="M13" s="148" t="s">
        <v>24</v>
      </c>
      <c r="N13" s="149"/>
      <c r="O13" s="152" t="s">
        <v>25</v>
      </c>
      <c r="P13" s="22"/>
      <c r="AJ13" s="15">
        <f t="shared" si="2"/>
        <v>25</v>
      </c>
      <c r="AK13" s="16">
        <f t="shared" si="3"/>
        <v>24</v>
      </c>
    </row>
    <row r="14">
      <c r="A14" s="22"/>
      <c r="B14" s="147" t="s">
        <v>426</v>
      </c>
      <c r="C14" s="148" t="s">
        <v>98</v>
      </c>
      <c r="D14" s="149" t="s">
        <v>427</v>
      </c>
      <c r="E14" s="149" t="s">
        <v>19</v>
      </c>
      <c r="F14" s="149" t="s">
        <v>428</v>
      </c>
      <c r="G14" s="141">
        <f t="shared" si="1"/>
        <v>29</v>
      </c>
      <c r="H14" s="149" t="s">
        <v>196</v>
      </c>
      <c r="I14" s="149"/>
      <c r="J14" s="149"/>
      <c r="K14" s="149"/>
      <c r="L14" s="149" t="s">
        <v>208</v>
      </c>
      <c r="M14" s="148" t="s">
        <v>42</v>
      </c>
      <c r="N14" s="149"/>
      <c r="O14" s="152" t="s">
        <v>25</v>
      </c>
      <c r="P14" s="22"/>
      <c r="AJ14" s="15">
        <f t="shared" si="2"/>
        <v>29</v>
      </c>
      <c r="AK14" s="16">
        <f t="shared" si="3"/>
        <v>28</v>
      </c>
    </row>
    <row r="15">
      <c r="A15" s="22"/>
      <c r="B15" s="157" t="s">
        <v>103</v>
      </c>
      <c r="C15" s="158" t="s">
        <v>98</v>
      </c>
      <c r="D15" s="159" t="s">
        <v>104</v>
      </c>
      <c r="E15" s="159" t="s">
        <v>19</v>
      </c>
      <c r="F15" s="159" t="s">
        <v>105</v>
      </c>
      <c r="G15" s="141">
        <f t="shared" si="1"/>
        <v>27</v>
      </c>
      <c r="H15" s="159" t="s">
        <v>56</v>
      </c>
      <c r="I15" s="159" t="s">
        <v>79</v>
      </c>
      <c r="J15" s="159" t="s">
        <v>106</v>
      </c>
      <c r="K15" s="159">
        <v>19.0</v>
      </c>
      <c r="L15" s="159" t="s">
        <v>41</v>
      </c>
      <c r="M15" s="158" t="s">
        <v>42</v>
      </c>
      <c r="N15" s="159" t="s">
        <v>107</v>
      </c>
      <c r="O15" s="160" t="s">
        <v>25</v>
      </c>
      <c r="P15" s="22"/>
      <c r="AJ15" s="15">
        <f t="shared" si="2"/>
        <v>27</v>
      </c>
      <c r="AK15" s="16">
        <f t="shared" si="3"/>
        <v>26</v>
      </c>
    </row>
    <row r="16">
      <c r="A16" s="22"/>
      <c r="B16" s="157" t="s">
        <v>429</v>
      </c>
      <c r="C16" s="158" t="s">
        <v>109</v>
      </c>
      <c r="D16" s="159" t="s">
        <v>430</v>
      </c>
      <c r="E16" s="159" t="s">
        <v>19</v>
      </c>
      <c r="F16" s="159" t="s">
        <v>431</v>
      </c>
      <c r="G16" s="141">
        <f t="shared" si="1"/>
        <v>28</v>
      </c>
      <c r="H16" s="159" t="s">
        <v>196</v>
      </c>
      <c r="I16" s="159" t="s">
        <v>156</v>
      </c>
      <c r="J16" s="159" t="s">
        <v>284</v>
      </c>
      <c r="K16" s="159"/>
      <c r="L16" s="159" t="s">
        <v>41</v>
      </c>
      <c r="M16" s="158" t="s">
        <v>42</v>
      </c>
      <c r="N16" s="159" t="s">
        <v>272</v>
      </c>
      <c r="O16" s="152" t="s">
        <v>25</v>
      </c>
      <c r="P16" s="22"/>
      <c r="AJ16" s="15">
        <f t="shared" si="2"/>
        <v>28</v>
      </c>
      <c r="AK16" s="16">
        <f t="shared" si="3"/>
        <v>27</v>
      </c>
    </row>
    <row r="17">
      <c r="A17" s="22"/>
      <c r="B17" s="161" t="s">
        <v>254</v>
      </c>
      <c r="C17" s="162" t="s">
        <v>109</v>
      </c>
      <c r="D17" s="163" t="s">
        <v>255</v>
      </c>
      <c r="E17" s="163" t="s">
        <v>19</v>
      </c>
      <c r="F17" s="163" t="s">
        <v>256</v>
      </c>
      <c r="G17" s="141">
        <f t="shared" si="1"/>
        <v>27</v>
      </c>
      <c r="H17" s="163" t="s">
        <v>257</v>
      </c>
      <c r="I17" s="163" t="s">
        <v>258</v>
      </c>
      <c r="J17" s="163"/>
      <c r="K17" s="163"/>
      <c r="L17" s="163" t="s">
        <v>23</v>
      </c>
      <c r="M17" s="162" t="s">
        <v>259</v>
      </c>
      <c r="N17" s="163"/>
      <c r="O17" s="152" t="s">
        <v>25</v>
      </c>
      <c r="P17" s="22"/>
      <c r="AJ17" s="15">
        <f t="shared" si="2"/>
        <v>27</v>
      </c>
      <c r="AK17" s="16">
        <f t="shared" si="3"/>
        <v>26</v>
      </c>
    </row>
    <row r="18">
      <c r="A18" s="22"/>
      <c r="B18" s="157" t="s">
        <v>114</v>
      </c>
      <c r="C18" s="158" t="s">
        <v>109</v>
      </c>
      <c r="D18" s="159" t="s">
        <v>115</v>
      </c>
      <c r="E18" s="159" t="s">
        <v>37</v>
      </c>
      <c r="F18" s="159" t="s">
        <v>116</v>
      </c>
      <c r="G18" s="141">
        <f t="shared" si="1"/>
        <v>23</v>
      </c>
      <c r="H18" s="159" t="s">
        <v>117</v>
      </c>
      <c r="I18" s="159" t="s">
        <v>118</v>
      </c>
      <c r="J18" s="159" t="s">
        <v>119</v>
      </c>
      <c r="K18" s="159"/>
      <c r="L18" s="159" t="s">
        <v>41</v>
      </c>
      <c r="M18" s="158" t="s">
        <v>42</v>
      </c>
      <c r="N18" s="159" t="s">
        <v>65</v>
      </c>
      <c r="O18" s="160" t="s">
        <v>25</v>
      </c>
      <c r="P18" s="22"/>
      <c r="AJ18" s="15">
        <f t="shared" si="2"/>
        <v>123</v>
      </c>
      <c r="AK18" s="16">
        <f t="shared" si="3"/>
        <v>122</v>
      </c>
    </row>
    <row r="19">
      <c r="A19" s="22"/>
      <c r="B19" s="138" t="s">
        <v>432</v>
      </c>
      <c r="C19" s="139" t="s">
        <v>109</v>
      </c>
      <c r="D19" s="140" t="s">
        <v>433</v>
      </c>
      <c r="E19" s="140" t="s">
        <v>37</v>
      </c>
      <c r="F19" s="140" t="s">
        <v>434</v>
      </c>
      <c r="G19" s="141">
        <f t="shared" si="1"/>
        <v>26</v>
      </c>
      <c r="H19" s="140" t="s">
        <v>196</v>
      </c>
      <c r="I19" s="140" t="s">
        <v>156</v>
      </c>
      <c r="J19" s="140" t="s">
        <v>90</v>
      </c>
      <c r="K19" s="140"/>
      <c r="L19" s="140" t="s">
        <v>41</v>
      </c>
      <c r="M19" s="139" t="s">
        <v>42</v>
      </c>
      <c r="N19" s="140"/>
      <c r="O19" s="142" t="s">
        <v>25</v>
      </c>
      <c r="P19" s="22"/>
      <c r="AJ19" s="15">
        <f t="shared" si="2"/>
        <v>26</v>
      </c>
      <c r="AK19" s="16">
        <f t="shared" si="3"/>
        <v>25</v>
      </c>
    </row>
    <row r="20">
      <c r="A20" s="22"/>
      <c r="B20" s="161" t="s">
        <v>443</v>
      </c>
      <c r="C20" s="162" t="s">
        <v>121</v>
      </c>
      <c r="D20" s="163" t="s">
        <v>444</v>
      </c>
      <c r="E20" s="163" t="s">
        <v>37</v>
      </c>
      <c r="F20" s="163" t="s">
        <v>445</v>
      </c>
      <c r="G20" s="141">
        <f t="shared" si="1"/>
        <v>28</v>
      </c>
      <c r="H20" s="163" t="s">
        <v>441</v>
      </c>
      <c r="I20" s="163" t="s">
        <v>89</v>
      </c>
      <c r="J20" s="163"/>
      <c r="K20" s="163"/>
      <c r="L20" s="163" t="s">
        <v>41</v>
      </c>
      <c r="M20" s="162" t="s">
        <v>42</v>
      </c>
      <c r="N20" s="163" t="s">
        <v>446</v>
      </c>
      <c r="O20" s="164" t="s">
        <v>25</v>
      </c>
      <c r="P20" s="22"/>
      <c r="AJ20" s="15">
        <f t="shared" si="2"/>
        <v>28</v>
      </c>
      <c r="AK20" s="16">
        <f t="shared" si="3"/>
        <v>27</v>
      </c>
    </row>
    <row r="21" ht="15.75" customHeight="1">
      <c r="A21" s="22"/>
      <c r="B21" s="165" t="s">
        <v>260</v>
      </c>
      <c r="C21" s="166" t="s">
        <v>121</v>
      </c>
      <c r="D21" s="167" t="s">
        <v>261</v>
      </c>
      <c r="E21" s="167" t="s">
        <v>37</v>
      </c>
      <c r="F21" s="167" t="s">
        <v>262</v>
      </c>
      <c r="G21" s="141">
        <f t="shared" si="1"/>
        <v>26</v>
      </c>
      <c r="H21" s="167" t="s">
        <v>263</v>
      </c>
      <c r="I21" s="167" t="s">
        <v>264</v>
      </c>
      <c r="J21" s="167" t="s">
        <v>265</v>
      </c>
      <c r="K21" s="167"/>
      <c r="L21" s="167" t="s">
        <v>41</v>
      </c>
      <c r="M21" s="166" t="s">
        <v>42</v>
      </c>
      <c r="N21" s="167"/>
      <c r="O21" s="168" t="s">
        <v>127</v>
      </c>
      <c r="P21" s="22"/>
      <c r="AJ21" s="15">
        <f t="shared" si="2"/>
        <v>26</v>
      </c>
      <c r="AK21" s="16">
        <f t="shared" si="3"/>
        <v>25</v>
      </c>
    </row>
    <row r="22" ht="15.75" customHeight="1">
      <c r="A22" s="22"/>
      <c r="B22" s="165" t="s">
        <v>266</v>
      </c>
      <c r="C22" s="166" t="s">
        <v>121</v>
      </c>
      <c r="D22" s="167" t="s">
        <v>267</v>
      </c>
      <c r="E22" s="167" t="s">
        <v>19</v>
      </c>
      <c r="F22" s="167" t="s">
        <v>268</v>
      </c>
      <c r="G22" s="141">
        <f t="shared" si="1"/>
        <v>26</v>
      </c>
      <c r="H22" s="167" t="s">
        <v>269</v>
      </c>
      <c r="I22" s="167" t="s">
        <v>31</v>
      </c>
      <c r="J22" s="167" t="s">
        <v>270</v>
      </c>
      <c r="K22" s="167">
        <v>16.0</v>
      </c>
      <c r="L22" s="167" t="s">
        <v>208</v>
      </c>
      <c r="M22" s="166" t="s">
        <v>271</v>
      </c>
      <c r="N22" s="167" t="s">
        <v>272</v>
      </c>
      <c r="O22" s="168" t="s">
        <v>25</v>
      </c>
      <c r="P22" s="22"/>
      <c r="AJ22" s="15">
        <f t="shared" si="2"/>
        <v>26</v>
      </c>
      <c r="AK22" s="16">
        <f t="shared" si="3"/>
        <v>25</v>
      </c>
    </row>
    <row r="23" ht="15.75" customHeight="1">
      <c r="A23" s="22"/>
      <c r="B23" s="165" t="s">
        <v>463</v>
      </c>
      <c r="C23" s="166" t="s">
        <v>35</v>
      </c>
      <c r="D23" s="167" t="s">
        <v>464</v>
      </c>
      <c r="E23" s="167" t="s">
        <v>19</v>
      </c>
      <c r="F23" s="167" t="s">
        <v>465</v>
      </c>
      <c r="G23" s="141">
        <f t="shared" si="1"/>
        <v>25</v>
      </c>
      <c r="H23" s="167" t="s">
        <v>441</v>
      </c>
      <c r="I23" s="167" t="s">
        <v>147</v>
      </c>
      <c r="J23" s="167"/>
      <c r="K23" s="167">
        <v>20.0</v>
      </c>
      <c r="L23" s="167" t="s">
        <v>41</v>
      </c>
      <c r="M23" s="166" t="s">
        <v>42</v>
      </c>
      <c r="N23" s="167"/>
      <c r="O23" s="168" t="s">
        <v>25</v>
      </c>
      <c r="P23" s="22"/>
      <c r="AJ23" s="15">
        <f t="shared" si="2"/>
        <v>25</v>
      </c>
      <c r="AK23" s="16">
        <f t="shared" si="3"/>
        <v>24</v>
      </c>
    </row>
    <row r="24" ht="15.75" customHeight="1">
      <c r="A24" s="22"/>
      <c r="B24" s="157" t="s">
        <v>466</v>
      </c>
      <c r="C24" s="158" t="s">
        <v>35</v>
      </c>
      <c r="D24" s="159" t="s">
        <v>467</v>
      </c>
      <c r="E24" s="159" t="s">
        <v>37</v>
      </c>
      <c r="F24" s="159" t="s">
        <v>468</v>
      </c>
      <c r="G24" s="141">
        <f t="shared" si="1"/>
        <v>26</v>
      </c>
      <c r="H24" s="159" t="s">
        <v>56</v>
      </c>
      <c r="I24" s="159" t="s">
        <v>228</v>
      </c>
      <c r="J24" s="159"/>
      <c r="K24" s="159"/>
      <c r="L24" s="159"/>
      <c r="M24" s="158"/>
      <c r="N24" s="159" t="s">
        <v>469</v>
      </c>
      <c r="O24" s="160" t="s">
        <v>25</v>
      </c>
      <c r="P24" s="22"/>
      <c r="AJ24" s="15">
        <f t="shared" si="2"/>
        <v>26</v>
      </c>
      <c r="AK24" s="16">
        <f t="shared" si="3"/>
        <v>25</v>
      </c>
    </row>
    <row r="25" ht="15.75" customHeight="1">
      <c r="A25" s="22"/>
      <c r="B25" s="161" t="s">
        <v>470</v>
      </c>
      <c r="C25" s="162" t="s">
        <v>35</v>
      </c>
      <c r="D25" s="163" t="s">
        <v>471</v>
      </c>
      <c r="E25" s="163" t="s">
        <v>37</v>
      </c>
      <c r="F25" s="163" t="s">
        <v>472</v>
      </c>
      <c r="G25" s="141">
        <f t="shared" si="1"/>
        <v>24</v>
      </c>
      <c r="H25" s="163" t="s">
        <v>441</v>
      </c>
      <c r="I25" s="163" t="s">
        <v>31</v>
      </c>
      <c r="J25" s="163"/>
      <c r="K25" s="163">
        <v>20.0</v>
      </c>
      <c r="L25" s="163" t="s">
        <v>41</v>
      </c>
      <c r="M25" s="162" t="s">
        <v>42</v>
      </c>
      <c r="N25" s="163"/>
      <c r="O25" s="164" t="s">
        <v>25</v>
      </c>
      <c r="P25" s="22"/>
      <c r="AJ25" s="15">
        <f t="shared" si="2"/>
        <v>124</v>
      </c>
      <c r="AK25" s="16">
        <f t="shared" si="3"/>
        <v>123</v>
      </c>
    </row>
    <row r="26" ht="15.75" customHeight="1">
      <c r="A26" s="22"/>
      <c r="B26" s="165" t="s">
        <v>128</v>
      </c>
      <c r="C26" s="166" t="s">
        <v>35</v>
      </c>
      <c r="D26" s="167" t="s">
        <v>129</v>
      </c>
      <c r="E26" s="167" t="s">
        <v>37</v>
      </c>
      <c r="F26" s="167" t="s">
        <v>130</v>
      </c>
      <c r="G26" s="141">
        <f t="shared" si="1"/>
        <v>24</v>
      </c>
      <c r="H26" s="167" t="s">
        <v>131</v>
      </c>
      <c r="I26" s="167" t="s">
        <v>132</v>
      </c>
      <c r="J26" s="167" t="s">
        <v>133</v>
      </c>
      <c r="K26" s="167">
        <v>19.0</v>
      </c>
      <c r="L26" s="167" t="s">
        <v>41</v>
      </c>
      <c r="M26" s="166" t="s">
        <v>42</v>
      </c>
      <c r="N26" s="167"/>
      <c r="O26" s="168" t="s">
        <v>25</v>
      </c>
      <c r="P26" s="22"/>
      <c r="AJ26" s="15">
        <f t="shared" si="2"/>
        <v>124</v>
      </c>
      <c r="AK26" s="16">
        <f t="shared" si="3"/>
        <v>123</v>
      </c>
    </row>
    <row r="27" ht="15.75" customHeight="1">
      <c r="A27" s="22"/>
      <c r="B27" s="165" t="s">
        <v>134</v>
      </c>
      <c r="C27" s="166" t="s">
        <v>35</v>
      </c>
      <c r="D27" s="167" t="s">
        <v>135</v>
      </c>
      <c r="E27" s="167" t="s">
        <v>19</v>
      </c>
      <c r="F27" s="167" t="s">
        <v>136</v>
      </c>
      <c r="G27" s="141">
        <f t="shared" si="1"/>
        <v>26</v>
      </c>
      <c r="H27" s="167" t="s">
        <v>137</v>
      </c>
      <c r="I27" s="167" t="s">
        <v>138</v>
      </c>
      <c r="J27" s="167" t="s">
        <v>139</v>
      </c>
      <c r="K27" s="167"/>
      <c r="L27" s="167" t="s">
        <v>41</v>
      </c>
      <c r="M27" s="166" t="s">
        <v>42</v>
      </c>
      <c r="N27" s="167"/>
      <c r="O27" s="168" t="s">
        <v>127</v>
      </c>
      <c r="P27" s="22"/>
      <c r="AJ27" s="15">
        <f t="shared" si="2"/>
        <v>26</v>
      </c>
      <c r="AK27" s="16">
        <f t="shared" si="3"/>
        <v>25</v>
      </c>
    </row>
    <row r="28" ht="15.75" customHeight="1">
      <c r="A28" s="22"/>
      <c r="B28" s="165" t="s">
        <v>34</v>
      </c>
      <c r="C28" s="166" t="s">
        <v>35</v>
      </c>
      <c r="D28" s="167" t="s">
        <v>36</v>
      </c>
      <c r="E28" s="167" t="s">
        <v>37</v>
      </c>
      <c r="F28" s="167" t="s">
        <v>38</v>
      </c>
      <c r="G28" s="141">
        <f t="shared" si="1"/>
        <v>25</v>
      </c>
      <c r="H28" s="167" t="s">
        <v>39</v>
      </c>
      <c r="I28" s="167" t="s">
        <v>31</v>
      </c>
      <c r="J28" s="167" t="s">
        <v>40</v>
      </c>
      <c r="K28" s="167"/>
      <c r="L28" s="167" t="s">
        <v>41</v>
      </c>
      <c r="M28" s="166" t="s">
        <v>42</v>
      </c>
      <c r="N28" s="167"/>
      <c r="O28" s="168" t="s">
        <v>25</v>
      </c>
      <c r="P28" s="22"/>
      <c r="AJ28" s="15">
        <f t="shared" si="2"/>
        <v>25</v>
      </c>
      <c r="AK28" s="16">
        <f t="shared" si="3"/>
        <v>24</v>
      </c>
    </row>
    <row r="29" ht="15.75" customHeight="1">
      <c r="A29" s="22"/>
      <c r="B29" s="165" t="s">
        <v>273</v>
      </c>
      <c r="C29" s="166" t="s">
        <v>35</v>
      </c>
      <c r="D29" s="167" t="s">
        <v>274</v>
      </c>
      <c r="E29" s="167" t="s">
        <v>19</v>
      </c>
      <c r="F29" s="167" t="s">
        <v>275</v>
      </c>
      <c r="G29" s="141">
        <f t="shared" si="1"/>
        <v>26</v>
      </c>
      <c r="H29" s="167" t="s">
        <v>276</v>
      </c>
      <c r="I29" s="167" t="s">
        <v>277</v>
      </c>
      <c r="J29" s="167"/>
      <c r="K29" s="167"/>
      <c r="L29" s="167"/>
      <c r="M29" s="166"/>
      <c r="N29" s="167"/>
      <c r="O29" s="168" t="s">
        <v>127</v>
      </c>
      <c r="P29" s="22"/>
      <c r="AJ29" s="15">
        <f t="shared" si="2"/>
        <v>26</v>
      </c>
      <c r="AK29" s="16">
        <f t="shared" si="3"/>
        <v>25</v>
      </c>
    </row>
    <row r="30" ht="15.75" customHeight="1">
      <c r="A30" s="22"/>
      <c r="B30" s="169" t="s">
        <v>140</v>
      </c>
      <c r="C30" s="170" t="s">
        <v>35</v>
      </c>
      <c r="D30" s="171" t="s">
        <v>141</v>
      </c>
      <c r="E30" s="171" t="s">
        <v>37</v>
      </c>
      <c r="F30" s="171" t="s">
        <v>51</v>
      </c>
      <c r="G30" s="141">
        <f t="shared" si="1"/>
        <v>26</v>
      </c>
      <c r="H30" s="171" t="s">
        <v>142</v>
      </c>
      <c r="I30" s="171" t="s">
        <v>143</v>
      </c>
      <c r="J30" s="171" t="s">
        <v>90</v>
      </c>
      <c r="K30" s="171"/>
      <c r="L30" s="171" t="s">
        <v>23</v>
      </c>
      <c r="M30" s="170" t="s">
        <v>24</v>
      </c>
      <c r="N30" s="171"/>
      <c r="O30" s="172" t="s">
        <v>25</v>
      </c>
      <c r="P30" s="22"/>
      <c r="AJ30" s="15">
        <f t="shared" si="2"/>
        <v>26</v>
      </c>
      <c r="AK30" s="16">
        <f t="shared" si="3"/>
        <v>25</v>
      </c>
    </row>
    <row r="31" ht="15.75" customHeight="1">
      <c r="A31" s="22"/>
      <c r="B31" s="173" t="s">
        <v>144</v>
      </c>
      <c r="C31" s="174" t="s">
        <v>44</v>
      </c>
      <c r="D31" s="175" t="s">
        <v>145</v>
      </c>
      <c r="E31" s="175" t="s">
        <v>37</v>
      </c>
      <c r="F31" s="175" t="s">
        <v>146</v>
      </c>
      <c r="G31" s="176">
        <f t="shared" si="1"/>
        <v>26</v>
      </c>
      <c r="H31" s="175" t="s">
        <v>101</v>
      </c>
      <c r="I31" s="175" t="s">
        <v>147</v>
      </c>
      <c r="J31" s="175"/>
      <c r="K31" s="175"/>
      <c r="L31" s="175" t="s">
        <v>41</v>
      </c>
      <c r="M31" s="174" t="s">
        <v>42</v>
      </c>
      <c r="N31" s="175"/>
      <c r="O31" s="177" t="s">
        <v>127</v>
      </c>
      <c r="P31" s="22"/>
      <c r="AJ31" s="15">
        <f t="shared" si="2"/>
        <v>26</v>
      </c>
      <c r="AK31" s="16">
        <f t="shared" si="3"/>
        <v>25</v>
      </c>
    </row>
    <row r="32" ht="15.75" customHeight="1">
      <c r="A32" s="22"/>
      <c r="B32" s="173" t="s">
        <v>148</v>
      </c>
      <c r="C32" s="174" t="s">
        <v>44</v>
      </c>
      <c r="D32" s="175" t="s">
        <v>149</v>
      </c>
      <c r="E32" s="175" t="s">
        <v>37</v>
      </c>
      <c r="F32" s="175" t="s">
        <v>150</v>
      </c>
      <c r="G32" s="176">
        <f t="shared" si="1"/>
        <v>23</v>
      </c>
      <c r="H32" s="175" t="s">
        <v>151</v>
      </c>
      <c r="I32" s="175" t="s">
        <v>152</v>
      </c>
      <c r="J32" s="175"/>
      <c r="K32" s="175"/>
      <c r="L32" s="175" t="s">
        <v>41</v>
      </c>
      <c r="M32" s="174" t="s">
        <v>42</v>
      </c>
      <c r="N32" s="175"/>
      <c r="O32" s="177" t="s">
        <v>127</v>
      </c>
      <c r="P32" s="22"/>
      <c r="AJ32" s="15">
        <f t="shared" si="2"/>
        <v>123</v>
      </c>
      <c r="AK32" s="16">
        <f t="shared" si="3"/>
        <v>122</v>
      </c>
    </row>
    <row r="33" ht="15.75" customHeight="1">
      <c r="A33" s="22"/>
      <c r="B33" s="173" t="s">
        <v>473</v>
      </c>
      <c r="C33" s="174" t="s">
        <v>44</v>
      </c>
      <c r="D33" s="175" t="s">
        <v>474</v>
      </c>
      <c r="E33" s="175" t="s">
        <v>19</v>
      </c>
      <c r="F33" s="175" t="s">
        <v>472</v>
      </c>
      <c r="G33" s="176">
        <f t="shared" si="1"/>
        <v>24</v>
      </c>
      <c r="H33" s="175" t="s">
        <v>189</v>
      </c>
      <c r="I33" s="175" t="s">
        <v>89</v>
      </c>
      <c r="J33" s="175"/>
      <c r="K33" s="175"/>
      <c r="L33" s="175" t="s">
        <v>41</v>
      </c>
      <c r="M33" s="174" t="s">
        <v>42</v>
      </c>
      <c r="N33" s="175" t="s">
        <v>59</v>
      </c>
      <c r="O33" s="177" t="s">
        <v>127</v>
      </c>
      <c r="P33" s="22"/>
      <c r="AJ33" s="15">
        <f t="shared" si="2"/>
        <v>124</v>
      </c>
      <c r="AK33" s="16">
        <f t="shared" si="3"/>
        <v>123</v>
      </c>
    </row>
    <row r="34" ht="15.75" customHeight="1">
      <c r="A34" s="22"/>
      <c r="B34" s="173" t="s">
        <v>49</v>
      </c>
      <c r="C34" s="174" t="s">
        <v>44</v>
      </c>
      <c r="D34" s="175" t="s">
        <v>50</v>
      </c>
      <c r="E34" s="175" t="s">
        <v>37</v>
      </c>
      <c r="F34" s="175" t="s">
        <v>51</v>
      </c>
      <c r="G34" s="176">
        <f t="shared" si="1"/>
        <v>26</v>
      </c>
      <c r="H34" s="175" t="s">
        <v>30</v>
      </c>
      <c r="I34" s="175" t="s">
        <v>52</v>
      </c>
      <c r="J34" s="175"/>
      <c r="K34" s="175"/>
      <c r="L34" s="175" t="s">
        <v>41</v>
      </c>
      <c r="M34" s="174" t="s">
        <v>42</v>
      </c>
      <c r="N34" s="175"/>
      <c r="O34" s="177" t="s">
        <v>127</v>
      </c>
      <c r="P34" s="22"/>
      <c r="AJ34" s="15">
        <f t="shared" si="2"/>
        <v>26</v>
      </c>
      <c r="AK34" s="16">
        <f t="shared" si="3"/>
        <v>25</v>
      </c>
    </row>
    <row r="35" ht="15.75" customHeight="1">
      <c r="A35" s="22"/>
      <c r="B35" s="173" t="s">
        <v>491</v>
      </c>
      <c r="C35" s="174" t="s">
        <v>44</v>
      </c>
      <c r="D35" s="175" t="s">
        <v>492</v>
      </c>
      <c r="E35" s="175" t="s">
        <v>19</v>
      </c>
      <c r="F35" s="175" t="s">
        <v>493</v>
      </c>
      <c r="G35" s="176">
        <f t="shared" si="1"/>
        <v>27</v>
      </c>
      <c r="H35" s="175" t="s">
        <v>217</v>
      </c>
      <c r="I35" s="175" t="s">
        <v>190</v>
      </c>
      <c r="J35" s="175"/>
      <c r="K35" s="175"/>
      <c r="L35" s="175" t="s">
        <v>208</v>
      </c>
      <c r="M35" s="174" t="s">
        <v>42</v>
      </c>
      <c r="N35" s="175"/>
      <c r="O35" s="177" t="s">
        <v>127</v>
      </c>
      <c r="P35" s="22"/>
      <c r="AJ35" s="15">
        <f t="shared" si="2"/>
        <v>27</v>
      </c>
      <c r="AK35" s="16">
        <f t="shared" si="3"/>
        <v>26</v>
      </c>
    </row>
    <row r="36" ht="15.75" customHeight="1">
      <c r="A36" s="22"/>
      <c r="B36" s="173" t="s">
        <v>278</v>
      </c>
      <c r="C36" s="174" t="s">
        <v>44</v>
      </c>
      <c r="D36" s="175" t="s">
        <v>279</v>
      </c>
      <c r="E36" s="175" t="s">
        <v>19</v>
      </c>
      <c r="F36" s="175" t="s">
        <v>280</v>
      </c>
      <c r="G36" s="176">
        <f t="shared" si="1"/>
        <v>27</v>
      </c>
      <c r="H36" s="175" t="s">
        <v>142</v>
      </c>
      <c r="I36" s="175" t="s">
        <v>143</v>
      </c>
      <c r="J36" s="175"/>
      <c r="K36" s="175"/>
      <c r="L36" s="175" t="s">
        <v>41</v>
      </c>
      <c r="M36" s="174" t="s">
        <v>42</v>
      </c>
      <c r="N36" s="175"/>
      <c r="O36" s="177" t="s">
        <v>127</v>
      </c>
      <c r="P36" s="22"/>
      <c r="AJ36" s="15">
        <f t="shared" si="2"/>
        <v>27</v>
      </c>
      <c r="AK36" s="16">
        <f t="shared" si="3"/>
        <v>26</v>
      </c>
    </row>
    <row r="37" ht="15.75" customHeight="1">
      <c r="A37" s="22"/>
      <c r="B37" s="173" t="s">
        <v>153</v>
      </c>
      <c r="C37" s="174" t="s">
        <v>44</v>
      </c>
      <c r="D37" s="175" t="s">
        <v>154</v>
      </c>
      <c r="E37" s="175" t="s">
        <v>19</v>
      </c>
      <c r="F37" s="175" t="s">
        <v>155</v>
      </c>
      <c r="G37" s="176">
        <f t="shared" si="1"/>
        <v>27</v>
      </c>
      <c r="H37" s="175" t="s">
        <v>117</v>
      </c>
      <c r="I37" s="175" t="s">
        <v>156</v>
      </c>
      <c r="J37" s="175"/>
      <c r="K37" s="175"/>
      <c r="L37" s="175" t="s">
        <v>41</v>
      </c>
      <c r="M37" s="174" t="s">
        <v>42</v>
      </c>
      <c r="N37" s="175" t="s">
        <v>157</v>
      </c>
      <c r="O37" s="177" t="s">
        <v>127</v>
      </c>
      <c r="P37" s="22"/>
      <c r="AJ37" s="15">
        <f t="shared" si="2"/>
        <v>27</v>
      </c>
      <c r="AK37" s="16">
        <f t="shared" si="3"/>
        <v>26</v>
      </c>
    </row>
    <row r="38" ht="15.75" customHeight="1">
      <c r="A38" s="22"/>
      <c r="B38" s="173" t="s">
        <v>158</v>
      </c>
      <c r="C38" s="174" t="s">
        <v>44</v>
      </c>
      <c r="D38" s="175" t="s">
        <v>159</v>
      </c>
      <c r="E38" s="175" t="s">
        <v>19</v>
      </c>
      <c r="F38" s="175" t="s">
        <v>160</v>
      </c>
      <c r="G38" s="176">
        <f t="shared" si="1"/>
        <v>28</v>
      </c>
      <c r="H38" s="175" t="s">
        <v>161</v>
      </c>
      <c r="I38" s="175" t="s">
        <v>162</v>
      </c>
      <c r="J38" s="175"/>
      <c r="K38" s="175"/>
      <c r="L38" s="175" t="s">
        <v>23</v>
      </c>
      <c r="M38" s="174" t="s">
        <v>48</v>
      </c>
      <c r="N38" s="175"/>
      <c r="O38" s="177" t="s">
        <v>127</v>
      </c>
      <c r="P38" s="22"/>
      <c r="AJ38" s="15">
        <f t="shared" si="2"/>
        <v>28</v>
      </c>
      <c r="AK38" s="16">
        <f t="shared" si="3"/>
        <v>27</v>
      </c>
    </row>
    <row r="39" ht="15.75" customHeight="1">
      <c r="A39" s="22"/>
      <c r="B39" s="173" t="s">
        <v>484</v>
      </c>
      <c r="C39" s="174" t="s">
        <v>44</v>
      </c>
      <c r="D39" s="175" t="s">
        <v>485</v>
      </c>
      <c r="E39" s="175" t="s">
        <v>19</v>
      </c>
      <c r="F39" s="175" t="s">
        <v>486</v>
      </c>
      <c r="G39" s="176">
        <f t="shared" si="1"/>
        <v>28</v>
      </c>
      <c r="H39" s="175" t="s">
        <v>166</v>
      </c>
      <c r="I39" s="175" t="s">
        <v>118</v>
      </c>
      <c r="J39" s="175"/>
      <c r="K39" s="175"/>
      <c r="L39" s="175" t="s">
        <v>23</v>
      </c>
      <c r="M39" s="174" t="s">
        <v>487</v>
      </c>
      <c r="N39" s="175" t="s">
        <v>59</v>
      </c>
      <c r="O39" s="177" t="s">
        <v>127</v>
      </c>
      <c r="P39" s="22"/>
      <c r="AJ39" s="15">
        <f t="shared" si="2"/>
        <v>28</v>
      </c>
      <c r="AK39" s="16">
        <f t="shared" si="3"/>
        <v>27</v>
      </c>
    </row>
    <row r="40" ht="15.75" customHeight="1">
      <c r="A40" s="22"/>
      <c r="B40" s="173" t="s">
        <v>488</v>
      </c>
      <c r="C40" s="174" t="s">
        <v>44</v>
      </c>
      <c r="D40" s="175" t="s">
        <v>489</v>
      </c>
      <c r="E40" s="175" t="s">
        <v>19</v>
      </c>
      <c r="F40" s="175" t="s">
        <v>490</v>
      </c>
      <c r="G40" s="176">
        <f t="shared" si="1"/>
        <v>26</v>
      </c>
      <c r="H40" s="175" t="s">
        <v>263</v>
      </c>
      <c r="I40" s="175" t="s">
        <v>147</v>
      </c>
      <c r="J40" s="175"/>
      <c r="K40" s="175"/>
      <c r="L40" s="175" t="s">
        <v>41</v>
      </c>
      <c r="M40" s="174" t="s">
        <v>42</v>
      </c>
      <c r="N40" s="175" t="s">
        <v>33</v>
      </c>
      <c r="O40" s="177" t="s">
        <v>127</v>
      </c>
      <c r="P40" s="22"/>
      <c r="AJ40" s="15">
        <f t="shared" si="2"/>
        <v>26</v>
      </c>
      <c r="AK40" s="16">
        <f t="shared" si="3"/>
        <v>25</v>
      </c>
    </row>
    <row r="41" ht="15.75" customHeight="1">
      <c r="A41" s="22"/>
      <c r="B41" s="173" t="s">
        <v>43</v>
      </c>
      <c r="C41" s="174" t="s">
        <v>44</v>
      </c>
      <c r="D41" s="175" t="s">
        <v>45</v>
      </c>
      <c r="E41" s="175" t="s">
        <v>19</v>
      </c>
      <c r="F41" s="175" t="s">
        <v>46</v>
      </c>
      <c r="G41" s="176">
        <f t="shared" si="1"/>
        <v>27</v>
      </c>
      <c r="H41" s="175" t="s">
        <v>21</v>
      </c>
      <c r="I41" s="175" t="s">
        <v>47</v>
      </c>
      <c r="J41" s="175"/>
      <c r="K41" s="175"/>
      <c r="L41" s="175" t="s">
        <v>23</v>
      </c>
      <c r="M41" s="174" t="s">
        <v>48</v>
      </c>
      <c r="N41" s="175"/>
      <c r="O41" s="177" t="s">
        <v>127</v>
      </c>
      <c r="P41" s="22"/>
      <c r="AJ41" s="15">
        <f t="shared" si="2"/>
        <v>27</v>
      </c>
      <c r="AK41" s="16">
        <f t="shared" si="3"/>
        <v>26</v>
      </c>
    </row>
    <row r="42" ht="15.75" customHeight="1">
      <c r="A42" s="22"/>
      <c r="B42" s="173" t="s">
        <v>163</v>
      </c>
      <c r="C42" s="174" t="s">
        <v>44</v>
      </c>
      <c r="D42" s="175" t="s">
        <v>164</v>
      </c>
      <c r="E42" s="175" t="s">
        <v>19</v>
      </c>
      <c r="F42" s="175" t="s">
        <v>165</v>
      </c>
      <c r="G42" s="176">
        <f t="shared" si="1"/>
        <v>26</v>
      </c>
      <c r="H42" s="175" t="s">
        <v>166</v>
      </c>
      <c r="I42" s="175" t="s">
        <v>89</v>
      </c>
      <c r="J42" s="175" t="s">
        <v>167</v>
      </c>
      <c r="K42" s="175"/>
      <c r="L42" s="175" t="s">
        <v>41</v>
      </c>
      <c r="M42" s="174" t="s">
        <v>48</v>
      </c>
      <c r="N42" s="175"/>
      <c r="O42" s="177" t="s">
        <v>127</v>
      </c>
      <c r="P42" s="22"/>
      <c r="AJ42" s="15">
        <f t="shared" si="2"/>
        <v>26</v>
      </c>
      <c r="AK42" s="16">
        <f t="shared" si="3"/>
        <v>25</v>
      </c>
    </row>
    <row r="43" ht="15.75" customHeight="1">
      <c r="A43" s="22"/>
      <c r="B43" s="173" t="s">
        <v>475</v>
      </c>
      <c r="C43" s="174" t="s">
        <v>44</v>
      </c>
      <c r="D43" s="175" t="s">
        <v>476</v>
      </c>
      <c r="E43" s="175" t="s">
        <v>37</v>
      </c>
      <c r="F43" s="175" t="s">
        <v>477</v>
      </c>
      <c r="G43" s="176">
        <f t="shared" si="1"/>
        <v>24</v>
      </c>
      <c r="H43" s="175" t="s">
        <v>478</v>
      </c>
      <c r="I43" s="175" t="s">
        <v>258</v>
      </c>
      <c r="J43" s="175"/>
      <c r="K43" s="175"/>
      <c r="L43" s="175" t="s">
        <v>23</v>
      </c>
      <c r="M43" s="174" t="s">
        <v>479</v>
      </c>
      <c r="N43" s="175"/>
      <c r="O43" s="177" t="s">
        <v>127</v>
      </c>
      <c r="P43" s="22"/>
      <c r="AJ43" s="15">
        <f t="shared" si="2"/>
        <v>124</v>
      </c>
      <c r="AK43" s="16">
        <f t="shared" si="3"/>
        <v>123</v>
      </c>
    </row>
    <row r="44" ht="15.75" customHeight="1">
      <c r="A44" s="22"/>
      <c r="B44" s="173" t="s">
        <v>480</v>
      </c>
      <c r="C44" s="174" t="s">
        <v>44</v>
      </c>
      <c r="D44" s="175" t="s">
        <v>481</v>
      </c>
      <c r="E44" s="175" t="s">
        <v>19</v>
      </c>
      <c r="F44" s="175" t="s">
        <v>482</v>
      </c>
      <c r="G44" s="176">
        <f t="shared" si="1"/>
        <v>28</v>
      </c>
      <c r="H44" s="175" t="s">
        <v>483</v>
      </c>
      <c r="I44" s="175" t="s">
        <v>83</v>
      </c>
      <c r="J44" s="175"/>
      <c r="K44" s="175"/>
      <c r="L44" s="175" t="s">
        <v>23</v>
      </c>
      <c r="M44" s="174" t="s">
        <v>48</v>
      </c>
      <c r="N44" s="175" t="s">
        <v>107</v>
      </c>
      <c r="O44" s="177" t="s">
        <v>127</v>
      </c>
      <c r="P44" s="22"/>
      <c r="AJ44" s="15">
        <f t="shared" si="2"/>
        <v>28</v>
      </c>
      <c r="AK44" s="16">
        <f t="shared" si="3"/>
        <v>27</v>
      </c>
    </row>
    <row r="45" ht="15.75" customHeight="1">
      <c r="A45" s="22"/>
      <c r="B45" s="173" t="s">
        <v>53</v>
      </c>
      <c r="C45" s="174" t="s">
        <v>44</v>
      </c>
      <c r="D45" s="175" t="s">
        <v>54</v>
      </c>
      <c r="E45" s="175" t="s">
        <v>19</v>
      </c>
      <c r="F45" s="175" t="s">
        <v>55</v>
      </c>
      <c r="G45" s="176">
        <f t="shared" si="1"/>
        <v>29</v>
      </c>
      <c r="H45" s="175" t="s">
        <v>56</v>
      </c>
      <c r="I45" s="175" t="s">
        <v>57</v>
      </c>
      <c r="J45" s="175" t="s">
        <v>58</v>
      </c>
      <c r="K45" s="175"/>
      <c r="L45" s="175" t="s">
        <v>23</v>
      </c>
      <c r="M45" s="174" t="s">
        <v>48</v>
      </c>
      <c r="N45" s="175" t="s">
        <v>59</v>
      </c>
      <c r="O45" s="177" t="s">
        <v>127</v>
      </c>
      <c r="P45" s="22"/>
      <c r="AJ45" s="15">
        <f t="shared" si="2"/>
        <v>29</v>
      </c>
      <c r="AK45" s="16">
        <f t="shared" si="3"/>
        <v>28</v>
      </c>
    </row>
    <row r="46" ht="15.75" customHeight="1">
      <c r="A46" s="22"/>
      <c r="B46" s="173" t="s">
        <v>60</v>
      </c>
      <c r="C46" s="174" t="s">
        <v>44</v>
      </c>
      <c r="D46" s="175" t="s">
        <v>61</v>
      </c>
      <c r="E46" s="175" t="s">
        <v>37</v>
      </c>
      <c r="F46" s="175" t="s">
        <v>62</v>
      </c>
      <c r="G46" s="176">
        <f t="shared" si="1"/>
        <v>27</v>
      </c>
      <c r="H46" s="175" t="s">
        <v>63</v>
      </c>
      <c r="I46" s="175" t="s">
        <v>64</v>
      </c>
      <c r="J46" s="175"/>
      <c r="K46" s="175"/>
      <c r="L46" s="175"/>
      <c r="M46" s="174"/>
      <c r="N46" s="175" t="s">
        <v>65</v>
      </c>
      <c r="O46" s="177" t="s">
        <v>127</v>
      </c>
      <c r="P46" s="22"/>
      <c r="AJ46" s="15">
        <f t="shared" si="2"/>
        <v>27</v>
      </c>
      <c r="AK46" s="16">
        <f t="shared" si="3"/>
        <v>26</v>
      </c>
    </row>
    <row r="47" ht="15.75" customHeight="1">
      <c r="A47" s="62"/>
      <c r="B47" s="173" t="s">
        <v>281</v>
      </c>
      <c r="C47" s="174" t="s">
        <v>44</v>
      </c>
      <c r="D47" s="175" t="s">
        <v>282</v>
      </c>
      <c r="E47" s="175" t="s">
        <v>37</v>
      </c>
      <c r="F47" s="175" t="s">
        <v>283</v>
      </c>
      <c r="G47" s="176">
        <f t="shared" si="1"/>
        <v>26</v>
      </c>
      <c r="H47" s="175" t="s">
        <v>196</v>
      </c>
      <c r="I47" s="175" t="s">
        <v>156</v>
      </c>
      <c r="J47" s="175" t="s">
        <v>284</v>
      </c>
      <c r="K47" s="175"/>
      <c r="L47" s="175" t="s">
        <v>41</v>
      </c>
      <c r="M47" s="174" t="s">
        <v>42</v>
      </c>
      <c r="N47" s="175"/>
      <c r="O47" s="177" t="s">
        <v>127</v>
      </c>
      <c r="P47" s="62"/>
      <c r="AJ47" s="15">
        <f t="shared" si="2"/>
        <v>26</v>
      </c>
      <c r="AK47" s="16">
        <f t="shared" si="3"/>
        <v>25</v>
      </c>
    </row>
    <row r="48" ht="15.75" customHeight="1">
      <c r="A48" s="178" t="s">
        <v>240</v>
      </c>
      <c r="B48" s="179" t="s">
        <v>92</v>
      </c>
      <c r="C48" s="180" t="s">
        <v>17</v>
      </c>
      <c r="D48" s="181" t="s">
        <v>93</v>
      </c>
      <c r="E48" s="181" t="s">
        <v>37</v>
      </c>
      <c r="F48" s="181" t="s">
        <v>94</v>
      </c>
      <c r="G48" s="181">
        <f t="shared" si="1"/>
        <v>27</v>
      </c>
      <c r="H48" s="181" t="s">
        <v>78</v>
      </c>
      <c r="I48" s="181" t="s">
        <v>95</v>
      </c>
      <c r="J48" s="181" t="s">
        <v>96</v>
      </c>
      <c r="K48" s="181">
        <v>16.0</v>
      </c>
      <c r="L48" s="181" t="s">
        <v>23</v>
      </c>
      <c r="M48" s="180" t="s">
        <v>48</v>
      </c>
      <c r="N48" s="181" t="s">
        <v>73</v>
      </c>
      <c r="O48" s="182" t="s">
        <v>25</v>
      </c>
      <c r="P48" s="88">
        <v>7.0</v>
      </c>
      <c r="AJ48" s="15">
        <f t="shared" si="2"/>
        <v>27</v>
      </c>
      <c r="AK48" s="16">
        <f t="shared" si="3"/>
        <v>26</v>
      </c>
    </row>
    <row r="49" ht="15.75" customHeight="1">
      <c r="A49" s="17"/>
      <c r="B49" s="183" t="s">
        <v>108</v>
      </c>
      <c r="C49" s="184" t="s">
        <v>109</v>
      </c>
      <c r="D49" s="185" t="s">
        <v>110</v>
      </c>
      <c r="E49" s="185" t="s">
        <v>19</v>
      </c>
      <c r="F49" s="185" t="s">
        <v>111</v>
      </c>
      <c r="G49" s="181">
        <f t="shared" si="1"/>
        <v>25</v>
      </c>
      <c r="H49" s="185" t="s">
        <v>71</v>
      </c>
      <c r="I49" s="185" t="s">
        <v>112</v>
      </c>
      <c r="J49" s="185" t="s">
        <v>113</v>
      </c>
      <c r="K49" s="185"/>
      <c r="L49" s="185" t="s">
        <v>41</v>
      </c>
      <c r="M49" s="184" t="s">
        <v>42</v>
      </c>
      <c r="N49" s="185"/>
      <c r="O49" s="186" t="s">
        <v>25</v>
      </c>
      <c r="P49" s="22"/>
      <c r="AJ49" s="15">
        <f t="shared" si="2"/>
        <v>25</v>
      </c>
      <c r="AK49" s="16">
        <f t="shared" si="3"/>
        <v>24</v>
      </c>
    </row>
    <row r="50" ht="15.75" customHeight="1">
      <c r="A50" s="17"/>
      <c r="B50" s="183" t="s">
        <v>435</v>
      </c>
      <c r="C50" s="184" t="s">
        <v>109</v>
      </c>
      <c r="D50" s="185" t="s">
        <v>436</v>
      </c>
      <c r="E50" s="185" t="s">
        <v>37</v>
      </c>
      <c r="F50" s="185" t="s">
        <v>437</v>
      </c>
      <c r="G50" s="181">
        <f t="shared" si="1"/>
        <v>26</v>
      </c>
      <c r="H50" s="185" t="s">
        <v>348</v>
      </c>
      <c r="I50" s="185" t="s">
        <v>138</v>
      </c>
      <c r="J50" s="185" t="s">
        <v>207</v>
      </c>
      <c r="K50" s="185"/>
      <c r="L50" s="185" t="s">
        <v>41</v>
      </c>
      <c r="M50" s="184" t="s">
        <v>42</v>
      </c>
      <c r="N50" s="185" t="s">
        <v>73</v>
      </c>
      <c r="O50" s="186" t="s">
        <v>25</v>
      </c>
      <c r="P50" s="22"/>
      <c r="AJ50" s="15">
        <f t="shared" si="2"/>
        <v>26</v>
      </c>
      <c r="AK50" s="16">
        <f t="shared" si="3"/>
        <v>25</v>
      </c>
    </row>
    <row r="51" ht="15.75" customHeight="1">
      <c r="A51" s="17"/>
      <c r="B51" s="183" t="s">
        <v>447</v>
      </c>
      <c r="C51" s="184" t="s">
        <v>121</v>
      </c>
      <c r="D51" s="185" t="s">
        <v>448</v>
      </c>
      <c r="E51" s="185" t="s">
        <v>37</v>
      </c>
      <c r="F51" s="185" t="s">
        <v>252</v>
      </c>
      <c r="G51" s="181">
        <f t="shared" si="1"/>
        <v>24</v>
      </c>
      <c r="H51" s="185" t="s">
        <v>449</v>
      </c>
      <c r="I51" s="185" t="s">
        <v>264</v>
      </c>
      <c r="J51" s="185" t="s">
        <v>191</v>
      </c>
      <c r="K51" s="185"/>
      <c r="L51" s="185" t="s">
        <v>41</v>
      </c>
      <c r="M51" s="184" t="s">
        <v>42</v>
      </c>
      <c r="N51" s="185" t="s">
        <v>126</v>
      </c>
      <c r="O51" s="187" t="s">
        <v>127</v>
      </c>
      <c r="P51" s="22"/>
      <c r="AJ51" s="15">
        <f t="shared" si="2"/>
        <v>124</v>
      </c>
      <c r="AK51" s="16">
        <f t="shared" si="3"/>
        <v>123</v>
      </c>
    </row>
    <row r="52" ht="15.75" customHeight="1">
      <c r="A52" s="17"/>
      <c r="B52" s="183" t="s">
        <v>455</v>
      </c>
      <c r="C52" s="184" t="s">
        <v>121</v>
      </c>
      <c r="D52" s="185" t="s">
        <v>456</v>
      </c>
      <c r="E52" s="185" t="s">
        <v>37</v>
      </c>
      <c r="F52" s="185" t="s">
        <v>457</v>
      </c>
      <c r="G52" s="181">
        <f t="shared" si="1"/>
        <v>24</v>
      </c>
      <c r="H52" s="185" t="s">
        <v>458</v>
      </c>
      <c r="I52" s="185" t="s">
        <v>341</v>
      </c>
      <c r="J52" s="185"/>
      <c r="K52" s="185"/>
      <c r="L52" s="185" t="s">
        <v>41</v>
      </c>
      <c r="M52" s="184" t="s">
        <v>42</v>
      </c>
      <c r="N52" s="185"/>
      <c r="O52" s="187" t="s">
        <v>127</v>
      </c>
      <c r="P52" s="22"/>
      <c r="AJ52" s="15">
        <f t="shared" si="2"/>
        <v>124</v>
      </c>
      <c r="AK52" s="16">
        <f t="shared" si="3"/>
        <v>123</v>
      </c>
    </row>
    <row r="53" ht="15.75" customHeight="1">
      <c r="A53" s="17"/>
      <c r="B53" s="183" t="s">
        <v>120</v>
      </c>
      <c r="C53" s="184" t="s">
        <v>121</v>
      </c>
      <c r="D53" s="185" t="s">
        <v>122</v>
      </c>
      <c r="E53" s="185" t="s">
        <v>37</v>
      </c>
      <c r="F53" s="185" t="s">
        <v>123</v>
      </c>
      <c r="G53" s="181">
        <f t="shared" si="1"/>
        <v>27</v>
      </c>
      <c r="H53" s="185" t="s">
        <v>124</v>
      </c>
      <c r="I53" s="185" t="s">
        <v>95</v>
      </c>
      <c r="J53" s="185"/>
      <c r="K53" s="185"/>
      <c r="L53" s="185" t="s">
        <v>23</v>
      </c>
      <c r="M53" s="184" t="s">
        <v>125</v>
      </c>
      <c r="N53" s="185" t="s">
        <v>126</v>
      </c>
      <c r="O53" s="187" t="s">
        <v>127</v>
      </c>
      <c r="P53" s="22"/>
      <c r="AJ53" s="15">
        <f t="shared" si="2"/>
        <v>27</v>
      </c>
      <c r="AK53" s="16">
        <f t="shared" si="3"/>
        <v>26</v>
      </c>
    </row>
    <row r="54" ht="15.75" customHeight="1">
      <c r="A54" s="25"/>
      <c r="B54" s="183" t="s">
        <v>459</v>
      </c>
      <c r="C54" s="184" t="s">
        <v>121</v>
      </c>
      <c r="D54" s="185" t="s">
        <v>460</v>
      </c>
      <c r="E54" s="185" t="s">
        <v>37</v>
      </c>
      <c r="F54" s="185" t="s">
        <v>461</v>
      </c>
      <c r="G54" s="181">
        <f t="shared" si="1"/>
        <v>28</v>
      </c>
      <c r="H54" s="185" t="s">
        <v>142</v>
      </c>
      <c r="I54" s="185" t="s">
        <v>79</v>
      </c>
      <c r="J54" s="185" t="s">
        <v>462</v>
      </c>
      <c r="K54" s="185"/>
      <c r="L54" s="185" t="s">
        <v>23</v>
      </c>
      <c r="M54" s="184"/>
      <c r="N54" s="185"/>
      <c r="O54" s="187" t="s">
        <v>25</v>
      </c>
      <c r="P54" s="62"/>
      <c r="AJ54" s="15">
        <f t="shared" si="2"/>
        <v>28</v>
      </c>
      <c r="AK54" s="16">
        <f t="shared" si="3"/>
        <v>27</v>
      </c>
    </row>
    <row r="55" ht="15.75" customHeight="1">
      <c r="A55" s="83" t="s">
        <v>285</v>
      </c>
      <c r="B55" s="188" t="s">
        <v>286</v>
      </c>
      <c r="C55" s="189" t="s">
        <v>17</v>
      </c>
      <c r="D55" s="190" t="s">
        <v>287</v>
      </c>
      <c r="E55" s="190" t="s">
        <v>37</v>
      </c>
      <c r="F55" s="190" t="s">
        <v>288</v>
      </c>
      <c r="G55" s="190">
        <f t="shared" si="1"/>
        <v>26</v>
      </c>
      <c r="H55" s="190" t="s">
        <v>269</v>
      </c>
      <c r="I55" s="190" t="s">
        <v>289</v>
      </c>
      <c r="J55" s="190"/>
      <c r="K55" s="190"/>
      <c r="L55" s="190" t="s">
        <v>23</v>
      </c>
      <c r="M55" s="189"/>
      <c r="N55" s="190"/>
      <c r="O55" s="191" t="s">
        <v>25</v>
      </c>
      <c r="P55" s="88"/>
      <c r="AJ55" s="15">
        <f t="shared" si="2"/>
        <v>26</v>
      </c>
      <c r="AK55" s="16">
        <f t="shared" si="3"/>
        <v>25</v>
      </c>
    </row>
    <row r="56" ht="15.75" customHeight="1">
      <c r="A56" s="89"/>
      <c r="B56" s="192" t="s">
        <v>290</v>
      </c>
      <c r="C56" s="193" t="s">
        <v>98</v>
      </c>
      <c r="D56" s="194" t="s">
        <v>291</v>
      </c>
      <c r="E56" s="194" t="s">
        <v>19</v>
      </c>
      <c r="F56" s="194" t="s">
        <v>292</v>
      </c>
      <c r="G56" s="190">
        <f t="shared" si="1"/>
        <v>26</v>
      </c>
      <c r="H56" s="194" t="s">
        <v>131</v>
      </c>
      <c r="I56" s="194" t="s">
        <v>190</v>
      </c>
      <c r="J56" s="194" t="s">
        <v>293</v>
      </c>
      <c r="K56" s="194">
        <v>18.0</v>
      </c>
      <c r="L56" s="194" t="s">
        <v>41</v>
      </c>
      <c r="M56" s="193" t="s">
        <v>42</v>
      </c>
      <c r="N56" s="194" t="s">
        <v>198</v>
      </c>
      <c r="O56" s="195" t="s">
        <v>25</v>
      </c>
      <c r="P56" s="22"/>
      <c r="AJ56" s="15">
        <f t="shared" si="2"/>
        <v>26</v>
      </c>
      <c r="AK56" s="16">
        <f t="shared" si="3"/>
        <v>25</v>
      </c>
    </row>
    <row r="57" ht="15.75" customHeight="1">
      <c r="A57" s="89"/>
      <c r="B57" s="196" t="s">
        <v>294</v>
      </c>
      <c r="C57" s="197" t="s">
        <v>98</v>
      </c>
      <c r="D57" s="198" t="s">
        <v>295</v>
      </c>
      <c r="E57" s="198" t="s">
        <v>19</v>
      </c>
      <c r="F57" s="198" t="s">
        <v>296</v>
      </c>
      <c r="G57" s="190">
        <f t="shared" si="1"/>
        <v>28</v>
      </c>
      <c r="H57" s="198" t="s">
        <v>56</v>
      </c>
      <c r="I57" s="198" t="s">
        <v>190</v>
      </c>
      <c r="J57" s="198" t="s">
        <v>297</v>
      </c>
      <c r="K57" s="198"/>
      <c r="L57" s="198" t="s">
        <v>41</v>
      </c>
      <c r="M57" s="197" t="s">
        <v>42</v>
      </c>
      <c r="N57" s="198" t="s">
        <v>272</v>
      </c>
      <c r="O57" s="199" t="s">
        <v>25</v>
      </c>
      <c r="P57" s="22"/>
      <c r="AJ57" s="15">
        <f t="shared" si="2"/>
        <v>28</v>
      </c>
      <c r="AK57" s="16">
        <f t="shared" si="3"/>
        <v>27</v>
      </c>
    </row>
    <row r="58" ht="15.75" customHeight="1">
      <c r="A58" s="89"/>
      <c r="B58" s="196" t="s">
        <v>298</v>
      </c>
      <c r="C58" s="197" t="s">
        <v>98</v>
      </c>
      <c r="D58" s="198" t="s">
        <v>299</v>
      </c>
      <c r="E58" s="198" t="s">
        <v>19</v>
      </c>
      <c r="F58" s="198" t="s">
        <v>300</v>
      </c>
      <c r="G58" s="190">
        <f t="shared" si="1"/>
        <v>28</v>
      </c>
      <c r="H58" s="198" t="s">
        <v>217</v>
      </c>
      <c r="I58" s="198" t="s">
        <v>83</v>
      </c>
      <c r="J58" s="198" t="s">
        <v>207</v>
      </c>
      <c r="K58" s="198"/>
      <c r="L58" s="198" t="s">
        <v>41</v>
      </c>
      <c r="M58" s="197" t="s">
        <v>42</v>
      </c>
      <c r="N58" s="198" t="s">
        <v>301</v>
      </c>
      <c r="O58" s="199" t="s">
        <v>25</v>
      </c>
      <c r="P58" s="22"/>
      <c r="Q58" s="94"/>
      <c r="AJ58" s="15">
        <f t="shared" si="2"/>
        <v>28</v>
      </c>
      <c r="AK58" s="16">
        <f t="shared" si="3"/>
        <v>27</v>
      </c>
    </row>
    <row r="59" ht="15.75" customHeight="1">
      <c r="A59" s="89"/>
      <c r="B59" s="196" t="s">
        <v>302</v>
      </c>
      <c r="C59" s="197" t="s">
        <v>98</v>
      </c>
      <c r="D59" s="198" t="s">
        <v>303</v>
      </c>
      <c r="E59" s="198" t="s">
        <v>19</v>
      </c>
      <c r="F59" s="198" t="s">
        <v>304</v>
      </c>
      <c r="G59" s="190">
        <f t="shared" si="1"/>
        <v>27</v>
      </c>
      <c r="H59" s="198" t="s">
        <v>117</v>
      </c>
      <c r="I59" s="198" t="s">
        <v>31</v>
      </c>
      <c r="J59" s="198" t="s">
        <v>305</v>
      </c>
      <c r="K59" s="198">
        <v>17.0</v>
      </c>
      <c r="L59" s="198" t="s">
        <v>208</v>
      </c>
      <c r="M59" s="197" t="s">
        <v>42</v>
      </c>
      <c r="N59" s="198" t="s">
        <v>91</v>
      </c>
      <c r="O59" s="199" t="s">
        <v>25</v>
      </c>
      <c r="P59" s="22"/>
      <c r="Q59" s="94"/>
      <c r="AJ59" s="15">
        <f t="shared" si="2"/>
        <v>27</v>
      </c>
      <c r="AK59" s="16">
        <f t="shared" si="3"/>
        <v>26</v>
      </c>
    </row>
    <row r="60" ht="15.75" customHeight="1">
      <c r="A60" s="89"/>
      <c r="B60" s="200" t="s">
        <v>306</v>
      </c>
      <c r="C60" s="201" t="s">
        <v>109</v>
      </c>
      <c r="D60" s="202" t="s">
        <v>267</v>
      </c>
      <c r="E60" s="202" t="s">
        <v>19</v>
      </c>
      <c r="F60" s="202" t="s">
        <v>307</v>
      </c>
      <c r="G60" s="190">
        <f t="shared" si="1"/>
        <v>27</v>
      </c>
      <c r="H60" s="202" t="s">
        <v>117</v>
      </c>
      <c r="I60" s="202" t="s">
        <v>31</v>
      </c>
      <c r="J60" s="202"/>
      <c r="K60" s="202">
        <v>16.0</v>
      </c>
      <c r="L60" s="202" t="s">
        <v>41</v>
      </c>
      <c r="M60" s="201" t="s">
        <v>42</v>
      </c>
      <c r="N60" s="202"/>
      <c r="O60" s="203" t="s">
        <v>25</v>
      </c>
      <c r="P60" s="22"/>
      <c r="Q60" s="94"/>
      <c r="AJ60" s="15">
        <f t="shared" si="2"/>
        <v>27</v>
      </c>
      <c r="AK60" s="16">
        <f t="shared" si="3"/>
        <v>26</v>
      </c>
    </row>
    <row r="61" ht="15.75" customHeight="1">
      <c r="A61" s="89"/>
      <c r="B61" s="200" t="s">
        <v>308</v>
      </c>
      <c r="C61" s="201" t="s">
        <v>109</v>
      </c>
      <c r="D61" s="202" t="s">
        <v>309</v>
      </c>
      <c r="E61" s="202" t="s">
        <v>19</v>
      </c>
      <c r="F61" s="202" t="s">
        <v>310</v>
      </c>
      <c r="G61" s="190">
        <f t="shared" si="1"/>
        <v>27</v>
      </c>
      <c r="H61" s="202" t="s">
        <v>21</v>
      </c>
      <c r="I61" s="202" t="s">
        <v>156</v>
      </c>
      <c r="J61" s="202"/>
      <c r="K61" s="202"/>
      <c r="L61" s="202" t="s">
        <v>23</v>
      </c>
      <c r="M61" s="201" t="s">
        <v>48</v>
      </c>
      <c r="N61" s="202" t="s">
        <v>65</v>
      </c>
      <c r="O61" s="203" t="s">
        <v>25</v>
      </c>
      <c r="P61" s="22"/>
      <c r="AJ61" s="15">
        <f t="shared" si="2"/>
        <v>27</v>
      </c>
      <c r="AK61" s="16">
        <f t="shared" si="3"/>
        <v>26</v>
      </c>
    </row>
    <row r="62" ht="15.75" customHeight="1">
      <c r="A62" s="89"/>
      <c r="B62" s="200" t="s">
        <v>311</v>
      </c>
      <c r="C62" s="201" t="s">
        <v>109</v>
      </c>
      <c r="D62" s="202" t="s">
        <v>312</v>
      </c>
      <c r="E62" s="202" t="s">
        <v>37</v>
      </c>
      <c r="F62" s="202" t="s">
        <v>313</v>
      </c>
      <c r="G62" s="190">
        <f t="shared" si="1"/>
        <v>27</v>
      </c>
      <c r="H62" s="202" t="s">
        <v>39</v>
      </c>
      <c r="I62" s="202" t="s">
        <v>218</v>
      </c>
      <c r="J62" s="202"/>
      <c r="K62" s="202"/>
      <c r="L62" s="202" t="s">
        <v>202</v>
      </c>
      <c r="M62" s="201" t="s">
        <v>259</v>
      </c>
      <c r="N62" s="202"/>
      <c r="O62" s="203" t="s">
        <v>25</v>
      </c>
      <c r="P62" s="22"/>
      <c r="AJ62" s="15">
        <f t="shared" si="2"/>
        <v>27</v>
      </c>
      <c r="AK62" s="16">
        <f t="shared" si="3"/>
        <v>26</v>
      </c>
    </row>
    <row r="63" ht="15.75" customHeight="1">
      <c r="A63" s="89"/>
      <c r="B63" s="200" t="s">
        <v>314</v>
      </c>
      <c r="C63" s="201" t="s">
        <v>109</v>
      </c>
      <c r="D63" s="202" t="s">
        <v>315</v>
      </c>
      <c r="E63" s="202" t="s">
        <v>37</v>
      </c>
      <c r="F63" s="202" t="s">
        <v>316</v>
      </c>
      <c r="G63" s="190">
        <f t="shared" si="1"/>
        <v>25</v>
      </c>
      <c r="H63" s="202" t="s">
        <v>30</v>
      </c>
      <c r="I63" s="202" t="s">
        <v>162</v>
      </c>
      <c r="J63" s="202" t="s">
        <v>317</v>
      </c>
      <c r="K63" s="202"/>
      <c r="L63" s="202" t="s">
        <v>41</v>
      </c>
      <c r="M63" s="201" t="s">
        <v>42</v>
      </c>
      <c r="N63" s="202"/>
      <c r="O63" s="203" t="s">
        <v>25</v>
      </c>
      <c r="P63" s="22"/>
      <c r="AJ63" s="15">
        <f t="shared" si="2"/>
        <v>25</v>
      </c>
      <c r="AK63" s="16">
        <f t="shared" si="3"/>
        <v>24</v>
      </c>
    </row>
    <row r="64" ht="15.75" customHeight="1">
      <c r="A64" s="89"/>
      <c r="B64" s="200" t="s">
        <v>318</v>
      </c>
      <c r="C64" s="201" t="s">
        <v>109</v>
      </c>
      <c r="D64" s="202" t="s">
        <v>319</v>
      </c>
      <c r="E64" s="202" t="s">
        <v>37</v>
      </c>
      <c r="F64" s="202" t="s">
        <v>320</v>
      </c>
      <c r="G64" s="190">
        <f t="shared" si="1"/>
        <v>26</v>
      </c>
      <c r="H64" s="202" t="s">
        <v>137</v>
      </c>
      <c r="I64" s="202" t="s">
        <v>321</v>
      </c>
      <c r="J64" s="202" t="s">
        <v>322</v>
      </c>
      <c r="K64" s="202"/>
      <c r="L64" s="202" t="s">
        <v>23</v>
      </c>
      <c r="M64" s="201" t="s">
        <v>48</v>
      </c>
      <c r="N64" s="202"/>
      <c r="O64" s="203" t="s">
        <v>25</v>
      </c>
      <c r="P64" s="22"/>
      <c r="AJ64" s="15">
        <f t="shared" si="2"/>
        <v>26</v>
      </c>
      <c r="AK64" s="16">
        <f t="shared" si="3"/>
        <v>25</v>
      </c>
    </row>
    <row r="65" ht="15.75" customHeight="1">
      <c r="A65" s="89"/>
      <c r="B65" s="204" t="s">
        <v>323</v>
      </c>
      <c r="C65" s="205" t="s">
        <v>109</v>
      </c>
      <c r="D65" s="206" t="s">
        <v>324</v>
      </c>
      <c r="E65" s="206" t="s">
        <v>37</v>
      </c>
      <c r="F65" s="206" t="s">
        <v>325</v>
      </c>
      <c r="G65" s="190">
        <f t="shared" si="1"/>
        <v>26</v>
      </c>
      <c r="H65" s="206" t="s">
        <v>196</v>
      </c>
      <c r="I65" s="206" t="s">
        <v>156</v>
      </c>
      <c r="J65" s="206" t="s">
        <v>191</v>
      </c>
      <c r="K65" s="206"/>
      <c r="L65" s="206" t="s">
        <v>41</v>
      </c>
      <c r="M65" s="205" t="s">
        <v>42</v>
      </c>
      <c r="N65" s="206"/>
      <c r="O65" s="207" t="s">
        <v>25</v>
      </c>
      <c r="P65" s="22"/>
      <c r="AJ65" s="15">
        <f t="shared" si="2"/>
        <v>26</v>
      </c>
      <c r="AK65" s="16">
        <f t="shared" si="3"/>
        <v>25</v>
      </c>
    </row>
    <row r="66" ht="15.75" customHeight="1">
      <c r="A66" s="89"/>
      <c r="B66" s="192" t="s">
        <v>326</v>
      </c>
      <c r="C66" s="193" t="s">
        <v>17</v>
      </c>
      <c r="D66" s="194" t="s">
        <v>327</v>
      </c>
      <c r="E66" s="194" t="s">
        <v>37</v>
      </c>
      <c r="F66" s="194" t="s">
        <v>328</v>
      </c>
      <c r="G66" s="190">
        <f t="shared" si="1"/>
        <v>27</v>
      </c>
      <c r="H66" s="194" t="s">
        <v>329</v>
      </c>
      <c r="I66" s="194"/>
      <c r="J66" s="194"/>
      <c r="K66" s="194"/>
      <c r="L66" s="194"/>
      <c r="M66" s="193"/>
      <c r="N66" s="194"/>
      <c r="O66" s="195" t="s">
        <v>25</v>
      </c>
      <c r="P66" s="22"/>
      <c r="AJ66" s="15">
        <f t="shared" si="2"/>
        <v>27</v>
      </c>
      <c r="AK66" s="16">
        <f t="shared" si="3"/>
        <v>26</v>
      </c>
    </row>
    <row r="67" ht="15.75" customHeight="1">
      <c r="A67" s="89"/>
      <c r="B67" s="192" t="s">
        <v>330</v>
      </c>
      <c r="C67" s="193" t="s">
        <v>98</v>
      </c>
      <c r="D67" s="194" t="s">
        <v>331</v>
      </c>
      <c r="E67" s="194" t="s">
        <v>19</v>
      </c>
      <c r="F67" s="194" t="s">
        <v>332</v>
      </c>
      <c r="G67" s="190">
        <f t="shared" si="1"/>
        <v>25</v>
      </c>
      <c r="H67" s="194" t="s">
        <v>137</v>
      </c>
      <c r="I67" s="194" t="s">
        <v>190</v>
      </c>
      <c r="J67" s="194" t="s">
        <v>333</v>
      </c>
      <c r="K67" s="194">
        <v>18.0</v>
      </c>
      <c r="L67" s="194" t="s">
        <v>41</v>
      </c>
      <c r="M67" s="193" t="s">
        <v>42</v>
      </c>
      <c r="N67" s="194" t="s">
        <v>198</v>
      </c>
      <c r="O67" s="195" t="s">
        <v>25</v>
      </c>
      <c r="P67" s="22"/>
      <c r="AJ67" s="15">
        <f t="shared" si="2"/>
        <v>25</v>
      </c>
      <c r="AK67" s="16">
        <f t="shared" si="3"/>
        <v>24</v>
      </c>
    </row>
    <row r="68" ht="15.75" customHeight="1">
      <c r="A68" s="89"/>
      <c r="B68" s="208" t="s">
        <v>334</v>
      </c>
      <c r="C68" s="209" t="s">
        <v>98</v>
      </c>
      <c r="D68" s="210" t="s">
        <v>335</v>
      </c>
      <c r="E68" s="210" t="s">
        <v>37</v>
      </c>
      <c r="F68" s="210" t="s">
        <v>336</v>
      </c>
      <c r="G68" s="190">
        <f t="shared" si="1"/>
        <v>22</v>
      </c>
      <c r="H68" s="210" t="s">
        <v>71</v>
      </c>
      <c r="I68" s="210" t="s">
        <v>337</v>
      </c>
      <c r="J68" s="210" t="s">
        <v>182</v>
      </c>
      <c r="K68" s="210">
        <v>21.0</v>
      </c>
      <c r="L68" s="210" t="s">
        <v>41</v>
      </c>
      <c r="M68" s="209" t="s">
        <v>42</v>
      </c>
      <c r="N68" s="210"/>
      <c r="O68" s="211" t="s">
        <v>25</v>
      </c>
      <c r="P68" s="22"/>
      <c r="AJ68" s="15">
        <f t="shared" si="2"/>
        <v>122</v>
      </c>
      <c r="AK68" s="16">
        <f t="shared" si="3"/>
        <v>121</v>
      </c>
    </row>
    <row r="69" ht="15.75" customHeight="1">
      <c r="A69" s="89"/>
      <c r="B69" s="204" t="s">
        <v>338</v>
      </c>
      <c r="C69" s="205" t="s">
        <v>109</v>
      </c>
      <c r="D69" s="206" t="s">
        <v>339</v>
      </c>
      <c r="E69" s="206" t="s">
        <v>37</v>
      </c>
      <c r="F69" s="206" t="s">
        <v>340</v>
      </c>
      <c r="G69" s="190">
        <f t="shared" si="1"/>
        <v>25</v>
      </c>
      <c r="H69" s="206" t="s">
        <v>56</v>
      </c>
      <c r="I69" s="206" t="s">
        <v>341</v>
      </c>
      <c r="J69" s="206"/>
      <c r="K69" s="206"/>
      <c r="L69" s="206" t="s">
        <v>41</v>
      </c>
      <c r="M69" s="205" t="s">
        <v>42</v>
      </c>
      <c r="N69" s="206"/>
      <c r="O69" s="207" t="s">
        <v>25</v>
      </c>
      <c r="P69" s="22"/>
      <c r="AJ69" s="15">
        <f t="shared" si="2"/>
        <v>25</v>
      </c>
      <c r="AK69" s="16">
        <f t="shared" si="3"/>
        <v>24</v>
      </c>
    </row>
    <row r="70" ht="15.75" customHeight="1">
      <c r="A70" s="89"/>
      <c r="B70" s="212" t="s">
        <v>342</v>
      </c>
      <c r="C70" s="213" t="s">
        <v>121</v>
      </c>
      <c r="D70" s="214" t="s">
        <v>343</v>
      </c>
      <c r="E70" s="214" t="s">
        <v>37</v>
      </c>
      <c r="F70" s="214" t="s">
        <v>344</v>
      </c>
      <c r="G70" s="190">
        <f t="shared" si="1"/>
        <v>27</v>
      </c>
      <c r="H70" s="214" t="s">
        <v>117</v>
      </c>
      <c r="I70" s="214" t="s">
        <v>52</v>
      </c>
      <c r="J70" s="214" t="s">
        <v>90</v>
      </c>
      <c r="K70" s="214"/>
      <c r="L70" s="214" t="s">
        <v>41</v>
      </c>
      <c r="M70" s="213" t="s">
        <v>42</v>
      </c>
      <c r="N70" s="214"/>
      <c r="O70" s="215" t="s">
        <v>25</v>
      </c>
      <c r="P70" s="22"/>
      <c r="AJ70" s="15">
        <f t="shared" si="2"/>
        <v>27</v>
      </c>
      <c r="AK70" s="16">
        <f t="shared" si="3"/>
        <v>26</v>
      </c>
    </row>
    <row r="71" ht="15.75" customHeight="1">
      <c r="A71" s="89"/>
      <c r="B71" s="200" t="s">
        <v>345</v>
      </c>
      <c r="C71" s="201" t="s">
        <v>121</v>
      </c>
      <c r="D71" s="202" t="s">
        <v>346</v>
      </c>
      <c r="E71" s="202" t="s">
        <v>19</v>
      </c>
      <c r="F71" s="202" t="s">
        <v>347</v>
      </c>
      <c r="G71" s="190">
        <f t="shared" si="1"/>
        <v>27</v>
      </c>
      <c r="H71" s="202" t="s">
        <v>348</v>
      </c>
      <c r="I71" s="202" t="s">
        <v>89</v>
      </c>
      <c r="J71" s="202"/>
      <c r="K71" s="202"/>
      <c r="L71" s="202" t="s">
        <v>23</v>
      </c>
      <c r="M71" s="201" t="s">
        <v>24</v>
      </c>
      <c r="N71" s="202"/>
      <c r="O71" s="203" t="s">
        <v>127</v>
      </c>
      <c r="P71" s="22"/>
      <c r="AJ71" s="15">
        <f t="shared" si="2"/>
        <v>27</v>
      </c>
      <c r="AK71" s="16">
        <f t="shared" si="3"/>
        <v>26</v>
      </c>
    </row>
    <row r="72" ht="15.75" customHeight="1">
      <c r="A72" s="89"/>
      <c r="B72" s="200" t="s">
        <v>349</v>
      </c>
      <c r="C72" s="201" t="s">
        <v>121</v>
      </c>
      <c r="D72" s="202" t="s">
        <v>350</v>
      </c>
      <c r="E72" s="202" t="s">
        <v>37</v>
      </c>
      <c r="F72" s="202" t="s">
        <v>351</v>
      </c>
      <c r="G72" s="190">
        <f t="shared" si="1"/>
        <v>24</v>
      </c>
      <c r="H72" s="202" t="s">
        <v>71</v>
      </c>
      <c r="I72" s="202" t="s">
        <v>52</v>
      </c>
      <c r="J72" s="202" t="s">
        <v>352</v>
      </c>
      <c r="K72" s="202"/>
      <c r="L72" s="202" t="s">
        <v>41</v>
      </c>
      <c r="M72" s="201" t="s">
        <v>42</v>
      </c>
      <c r="N72" s="202"/>
      <c r="O72" s="203" t="s">
        <v>25</v>
      </c>
      <c r="P72" s="22"/>
      <c r="AJ72" s="15">
        <f t="shared" si="2"/>
        <v>124</v>
      </c>
      <c r="AK72" s="16">
        <f t="shared" si="3"/>
        <v>123</v>
      </c>
    </row>
    <row r="73" ht="15.75" customHeight="1">
      <c r="A73" s="89"/>
      <c r="B73" s="200" t="s">
        <v>353</v>
      </c>
      <c r="C73" s="201" t="s">
        <v>121</v>
      </c>
      <c r="D73" s="202" t="s">
        <v>354</v>
      </c>
      <c r="E73" s="202" t="s">
        <v>37</v>
      </c>
      <c r="F73" s="202" t="s">
        <v>355</v>
      </c>
      <c r="G73" s="190">
        <f t="shared" si="1"/>
        <v>26</v>
      </c>
      <c r="H73" s="202" t="s">
        <v>196</v>
      </c>
      <c r="I73" s="202" t="s">
        <v>277</v>
      </c>
      <c r="J73" s="202" t="s">
        <v>356</v>
      </c>
      <c r="K73" s="202">
        <v>23.0</v>
      </c>
      <c r="L73" s="202" t="s">
        <v>41</v>
      </c>
      <c r="M73" s="201" t="s">
        <v>42</v>
      </c>
      <c r="N73" s="202"/>
      <c r="O73" s="203" t="s">
        <v>127</v>
      </c>
      <c r="P73" s="22"/>
      <c r="AJ73" s="15">
        <f t="shared" si="2"/>
        <v>26</v>
      </c>
      <c r="AK73" s="16">
        <f t="shared" si="3"/>
        <v>25</v>
      </c>
    </row>
    <row r="74" ht="15.75" customHeight="1">
      <c r="A74" s="89"/>
      <c r="B74" s="200" t="s">
        <v>357</v>
      </c>
      <c r="C74" s="201" t="s">
        <v>121</v>
      </c>
      <c r="D74" s="202" t="s">
        <v>358</v>
      </c>
      <c r="E74" s="202" t="s">
        <v>19</v>
      </c>
      <c r="F74" s="202" t="s">
        <v>359</v>
      </c>
      <c r="G74" s="190">
        <f t="shared" si="1"/>
        <v>27</v>
      </c>
      <c r="H74" s="202" t="s">
        <v>30</v>
      </c>
      <c r="I74" s="202" t="s">
        <v>31</v>
      </c>
      <c r="J74" s="202"/>
      <c r="K74" s="202"/>
      <c r="L74" s="202" t="s">
        <v>41</v>
      </c>
      <c r="M74" s="201" t="s">
        <v>42</v>
      </c>
      <c r="N74" s="202"/>
      <c r="O74" s="203" t="s">
        <v>25</v>
      </c>
      <c r="P74" s="22"/>
      <c r="AJ74" s="15">
        <f t="shared" si="2"/>
        <v>27</v>
      </c>
      <c r="AK74" s="16">
        <f t="shared" si="3"/>
        <v>26</v>
      </c>
    </row>
    <row r="75" ht="15.75" customHeight="1">
      <c r="A75" s="89"/>
      <c r="B75" s="200" t="s">
        <v>360</v>
      </c>
      <c r="C75" s="201" t="s">
        <v>121</v>
      </c>
      <c r="D75" s="202" t="s">
        <v>361</v>
      </c>
      <c r="E75" s="202" t="s">
        <v>37</v>
      </c>
      <c r="F75" s="202" t="s">
        <v>362</v>
      </c>
      <c r="G75" s="190">
        <f t="shared" si="1"/>
        <v>26</v>
      </c>
      <c r="H75" s="202" t="s">
        <v>363</v>
      </c>
      <c r="I75" s="202" t="s">
        <v>289</v>
      </c>
      <c r="J75" s="202" t="s">
        <v>364</v>
      </c>
      <c r="K75" s="202">
        <v>19.0</v>
      </c>
      <c r="L75" s="202" t="s">
        <v>41</v>
      </c>
      <c r="M75" s="201" t="s">
        <v>42</v>
      </c>
      <c r="N75" s="202"/>
      <c r="O75" s="203" t="s">
        <v>25</v>
      </c>
      <c r="P75" s="22"/>
      <c r="AJ75" s="15">
        <f t="shared" si="2"/>
        <v>26</v>
      </c>
      <c r="AK75" s="16">
        <f t="shared" si="3"/>
        <v>25</v>
      </c>
    </row>
    <row r="76" ht="15.75" customHeight="1">
      <c r="A76" s="89"/>
      <c r="B76" s="200" t="s">
        <v>365</v>
      </c>
      <c r="C76" s="201" t="s">
        <v>121</v>
      </c>
      <c r="D76" s="202" t="s">
        <v>366</v>
      </c>
      <c r="E76" s="202" t="s">
        <v>37</v>
      </c>
      <c r="F76" s="202" t="s">
        <v>367</v>
      </c>
      <c r="G76" s="190">
        <f t="shared" si="1"/>
        <v>25</v>
      </c>
      <c r="H76" s="202" t="s">
        <v>117</v>
      </c>
      <c r="I76" s="202" t="s">
        <v>89</v>
      </c>
      <c r="J76" s="202" t="s">
        <v>90</v>
      </c>
      <c r="K76" s="202"/>
      <c r="L76" s="202" t="s">
        <v>41</v>
      </c>
      <c r="M76" s="201" t="s">
        <v>42</v>
      </c>
      <c r="N76" s="202"/>
      <c r="O76" s="203" t="s">
        <v>25</v>
      </c>
      <c r="P76" s="22"/>
      <c r="AJ76" s="15">
        <f t="shared" si="2"/>
        <v>25</v>
      </c>
      <c r="AK76" s="16">
        <f t="shared" si="3"/>
        <v>24</v>
      </c>
    </row>
    <row r="77" ht="15.75" customHeight="1">
      <c r="A77" s="89"/>
      <c r="B77" s="200" t="s">
        <v>368</v>
      </c>
      <c r="C77" s="201" t="s">
        <v>121</v>
      </c>
      <c r="D77" s="202" t="s">
        <v>369</v>
      </c>
      <c r="E77" s="202" t="s">
        <v>37</v>
      </c>
      <c r="F77" s="202" t="s">
        <v>370</v>
      </c>
      <c r="G77" s="190">
        <f t="shared" si="1"/>
        <v>24</v>
      </c>
      <c r="H77" s="202" t="s">
        <v>217</v>
      </c>
      <c r="I77" s="202" t="s">
        <v>31</v>
      </c>
      <c r="J77" s="202" t="s">
        <v>371</v>
      </c>
      <c r="K77" s="202">
        <v>19.0</v>
      </c>
      <c r="L77" s="202" t="s">
        <v>41</v>
      </c>
      <c r="M77" s="201" t="s">
        <v>42</v>
      </c>
      <c r="N77" s="202" t="s">
        <v>372</v>
      </c>
      <c r="O77" s="203" t="s">
        <v>25</v>
      </c>
      <c r="P77" s="22"/>
      <c r="AJ77" s="15">
        <f t="shared" si="2"/>
        <v>124</v>
      </c>
      <c r="AK77" s="16">
        <f t="shared" si="3"/>
        <v>123</v>
      </c>
    </row>
    <row r="78" ht="15.75" customHeight="1">
      <c r="A78" s="89"/>
      <c r="B78" s="204" t="s">
        <v>373</v>
      </c>
      <c r="C78" s="205" t="s">
        <v>121</v>
      </c>
      <c r="D78" s="206" t="s">
        <v>374</v>
      </c>
      <c r="E78" s="206" t="s">
        <v>19</v>
      </c>
      <c r="F78" s="206" t="s">
        <v>375</v>
      </c>
      <c r="G78" s="190">
        <f t="shared" si="1"/>
        <v>27</v>
      </c>
      <c r="H78" s="206" t="s">
        <v>137</v>
      </c>
      <c r="I78" s="206" t="s">
        <v>31</v>
      </c>
      <c r="J78" s="206" t="s">
        <v>239</v>
      </c>
      <c r="K78" s="206"/>
      <c r="L78" s="206" t="s">
        <v>41</v>
      </c>
      <c r="M78" s="205" t="s">
        <v>42</v>
      </c>
      <c r="N78" s="206" t="s">
        <v>33</v>
      </c>
      <c r="O78" s="207" t="s">
        <v>25</v>
      </c>
      <c r="P78" s="22"/>
      <c r="AJ78" s="15">
        <f t="shared" si="2"/>
        <v>27</v>
      </c>
      <c r="AK78" s="16">
        <f t="shared" si="3"/>
        <v>26</v>
      </c>
    </row>
    <row r="79" ht="15.75" customHeight="1">
      <c r="A79" s="89"/>
      <c r="B79" s="208" t="s">
        <v>376</v>
      </c>
      <c r="C79" s="209" t="s">
        <v>35</v>
      </c>
      <c r="D79" s="210" t="s">
        <v>377</v>
      </c>
      <c r="E79" s="210" t="s">
        <v>37</v>
      </c>
      <c r="F79" s="210" t="s">
        <v>378</v>
      </c>
      <c r="G79" s="190">
        <f t="shared" si="1"/>
        <v>24</v>
      </c>
      <c r="H79" s="210" t="s">
        <v>263</v>
      </c>
      <c r="I79" s="210" t="s">
        <v>112</v>
      </c>
      <c r="J79" s="210" t="s">
        <v>379</v>
      </c>
      <c r="K79" s="210">
        <v>20.0</v>
      </c>
      <c r="L79" s="210" t="s">
        <v>41</v>
      </c>
      <c r="M79" s="209" t="s">
        <v>42</v>
      </c>
      <c r="N79" s="210" t="s">
        <v>157</v>
      </c>
      <c r="O79" s="211" t="s">
        <v>127</v>
      </c>
      <c r="P79" s="22"/>
      <c r="AJ79" s="15">
        <f t="shared" si="2"/>
        <v>124</v>
      </c>
      <c r="AK79" s="16">
        <f t="shared" si="3"/>
        <v>123</v>
      </c>
    </row>
    <row r="80" ht="15.75" customHeight="1">
      <c r="A80" s="89"/>
      <c r="B80" s="208" t="s">
        <v>342</v>
      </c>
      <c r="C80" s="209" t="s">
        <v>121</v>
      </c>
      <c r="D80" s="210" t="s">
        <v>343</v>
      </c>
      <c r="E80" s="210" t="s">
        <v>37</v>
      </c>
      <c r="F80" s="210" t="s">
        <v>344</v>
      </c>
      <c r="G80" s="190">
        <f t="shared" si="1"/>
        <v>27</v>
      </c>
      <c r="H80" s="210" t="s">
        <v>117</v>
      </c>
      <c r="I80" s="210" t="s">
        <v>52</v>
      </c>
      <c r="J80" s="210" t="s">
        <v>90</v>
      </c>
      <c r="K80" s="210"/>
      <c r="L80" s="210" t="s">
        <v>41</v>
      </c>
      <c r="M80" s="209" t="s">
        <v>42</v>
      </c>
      <c r="N80" s="210"/>
      <c r="O80" s="211" t="s">
        <v>25</v>
      </c>
      <c r="P80" s="22"/>
      <c r="AJ80" s="15">
        <f t="shared" si="2"/>
        <v>27</v>
      </c>
      <c r="AK80" s="16">
        <f t="shared" si="3"/>
        <v>26</v>
      </c>
    </row>
    <row r="81" ht="15.75" customHeight="1">
      <c r="A81" s="89"/>
      <c r="B81" s="204" t="s">
        <v>380</v>
      </c>
      <c r="C81" s="205" t="s">
        <v>121</v>
      </c>
      <c r="D81" s="206" t="s">
        <v>381</v>
      </c>
      <c r="E81" s="206" t="s">
        <v>37</v>
      </c>
      <c r="F81" s="206" t="s">
        <v>382</v>
      </c>
      <c r="G81" s="190">
        <f t="shared" si="1"/>
        <v>25</v>
      </c>
      <c r="H81" s="206" t="s">
        <v>39</v>
      </c>
      <c r="I81" s="206" t="s">
        <v>289</v>
      </c>
      <c r="J81" s="206" t="s">
        <v>383</v>
      </c>
      <c r="K81" s="206">
        <v>18.0</v>
      </c>
      <c r="L81" s="206" t="s">
        <v>41</v>
      </c>
      <c r="M81" s="205" t="s">
        <v>42</v>
      </c>
      <c r="N81" s="206"/>
      <c r="O81" s="207" t="s">
        <v>25</v>
      </c>
      <c r="P81" s="22"/>
      <c r="AJ81" s="15">
        <f t="shared" si="2"/>
        <v>25</v>
      </c>
      <c r="AK81" s="16">
        <f t="shared" si="3"/>
        <v>24</v>
      </c>
    </row>
    <row r="82" ht="15.75" customHeight="1">
      <c r="A82" s="89"/>
      <c r="B82" s="204" t="s">
        <v>384</v>
      </c>
      <c r="C82" s="205" t="s">
        <v>35</v>
      </c>
      <c r="D82" s="206" t="s">
        <v>385</v>
      </c>
      <c r="E82" s="206" t="s">
        <v>19</v>
      </c>
      <c r="F82" s="206" t="s">
        <v>386</v>
      </c>
      <c r="G82" s="190">
        <f t="shared" si="1"/>
        <v>26</v>
      </c>
      <c r="H82" s="206" t="s">
        <v>101</v>
      </c>
      <c r="I82" s="206" t="s">
        <v>118</v>
      </c>
      <c r="J82" s="206" t="s">
        <v>284</v>
      </c>
      <c r="K82" s="206"/>
      <c r="L82" s="206" t="s">
        <v>41</v>
      </c>
      <c r="M82" s="205" t="s">
        <v>42</v>
      </c>
      <c r="N82" s="206" t="s">
        <v>301</v>
      </c>
      <c r="O82" s="207" t="s">
        <v>25</v>
      </c>
      <c r="P82" s="22"/>
      <c r="AJ82" s="15">
        <f t="shared" si="2"/>
        <v>26</v>
      </c>
      <c r="AK82" s="16">
        <f t="shared" si="3"/>
        <v>25</v>
      </c>
    </row>
    <row r="83" ht="15.75" customHeight="1">
      <c r="A83" s="89"/>
      <c r="B83" s="200" t="s">
        <v>387</v>
      </c>
      <c r="C83" s="201" t="s">
        <v>35</v>
      </c>
      <c r="D83" s="202" t="s">
        <v>388</v>
      </c>
      <c r="E83" s="202" t="s">
        <v>37</v>
      </c>
      <c r="F83" s="202" t="s">
        <v>389</v>
      </c>
      <c r="G83" s="190">
        <f t="shared" si="1"/>
        <v>23</v>
      </c>
      <c r="H83" s="202" t="s">
        <v>117</v>
      </c>
      <c r="I83" s="202" t="s">
        <v>83</v>
      </c>
      <c r="J83" s="202" t="s">
        <v>390</v>
      </c>
      <c r="K83" s="202"/>
      <c r="L83" s="202" t="s">
        <v>41</v>
      </c>
      <c r="M83" s="201" t="s">
        <v>42</v>
      </c>
      <c r="N83" s="202" t="s">
        <v>33</v>
      </c>
      <c r="O83" s="203" t="s">
        <v>25</v>
      </c>
      <c r="P83" s="22"/>
      <c r="AJ83" s="15">
        <f t="shared" si="2"/>
        <v>123</v>
      </c>
      <c r="AK83" s="16">
        <f t="shared" si="3"/>
        <v>122</v>
      </c>
    </row>
    <row r="84" ht="15.75" customHeight="1">
      <c r="A84" s="89"/>
      <c r="B84" s="204" t="s">
        <v>391</v>
      </c>
      <c r="C84" s="205" t="s">
        <v>35</v>
      </c>
      <c r="D84" s="206" t="s">
        <v>392</v>
      </c>
      <c r="E84" s="206" t="s">
        <v>37</v>
      </c>
      <c r="F84" s="206" t="s">
        <v>393</v>
      </c>
      <c r="G84" s="190">
        <f t="shared" si="1"/>
        <v>24</v>
      </c>
      <c r="H84" s="206" t="s">
        <v>348</v>
      </c>
      <c r="I84" s="206" t="s">
        <v>83</v>
      </c>
      <c r="J84" s="206" t="s">
        <v>390</v>
      </c>
      <c r="K84" s="206"/>
      <c r="L84" s="206" t="s">
        <v>41</v>
      </c>
      <c r="M84" s="205" t="s">
        <v>42</v>
      </c>
      <c r="N84" s="206"/>
      <c r="O84" s="207" t="s">
        <v>25</v>
      </c>
      <c r="P84" s="22"/>
      <c r="AJ84" s="15">
        <f t="shared" si="2"/>
        <v>124</v>
      </c>
      <c r="AK84" s="16">
        <f t="shared" si="3"/>
        <v>123</v>
      </c>
    </row>
    <row r="85" ht="15.75" customHeight="1">
      <c r="A85" s="89"/>
      <c r="B85" s="208" t="s">
        <v>394</v>
      </c>
      <c r="C85" s="209" t="s">
        <v>27</v>
      </c>
      <c r="D85" s="210" t="s">
        <v>395</v>
      </c>
      <c r="E85" s="210" t="s">
        <v>19</v>
      </c>
      <c r="F85" s="216" t="s">
        <v>396</v>
      </c>
      <c r="G85" s="190">
        <f t="shared" si="1"/>
        <v>28</v>
      </c>
      <c r="H85" s="210" t="s">
        <v>397</v>
      </c>
      <c r="I85" s="210" t="s">
        <v>398</v>
      </c>
      <c r="J85" s="210" t="s">
        <v>399</v>
      </c>
      <c r="K85" s="210">
        <v>22.0</v>
      </c>
      <c r="L85" s="210" t="s">
        <v>41</v>
      </c>
      <c r="M85" s="209" t="s">
        <v>42</v>
      </c>
      <c r="N85" s="210"/>
      <c r="O85" s="211" t="s">
        <v>25</v>
      </c>
      <c r="P85" s="22"/>
      <c r="AJ85" s="15">
        <f t="shared" si="2"/>
        <v>28</v>
      </c>
      <c r="AK85" s="16">
        <f t="shared" si="3"/>
        <v>27</v>
      </c>
    </row>
    <row r="86" ht="15.75" customHeight="1">
      <c r="A86" s="89"/>
      <c r="B86" s="196" t="s">
        <v>400</v>
      </c>
      <c r="C86" s="197" t="s">
        <v>98</v>
      </c>
      <c r="D86" s="198" t="s">
        <v>401</v>
      </c>
      <c r="E86" s="198" t="s">
        <v>37</v>
      </c>
      <c r="F86" s="198" t="s">
        <v>402</v>
      </c>
      <c r="G86" s="190">
        <f t="shared" si="1"/>
        <v>25</v>
      </c>
      <c r="H86" s="198" t="s">
        <v>189</v>
      </c>
      <c r="I86" s="198" t="s">
        <v>89</v>
      </c>
      <c r="J86" s="198" t="s">
        <v>403</v>
      </c>
      <c r="K86" s="198">
        <v>22.0</v>
      </c>
      <c r="L86" s="198" t="s">
        <v>23</v>
      </c>
      <c r="M86" s="197" t="s">
        <v>24</v>
      </c>
      <c r="N86" s="198" t="s">
        <v>33</v>
      </c>
      <c r="O86" s="199" t="s">
        <v>25</v>
      </c>
      <c r="P86" s="22"/>
      <c r="AJ86" s="15">
        <f t="shared" si="2"/>
        <v>25</v>
      </c>
      <c r="AK86" s="16">
        <f t="shared" si="3"/>
        <v>24</v>
      </c>
    </row>
    <row r="87" ht="15.75" customHeight="1">
      <c r="A87" s="89"/>
      <c r="B87" s="196" t="s">
        <v>404</v>
      </c>
      <c r="C87" s="197" t="s">
        <v>98</v>
      </c>
      <c r="D87" s="198" t="s">
        <v>405</v>
      </c>
      <c r="E87" s="198" t="s">
        <v>37</v>
      </c>
      <c r="F87" s="198" t="s">
        <v>406</v>
      </c>
      <c r="G87" s="190">
        <f t="shared" si="1"/>
        <v>24</v>
      </c>
      <c r="H87" s="198" t="s">
        <v>196</v>
      </c>
      <c r="I87" s="198" t="s">
        <v>156</v>
      </c>
      <c r="J87" s="198"/>
      <c r="K87" s="198"/>
      <c r="L87" s="198"/>
      <c r="M87" s="197"/>
      <c r="N87" s="198"/>
      <c r="O87" s="199" t="s">
        <v>25</v>
      </c>
      <c r="P87" s="22"/>
      <c r="AJ87" s="15">
        <f t="shared" si="2"/>
        <v>124</v>
      </c>
      <c r="AK87" s="16">
        <f t="shared" si="3"/>
        <v>123</v>
      </c>
    </row>
    <row r="88" ht="15.75" customHeight="1">
      <c r="A88" s="89"/>
      <c r="B88" s="204" t="s">
        <v>407</v>
      </c>
      <c r="C88" s="205" t="s">
        <v>109</v>
      </c>
      <c r="D88" s="206" t="s">
        <v>408</v>
      </c>
      <c r="E88" s="206" t="s">
        <v>19</v>
      </c>
      <c r="F88" s="206" t="s">
        <v>409</v>
      </c>
      <c r="G88" s="190">
        <f t="shared" si="1"/>
        <v>26</v>
      </c>
      <c r="H88" s="206" t="s">
        <v>78</v>
      </c>
      <c r="I88" s="206" t="s">
        <v>258</v>
      </c>
      <c r="J88" s="206" t="s">
        <v>410</v>
      </c>
      <c r="K88" s="206"/>
      <c r="L88" s="206" t="s">
        <v>41</v>
      </c>
      <c r="M88" s="205" t="s">
        <v>42</v>
      </c>
      <c r="N88" s="206"/>
      <c r="O88" s="207" t="s">
        <v>25</v>
      </c>
      <c r="P88" s="22"/>
      <c r="AJ88" s="15">
        <f t="shared" si="2"/>
        <v>26</v>
      </c>
      <c r="AK88" s="16">
        <f t="shared" si="3"/>
        <v>25</v>
      </c>
    </row>
    <row r="89" ht="15.75" customHeight="1">
      <c r="A89" s="89"/>
      <c r="B89" s="200" t="s">
        <v>411</v>
      </c>
      <c r="C89" s="201" t="s">
        <v>121</v>
      </c>
      <c r="D89" s="202" t="s">
        <v>412</v>
      </c>
      <c r="E89" s="202" t="s">
        <v>37</v>
      </c>
      <c r="F89" s="202" t="s">
        <v>413</v>
      </c>
      <c r="G89" s="190">
        <f t="shared" si="1"/>
        <v>25</v>
      </c>
      <c r="H89" s="202" t="s">
        <v>414</v>
      </c>
      <c r="I89" s="202" t="s">
        <v>112</v>
      </c>
      <c r="J89" s="202" t="s">
        <v>415</v>
      </c>
      <c r="K89" s="202"/>
      <c r="L89" s="202" t="s">
        <v>23</v>
      </c>
      <c r="M89" s="201" t="s">
        <v>416</v>
      </c>
      <c r="N89" s="202"/>
      <c r="O89" s="203" t="s">
        <v>25</v>
      </c>
      <c r="P89" s="22"/>
      <c r="AJ89" s="15">
        <f t="shared" si="2"/>
        <v>25</v>
      </c>
      <c r="AK89" s="16">
        <f t="shared" si="3"/>
        <v>24</v>
      </c>
    </row>
    <row r="90" ht="15.75" customHeight="1">
      <c r="A90" s="89"/>
      <c r="B90" s="204" t="s">
        <v>417</v>
      </c>
      <c r="C90" s="205" t="s">
        <v>121</v>
      </c>
      <c r="D90" s="206" t="s">
        <v>418</v>
      </c>
      <c r="E90" s="206" t="s">
        <v>19</v>
      </c>
      <c r="F90" s="206" t="s">
        <v>320</v>
      </c>
      <c r="G90" s="217">
        <f t="shared" si="1"/>
        <v>26</v>
      </c>
      <c r="H90" s="206" t="s">
        <v>419</v>
      </c>
      <c r="I90" s="206" t="s">
        <v>89</v>
      </c>
      <c r="J90" s="206"/>
      <c r="K90" s="206"/>
      <c r="L90" s="206" t="s">
        <v>23</v>
      </c>
      <c r="M90" s="205" t="s">
        <v>48</v>
      </c>
      <c r="N90" s="206"/>
      <c r="O90" s="207" t="s">
        <v>25</v>
      </c>
      <c r="P90" s="22"/>
      <c r="AJ90" s="15">
        <f t="shared" si="2"/>
        <v>26</v>
      </c>
      <c r="AK90" s="16">
        <f t="shared" si="3"/>
        <v>25</v>
      </c>
    </row>
    <row r="91" ht="15.75" customHeight="1">
      <c r="A91" s="89"/>
      <c r="B91" s="208" t="s">
        <v>420</v>
      </c>
      <c r="C91" s="209" t="s">
        <v>44</v>
      </c>
      <c r="D91" s="210" t="s">
        <v>421</v>
      </c>
      <c r="E91" s="210" t="s">
        <v>19</v>
      </c>
      <c r="F91" s="210" t="s">
        <v>422</v>
      </c>
      <c r="G91" s="217">
        <f t="shared" si="1"/>
        <v>25</v>
      </c>
      <c r="H91" s="210" t="s">
        <v>101</v>
      </c>
      <c r="I91" s="210" t="s">
        <v>118</v>
      </c>
      <c r="J91" s="210"/>
      <c r="K91" s="210"/>
      <c r="L91" s="210" t="s">
        <v>41</v>
      </c>
      <c r="M91" s="209" t="s">
        <v>42</v>
      </c>
      <c r="N91" s="210"/>
      <c r="O91" s="211" t="s">
        <v>127</v>
      </c>
      <c r="P91" s="22"/>
      <c r="AJ91" s="15">
        <f t="shared" si="2"/>
        <v>25</v>
      </c>
      <c r="AK91" s="16">
        <f t="shared" si="3"/>
        <v>24</v>
      </c>
    </row>
    <row r="92" ht="15.75" customHeight="1">
      <c r="A92" s="99"/>
      <c r="B92" s="218" t="s">
        <v>423</v>
      </c>
      <c r="C92" s="219" t="s">
        <v>44</v>
      </c>
      <c r="D92" s="220" t="s">
        <v>424</v>
      </c>
      <c r="E92" s="220" t="s">
        <v>19</v>
      </c>
      <c r="F92" s="220" t="s">
        <v>425</v>
      </c>
      <c r="G92" s="217">
        <f t="shared" si="1"/>
        <v>23</v>
      </c>
      <c r="H92" s="220" t="s">
        <v>56</v>
      </c>
      <c r="I92" s="220" t="s">
        <v>190</v>
      </c>
      <c r="J92" s="220"/>
      <c r="K92" s="220"/>
      <c r="L92" s="220" t="s">
        <v>41</v>
      </c>
      <c r="M92" s="219" t="s">
        <v>42</v>
      </c>
      <c r="N92" s="220"/>
      <c r="O92" s="221" t="s">
        <v>127</v>
      </c>
      <c r="P92" s="62"/>
      <c r="AJ92" s="15">
        <f t="shared" si="2"/>
        <v>123</v>
      </c>
      <c r="AK92" s="16">
        <f t="shared" si="3"/>
        <v>122</v>
      </c>
    </row>
    <row r="93" ht="15.75" customHeight="1">
      <c r="AJ93" s="15">
        <f t="shared" si="2"/>
        <v>124</v>
      </c>
      <c r="AK93" s="16">
        <f t="shared" si="3"/>
        <v>123</v>
      </c>
    </row>
    <row r="94" ht="15.75" customHeight="1">
      <c r="AJ94" s="15" t="str">
        <f t="shared" ref="AJ94:AJ95" si="4">124-VALUE(LEFT(#REF!,2))</f>
        <v>#REF!</v>
      </c>
      <c r="AK94" s="16">
        <f t="shared" si="3"/>
        <v>123</v>
      </c>
    </row>
    <row r="95" ht="15.75" customHeight="1">
      <c r="AJ95" s="15" t="str">
        <f t="shared" si="4"/>
        <v>#REF!</v>
      </c>
      <c r="AK95" s="16">
        <f t="shared" si="3"/>
        <v>123</v>
      </c>
    </row>
    <row r="96" ht="15.75" customHeight="1">
      <c r="AJ96" s="15">
        <f t="shared" ref="AJ96:AJ227" si="5">124-VALUE(LEFT(F96,2))</f>
        <v>124</v>
      </c>
      <c r="AK96" s="16">
        <f t="shared" si="3"/>
        <v>123</v>
      </c>
    </row>
    <row r="97" ht="15.75" customHeight="1">
      <c r="AJ97" s="15">
        <f t="shared" si="5"/>
        <v>124</v>
      </c>
      <c r="AK97" s="16">
        <f t="shared" si="3"/>
        <v>123</v>
      </c>
    </row>
    <row r="98" ht="15.75" customHeight="1">
      <c r="AJ98" s="15">
        <f t="shared" si="5"/>
        <v>124</v>
      </c>
      <c r="AK98" s="16">
        <f t="shared" si="3"/>
        <v>123</v>
      </c>
    </row>
    <row r="99" ht="15.75" customHeight="1">
      <c r="AJ99" s="15">
        <f t="shared" si="5"/>
        <v>124</v>
      </c>
      <c r="AK99" s="16" t="str">
        <f t="shared" ref="AK99:AK134" si="6">124-VALUE(LEFT(#REF!,2))-1</f>
        <v>#REF!</v>
      </c>
    </row>
    <row r="100" ht="15.75" customHeight="1">
      <c r="AJ100" s="15">
        <f t="shared" si="5"/>
        <v>124</v>
      </c>
      <c r="AK100" s="16" t="str">
        <f t="shared" si="6"/>
        <v>#REF!</v>
      </c>
    </row>
    <row r="101" ht="15.75" customHeight="1">
      <c r="AJ101" s="15">
        <f t="shared" si="5"/>
        <v>124</v>
      </c>
      <c r="AK101" s="16" t="str">
        <f t="shared" si="6"/>
        <v>#REF!</v>
      </c>
    </row>
    <row r="102" ht="15.75" customHeight="1">
      <c r="AJ102" s="15">
        <f t="shared" si="5"/>
        <v>124</v>
      </c>
      <c r="AK102" s="16" t="str">
        <f t="shared" si="6"/>
        <v>#REF!</v>
      </c>
    </row>
    <row r="103" ht="15.75" customHeight="1">
      <c r="AJ103" s="15">
        <f t="shared" si="5"/>
        <v>124</v>
      </c>
      <c r="AK103" s="16" t="str">
        <f t="shared" si="6"/>
        <v>#REF!</v>
      </c>
    </row>
    <row r="104" ht="15.75" customHeight="1">
      <c r="AJ104" s="15">
        <f t="shared" si="5"/>
        <v>124</v>
      </c>
      <c r="AK104" s="16" t="str">
        <f t="shared" si="6"/>
        <v>#REF!</v>
      </c>
    </row>
    <row r="105" ht="15.75" customHeight="1">
      <c r="AJ105" s="15">
        <f t="shared" si="5"/>
        <v>124</v>
      </c>
      <c r="AK105" s="16" t="str">
        <f t="shared" si="6"/>
        <v>#REF!</v>
      </c>
    </row>
    <row r="106" ht="15.75" customHeight="1">
      <c r="AJ106" s="15">
        <f t="shared" si="5"/>
        <v>124</v>
      </c>
      <c r="AK106" s="16" t="str">
        <f t="shared" si="6"/>
        <v>#REF!</v>
      </c>
    </row>
    <row r="107" ht="15.75" customHeight="1">
      <c r="AJ107" s="15">
        <f t="shared" si="5"/>
        <v>124</v>
      </c>
      <c r="AK107" s="16" t="str">
        <f t="shared" si="6"/>
        <v>#REF!</v>
      </c>
    </row>
    <row r="108" ht="15.75" customHeight="1">
      <c r="AJ108" s="15">
        <f t="shared" si="5"/>
        <v>124</v>
      </c>
      <c r="AK108" s="16" t="str">
        <f t="shared" si="6"/>
        <v>#REF!</v>
      </c>
    </row>
    <row r="109" ht="15.75" customHeight="1">
      <c r="AJ109" s="15">
        <f t="shared" si="5"/>
        <v>124</v>
      </c>
      <c r="AK109" s="16" t="str">
        <f t="shared" si="6"/>
        <v>#REF!</v>
      </c>
    </row>
    <row r="110" ht="15.75" customHeight="1">
      <c r="AJ110" s="15">
        <f t="shared" si="5"/>
        <v>124</v>
      </c>
      <c r="AK110" s="16" t="str">
        <f t="shared" si="6"/>
        <v>#REF!</v>
      </c>
    </row>
    <row r="111" ht="15.75" customHeight="1">
      <c r="AJ111" s="15">
        <f t="shared" si="5"/>
        <v>124</v>
      </c>
      <c r="AK111" s="16" t="str">
        <f t="shared" si="6"/>
        <v>#REF!</v>
      </c>
    </row>
    <row r="112" ht="15.75" customHeight="1">
      <c r="AJ112" s="15">
        <f t="shared" si="5"/>
        <v>124</v>
      </c>
      <c r="AK112" s="16" t="str">
        <f t="shared" si="6"/>
        <v>#REF!</v>
      </c>
    </row>
    <row r="113" ht="15.75" customHeight="1">
      <c r="AJ113" s="15">
        <f t="shared" si="5"/>
        <v>124</v>
      </c>
      <c r="AK113" s="16" t="str">
        <f t="shared" si="6"/>
        <v>#REF!</v>
      </c>
    </row>
    <row r="114" ht="15.75" customHeight="1">
      <c r="AJ114" s="15">
        <f t="shared" si="5"/>
        <v>124</v>
      </c>
      <c r="AK114" s="16" t="str">
        <f t="shared" si="6"/>
        <v>#REF!</v>
      </c>
    </row>
    <row r="115" ht="15.75" customHeight="1">
      <c r="AJ115" s="15">
        <f t="shared" si="5"/>
        <v>124</v>
      </c>
      <c r="AK115" s="16" t="str">
        <f t="shared" si="6"/>
        <v>#REF!</v>
      </c>
    </row>
    <row r="116" ht="15.75" customHeight="1">
      <c r="AJ116" s="15">
        <f t="shared" si="5"/>
        <v>124</v>
      </c>
      <c r="AK116" s="16" t="str">
        <f t="shared" si="6"/>
        <v>#REF!</v>
      </c>
    </row>
    <row r="117" ht="15.75" customHeight="1">
      <c r="AJ117" s="15">
        <f t="shared" si="5"/>
        <v>124</v>
      </c>
      <c r="AK117" s="16" t="str">
        <f t="shared" si="6"/>
        <v>#REF!</v>
      </c>
    </row>
    <row r="118" ht="15.75" customHeight="1">
      <c r="AJ118" s="15">
        <f t="shared" si="5"/>
        <v>124</v>
      </c>
      <c r="AK118" s="16" t="str">
        <f t="shared" si="6"/>
        <v>#REF!</v>
      </c>
    </row>
    <row r="119" ht="15.75" customHeight="1">
      <c r="AJ119" s="15">
        <f t="shared" si="5"/>
        <v>124</v>
      </c>
      <c r="AK119" s="16" t="str">
        <f t="shared" si="6"/>
        <v>#REF!</v>
      </c>
    </row>
    <row r="120" ht="15.75" customHeight="1">
      <c r="AJ120" s="15">
        <f t="shared" si="5"/>
        <v>124</v>
      </c>
      <c r="AK120" s="16" t="str">
        <f t="shared" si="6"/>
        <v>#REF!</v>
      </c>
    </row>
    <row r="121" ht="15.75" customHeight="1">
      <c r="AJ121" s="15">
        <f t="shared" si="5"/>
        <v>124</v>
      </c>
      <c r="AK121" s="16" t="str">
        <f t="shared" si="6"/>
        <v>#REF!</v>
      </c>
    </row>
    <row r="122" ht="15.75" customHeight="1">
      <c r="AJ122" s="15">
        <f t="shared" si="5"/>
        <v>124</v>
      </c>
      <c r="AK122" s="16" t="str">
        <f t="shared" si="6"/>
        <v>#REF!</v>
      </c>
    </row>
    <row r="123" ht="15.75" customHeight="1">
      <c r="AJ123" s="15">
        <f t="shared" si="5"/>
        <v>124</v>
      </c>
      <c r="AK123" s="16" t="str">
        <f t="shared" si="6"/>
        <v>#REF!</v>
      </c>
    </row>
    <row r="124" ht="15.75" customHeight="1">
      <c r="AJ124" s="15">
        <f t="shared" si="5"/>
        <v>124</v>
      </c>
      <c r="AK124" s="16" t="str">
        <f t="shared" si="6"/>
        <v>#REF!</v>
      </c>
    </row>
    <row r="125" ht="15.75" customHeight="1">
      <c r="AJ125" s="15">
        <f t="shared" si="5"/>
        <v>124</v>
      </c>
      <c r="AK125" s="16" t="str">
        <f t="shared" si="6"/>
        <v>#REF!</v>
      </c>
    </row>
    <row r="126" ht="15.75" customHeight="1">
      <c r="AJ126" s="15">
        <f t="shared" si="5"/>
        <v>124</v>
      </c>
      <c r="AK126" s="16" t="str">
        <f t="shared" si="6"/>
        <v>#REF!</v>
      </c>
    </row>
    <row r="127" ht="15.75" customHeight="1">
      <c r="AJ127" s="15">
        <f t="shared" si="5"/>
        <v>124</v>
      </c>
      <c r="AK127" s="16" t="str">
        <f t="shared" si="6"/>
        <v>#REF!</v>
      </c>
    </row>
    <row r="128" ht="15.75" customHeight="1">
      <c r="AJ128" s="15">
        <f t="shared" si="5"/>
        <v>124</v>
      </c>
      <c r="AK128" s="16" t="str">
        <f t="shared" si="6"/>
        <v>#REF!</v>
      </c>
    </row>
    <row r="129" ht="15.75" customHeight="1">
      <c r="AJ129" s="15">
        <f t="shared" si="5"/>
        <v>124</v>
      </c>
      <c r="AK129" s="16" t="str">
        <f t="shared" si="6"/>
        <v>#REF!</v>
      </c>
    </row>
    <row r="130" ht="15.75" customHeight="1">
      <c r="AJ130" s="15">
        <f t="shared" si="5"/>
        <v>124</v>
      </c>
      <c r="AK130" s="16" t="str">
        <f t="shared" si="6"/>
        <v>#REF!</v>
      </c>
    </row>
    <row r="131" ht="15.75" customHeight="1">
      <c r="AJ131" s="15">
        <f t="shared" si="5"/>
        <v>124</v>
      </c>
      <c r="AK131" s="16" t="str">
        <f t="shared" si="6"/>
        <v>#REF!</v>
      </c>
    </row>
    <row r="132" ht="15.75" customHeight="1">
      <c r="AJ132" s="15">
        <f t="shared" si="5"/>
        <v>124</v>
      </c>
      <c r="AK132" s="16" t="str">
        <f t="shared" si="6"/>
        <v>#REF!</v>
      </c>
    </row>
    <row r="133" ht="15.75" customHeight="1">
      <c r="AJ133" s="15">
        <f t="shared" si="5"/>
        <v>124</v>
      </c>
      <c r="AK133" s="16" t="str">
        <f t="shared" si="6"/>
        <v>#REF!</v>
      </c>
    </row>
    <row r="134" ht="15.75" customHeight="1">
      <c r="AJ134" s="15">
        <f t="shared" si="5"/>
        <v>124</v>
      </c>
      <c r="AK134" s="16" t="str">
        <f t="shared" si="6"/>
        <v>#REF!</v>
      </c>
    </row>
    <row r="135" ht="15.75" customHeight="1">
      <c r="AJ135" s="15">
        <f t="shared" si="5"/>
        <v>124</v>
      </c>
      <c r="AK135" s="16">
        <f t="shared" ref="AK135:AK223" si="7">124-VALUE(LEFT(F135,2))-1</f>
        <v>123</v>
      </c>
    </row>
    <row r="136" ht="15.75" customHeight="1">
      <c r="AJ136" s="15">
        <f t="shared" si="5"/>
        <v>124</v>
      </c>
      <c r="AK136" s="16">
        <f t="shared" si="7"/>
        <v>123</v>
      </c>
    </row>
    <row r="137" ht="15.75" customHeight="1">
      <c r="AJ137" s="15">
        <f t="shared" si="5"/>
        <v>124</v>
      </c>
      <c r="AK137" s="16">
        <f t="shared" si="7"/>
        <v>123</v>
      </c>
    </row>
    <row r="138" ht="15.75" customHeight="1">
      <c r="AJ138" s="15">
        <f t="shared" si="5"/>
        <v>124</v>
      </c>
      <c r="AK138" s="16">
        <f t="shared" si="7"/>
        <v>123</v>
      </c>
    </row>
    <row r="139" ht="15.75" customHeight="1">
      <c r="AJ139" s="15">
        <f t="shared" si="5"/>
        <v>124</v>
      </c>
      <c r="AK139" s="16">
        <f t="shared" si="7"/>
        <v>123</v>
      </c>
    </row>
    <row r="140" ht="15.75" customHeight="1">
      <c r="AJ140" s="15">
        <f t="shared" si="5"/>
        <v>124</v>
      </c>
      <c r="AK140" s="16">
        <f t="shared" si="7"/>
        <v>123</v>
      </c>
    </row>
    <row r="141" ht="15.75" customHeight="1">
      <c r="AJ141" s="15">
        <f t="shared" si="5"/>
        <v>124</v>
      </c>
      <c r="AK141" s="16">
        <f t="shared" si="7"/>
        <v>123</v>
      </c>
    </row>
    <row r="142" ht="15.75" customHeight="1">
      <c r="AJ142" s="15">
        <f t="shared" si="5"/>
        <v>124</v>
      </c>
      <c r="AK142" s="16">
        <f t="shared" si="7"/>
        <v>123</v>
      </c>
    </row>
    <row r="143" ht="15.75" customHeight="1">
      <c r="AJ143" s="15">
        <f t="shared" si="5"/>
        <v>124</v>
      </c>
      <c r="AK143" s="16">
        <f t="shared" si="7"/>
        <v>123</v>
      </c>
    </row>
    <row r="144" ht="15.75" customHeight="1">
      <c r="AJ144" s="15">
        <f t="shared" si="5"/>
        <v>124</v>
      </c>
      <c r="AK144" s="16">
        <f t="shared" si="7"/>
        <v>123</v>
      </c>
    </row>
    <row r="145" ht="15.75" customHeight="1">
      <c r="AJ145" s="15">
        <f t="shared" si="5"/>
        <v>124</v>
      </c>
      <c r="AK145" s="16">
        <f t="shared" si="7"/>
        <v>123</v>
      </c>
    </row>
    <row r="146" ht="15.75" customHeight="1">
      <c r="AJ146" s="15">
        <f t="shared" si="5"/>
        <v>124</v>
      </c>
      <c r="AK146" s="16">
        <f t="shared" si="7"/>
        <v>123</v>
      </c>
    </row>
    <row r="147" ht="15.75" customHeight="1">
      <c r="AJ147" s="15">
        <f t="shared" si="5"/>
        <v>124</v>
      </c>
      <c r="AK147" s="16">
        <f t="shared" si="7"/>
        <v>123</v>
      </c>
    </row>
    <row r="148" ht="15.75" customHeight="1">
      <c r="AJ148" s="15">
        <f t="shared" si="5"/>
        <v>124</v>
      </c>
      <c r="AK148" s="16">
        <f t="shared" si="7"/>
        <v>123</v>
      </c>
    </row>
    <row r="149" ht="15.75" customHeight="1">
      <c r="AJ149" s="15">
        <f t="shared" si="5"/>
        <v>124</v>
      </c>
      <c r="AK149" s="16">
        <f t="shared" si="7"/>
        <v>123</v>
      </c>
    </row>
    <row r="150" ht="15.75" customHeight="1">
      <c r="AJ150" s="15">
        <f t="shared" si="5"/>
        <v>124</v>
      </c>
      <c r="AK150" s="16">
        <f t="shared" si="7"/>
        <v>123</v>
      </c>
    </row>
    <row r="151" ht="15.75" customHeight="1">
      <c r="AJ151" s="15">
        <f t="shared" si="5"/>
        <v>124</v>
      </c>
      <c r="AK151" s="16">
        <f t="shared" si="7"/>
        <v>123</v>
      </c>
    </row>
    <row r="152" ht="15.75" customHeight="1">
      <c r="AJ152" s="15">
        <f t="shared" si="5"/>
        <v>124</v>
      </c>
      <c r="AK152" s="16">
        <f t="shared" si="7"/>
        <v>123</v>
      </c>
    </row>
    <row r="153" ht="15.75" customHeight="1">
      <c r="AJ153" s="15">
        <f t="shared" si="5"/>
        <v>124</v>
      </c>
      <c r="AK153" s="16">
        <f t="shared" si="7"/>
        <v>123</v>
      </c>
    </row>
    <row r="154" ht="15.75" customHeight="1">
      <c r="AJ154" s="15">
        <f t="shared" si="5"/>
        <v>124</v>
      </c>
      <c r="AK154" s="16">
        <f t="shared" si="7"/>
        <v>123</v>
      </c>
    </row>
    <row r="155" ht="15.75" customHeight="1">
      <c r="AJ155" s="15">
        <f t="shared" si="5"/>
        <v>124</v>
      </c>
      <c r="AK155" s="16">
        <f t="shared" si="7"/>
        <v>123</v>
      </c>
    </row>
    <row r="156" ht="15.75" customHeight="1">
      <c r="AJ156" s="15">
        <f t="shared" si="5"/>
        <v>124</v>
      </c>
      <c r="AK156" s="16">
        <f t="shared" si="7"/>
        <v>123</v>
      </c>
    </row>
    <row r="157" ht="15.75" customHeight="1">
      <c r="AJ157" s="15">
        <f t="shared" si="5"/>
        <v>124</v>
      </c>
      <c r="AK157" s="16">
        <f t="shared" si="7"/>
        <v>123</v>
      </c>
    </row>
    <row r="158" ht="15.75" customHeight="1">
      <c r="AJ158" s="15">
        <f t="shared" si="5"/>
        <v>124</v>
      </c>
      <c r="AK158" s="16">
        <f t="shared" si="7"/>
        <v>123</v>
      </c>
    </row>
    <row r="159" ht="15.75" customHeight="1">
      <c r="AJ159" s="15">
        <f t="shared" si="5"/>
        <v>124</v>
      </c>
      <c r="AK159" s="16">
        <f t="shared" si="7"/>
        <v>123</v>
      </c>
    </row>
    <row r="160" ht="15.75" customHeight="1">
      <c r="AJ160" s="15">
        <f t="shared" si="5"/>
        <v>124</v>
      </c>
      <c r="AK160" s="16">
        <f t="shared" si="7"/>
        <v>123</v>
      </c>
    </row>
    <row r="161" ht="15.75" customHeight="1">
      <c r="AJ161" s="15">
        <f t="shared" si="5"/>
        <v>124</v>
      </c>
      <c r="AK161" s="16">
        <f t="shared" si="7"/>
        <v>123</v>
      </c>
    </row>
    <row r="162" ht="15.75" customHeight="1">
      <c r="AJ162" s="15">
        <f t="shared" si="5"/>
        <v>124</v>
      </c>
      <c r="AK162" s="16">
        <f t="shared" si="7"/>
        <v>123</v>
      </c>
    </row>
    <row r="163" ht="15.75" customHeight="1">
      <c r="AJ163" s="15">
        <f t="shared" si="5"/>
        <v>124</v>
      </c>
      <c r="AK163" s="16">
        <f t="shared" si="7"/>
        <v>123</v>
      </c>
    </row>
    <row r="164" ht="15.75" customHeight="1">
      <c r="AJ164" s="15">
        <f t="shared" si="5"/>
        <v>124</v>
      </c>
      <c r="AK164" s="16">
        <f t="shared" si="7"/>
        <v>123</v>
      </c>
    </row>
    <row r="165" ht="15.75" customHeight="1">
      <c r="AJ165" s="15">
        <f t="shared" si="5"/>
        <v>124</v>
      </c>
      <c r="AK165" s="16">
        <f t="shared" si="7"/>
        <v>123</v>
      </c>
    </row>
    <row r="166" ht="15.75" customHeight="1">
      <c r="AJ166" s="15">
        <f t="shared" si="5"/>
        <v>124</v>
      </c>
      <c r="AK166" s="16">
        <f t="shared" si="7"/>
        <v>123</v>
      </c>
    </row>
    <row r="167" ht="15.75" customHeight="1">
      <c r="AJ167" s="15">
        <f t="shared" si="5"/>
        <v>124</v>
      </c>
      <c r="AK167" s="16">
        <f t="shared" si="7"/>
        <v>123</v>
      </c>
    </row>
    <row r="168" ht="15.75" customHeight="1">
      <c r="AJ168" s="15">
        <f t="shared" si="5"/>
        <v>124</v>
      </c>
      <c r="AK168" s="16">
        <f t="shared" si="7"/>
        <v>123</v>
      </c>
    </row>
    <row r="169" ht="15.75" customHeight="1">
      <c r="AJ169" s="15">
        <f t="shared" si="5"/>
        <v>124</v>
      </c>
      <c r="AK169" s="16">
        <f t="shared" si="7"/>
        <v>123</v>
      </c>
    </row>
    <row r="170" ht="15.75" customHeight="1">
      <c r="AJ170" s="15">
        <f t="shared" si="5"/>
        <v>124</v>
      </c>
      <c r="AK170" s="16">
        <f t="shared" si="7"/>
        <v>123</v>
      </c>
    </row>
    <row r="171" ht="15.75" customHeight="1">
      <c r="AJ171" s="15">
        <f t="shared" si="5"/>
        <v>124</v>
      </c>
      <c r="AK171" s="16">
        <f t="shared" si="7"/>
        <v>123</v>
      </c>
    </row>
    <row r="172" ht="15.75" customHeight="1">
      <c r="AJ172" s="15">
        <f t="shared" si="5"/>
        <v>124</v>
      </c>
      <c r="AK172" s="16">
        <f t="shared" si="7"/>
        <v>123</v>
      </c>
    </row>
    <row r="173" ht="15.75" customHeight="1">
      <c r="AJ173" s="15">
        <f t="shared" si="5"/>
        <v>124</v>
      </c>
      <c r="AK173" s="16">
        <f t="shared" si="7"/>
        <v>123</v>
      </c>
    </row>
    <row r="174" ht="15.75" customHeight="1">
      <c r="AJ174" s="15">
        <f t="shared" si="5"/>
        <v>124</v>
      </c>
      <c r="AK174" s="16">
        <f t="shared" si="7"/>
        <v>123</v>
      </c>
    </row>
    <row r="175" ht="15.75" customHeight="1">
      <c r="AJ175" s="15">
        <f t="shared" si="5"/>
        <v>124</v>
      </c>
      <c r="AK175" s="16">
        <f t="shared" si="7"/>
        <v>123</v>
      </c>
    </row>
    <row r="176" ht="15.75" customHeight="1">
      <c r="AJ176" s="15">
        <f t="shared" si="5"/>
        <v>124</v>
      </c>
      <c r="AK176" s="16">
        <f t="shared" si="7"/>
        <v>123</v>
      </c>
    </row>
    <row r="177" ht="15.75" customHeight="1">
      <c r="AJ177" s="15">
        <f t="shared" si="5"/>
        <v>124</v>
      </c>
      <c r="AK177" s="16">
        <f t="shared" si="7"/>
        <v>123</v>
      </c>
    </row>
    <row r="178" ht="15.75" customHeight="1">
      <c r="AJ178" s="15">
        <f t="shared" si="5"/>
        <v>124</v>
      </c>
      <c r="AK178" s="16">
        <f t="shared" si="7"/>
        <v>123</v>
      </c>
    </row>
    <row r="179" ht="15.75" customHeight="1">
      <c r="AJ179" s="15">
        <f t="shared" si="5"/>
        <v>124</v>
      </c>
      <c r="AK179" s="16">
        <f t="shared" si="7"/>
        <v>123</v>
      </c>
    </row>
    <row r="180" ht="15.75" customHeight="1">
      <c r="AJ180" s="15">
        <f t="shared" si="5"/>
        <v>124</v>
      </c>
      <c r="AK180" s="16">
        <f t="shared" si="7"/>
        <v>123</v>
      </c>
    </row>
    <row r="181" ht="15.75" customHeight="1">
      <c r="AJ181" s="15">
        <f t="shared" si="5"/>
        <v>124</v>
      </c>
      <c r="AK181" s="16">
        <f t="shared" si="7"/>
        <v>123</v>
      </c>
    </row>
    <row r="182" ht="15.75" customHeight="1">
      <c r="AJ182" s="15">
        <f t="shared" si="5"/>
        <v>124</v>
      </c>
      <c r="AK182" s="16">
        <f t="shared" si="7"/>
        <v>123</v>
      </c>
    </row>
    <row r="183" ht="15.75" customHeight="1">
      <c r="AJ183" s="15">
        <f t="shared" si="5"/>
        <v>124</v>
      </c>
      <c r="AK183" s="16">
        <f t="shared" si="7"/>
        <v>123</v>
      </c>
    </row>
    <row r="184" ht="15.75" customHeight="1">
      <c r="AJ184" s="15">
        <f t="shared" si="5"/>
        <v>124</v>
      </c>
      <c r="AK184" s="16">
        <f t="shared" si="7"/>
        <v>123</v>
      </c>
    </row>
    <row r="185" ht="15.75" customHeight="1">
      <c r="AJ185" s="15">
        <f t="shared" si="5"/>
        <v>124</v>
      </c>
      <c r="AK185" s="16">
        <f t="shared" si="7"/>
        <v>123</v>
      </c>
    </row>
    <row r="186" ht="15.75" customHeight="1">
      <c r="AJ186" s="15">
        <f t="shared" si="5"/>
        <v>124</v>
      </c>
      <c r="AK186" s="16">
        <f t="shared" si="7"/>
        <v>123</v>
      </c>
    </row>
    <row r="187" ht="15.75" customHeight="1">
      <c r="AJ187" s="15">
        <f t="shared" si="5"/>
        <v>124</v>
      </c>
      <c r="AK187" s="16">
        <f t="shared" si="7"/>
        <v>123</v>
      </c>
    </row>
    <row r="188" ht="15.75" customHeight="1">
      <c r="AJ188" s="15">
        <f t="shared" si="5"/>
        <v>124</v>
      </c>
      <c r="AK188" s="16">
        <f t="shared" si="7"/>
        <v>123</v>
      </c>
    </row>
    <row r="189" ht="15.75" customHeight="1">
      <c r="AJ189" s="15">
        <f t="shared" si="5"/>
        <v>124</v>
      </c>
      <c r="AK189" s="16">
        <f t="shared" si="7"/>
        <v>123</v>
      </c>
    </row>
    <row r="190" ht="15.75" customHeight="1">
      <c r="AJ190" s="15">
        <f t="shared" si="5"/>
        <v>124</v>
      </c>
      <c r="AK190" s="16">
        <f t="shared" si="7"/>
        <v>123</v>
      </c>
    </row>
    <row r="191" ht="15.75" customHeight="1">
      <c r="AJ191" s="15">
        <f t="shared" si="5"/>
        <v>124</v>
      </c>
      <c r="AK191" s="16">
        <f t="shared" si="7"/>
        <v>123</v>
      </c>
    </row>
    <row r="192" ht="15.75" customHeight="1">
      <c r="AJ192" s="15">
        <f t="shared" si="5"/>
        <v>124</v>
      </c>
      <c r="AK192" s="16">
        <f t="shared" si="7"/>
        <v>123</v>
      </c>
    </row>
    <row r="193" ht="15.75" customHeight="1">
      <c r="AJ193" s="15">
        <f t="shared" si="5"/>
        <v>124</v>
      </c>
      <c r="AK193" s="16">
        <f t="shared" si="7"/>
        <v>123</v>
      </c>
    </row>
    <row r="194" ht="15.75" customHeight="1">
      <c r="AJ194" s="15">
        <f t="shared" si="5"/>
        <v>124</v>
      </c>
      <c r="AK194" s="16">
        <f t="shared" si="7"/>
        <v>123</v>
      </c>
    </row>
    <row r="195" ht="15.75" customHeight="1">
      <c r="AJ195" s="15">
        <f t="shared" si="5"/>
        <v>124</v>
      </c>
      <c r="AK195" s="16">
        <f t="shared" si="7"/>
        <v>123</v>
      </c>
    </row>
    <row r="196" ht="15.75" customHeight="1">
      <c r="AJ196" s="15">
        <f t="shared" si="5"/>
        <v>124</v>
      </c>
      <c r="AK196" s="16">
        <f t="shared" si="7"/>
        <v>123</v>
      </c>
    </row>
    <row r="197" ht="15.75" customHeight="1">
      <c r="AJ197" s="15">
        <f t="shared" si="5"/>
        <v>124</v>
      </c>
      <c r="AK197" s="16">
        <f t="shared" si="7"/>
        <v>123</v>
      </c>
    </row>
    <row r="198" ht="15.75" customHeight="1">
      <c r="AJ198" s="15">
        <f t="shared" si="5"/>
        <v>124</v>
      </c>
      <c r="AK198" s="16">
        <f t="shared" si="7"/>
        <v>123</v>
      </c>
    </row>
    <row r="199" ht="15.75" customHeight="1">
      <c r="AJ199" s="15">
        <f t="shared" si="5"/>
        <v>124</v>
      </c>
      <c r="AK199" s="16">
        <f t="shared" si="7"/>
        <v>123</v>
      </c>
    </row>
    <row r="200" ht="15.75" customHeight="1">
      <c r="AJ200" s="15">
        <f t="shared" si="5"/>
        <v>124</v>
      </c>
      <c r="AK200" s="16">
        <f t="shared" si="7"/>
        <v>123</v>
      </c>
    </row>
    <row r="201" ht="15.75" customHeight="1">
      <c r="AJ201" s="15">
        <f t="shared" si="5"/>
        <v>124</v>
      </c>
      <c r="AK201" s="16">
        <f t="shared" si="7"/>
        <v>123</v>
      </c>
    </row>
    <row r="202" ht="15.75" customHeight="1">
      <c r="AJ202" s="15">
        <f t="shared" si="5"/>
        <v>124</v>
      </c>
      <c r="AK202" s="16">
        <f t="shared" si="7"/>
        <v>123</v>
      </c>
    </row>
    <row r="203" ht="15.75" customHeight="1">
      <c r="AJ203" s="15">
        <f t="shared" si="5"/>
        <v>124</v>
      </c>
      <c r="AK203" s="16">
        <f t="shared" si="7"/>
        <v>123</v>
      </c>
    </row>
    <row r="204" ht="15.75" customHeight="1">
      <c r="AJ204" s="15">
        <f t="shared" si="5"/>
        <v>124</v>
      </c>
      <c r="AK204" s="16">
        <f t="shared" si="7"/>
        <v>123</v>
      </c>
    </row>
    <row r="205" ht="15.75" customHeight="1">
      <c r="AJ205" s="15">
        <f t="shared" si="5"/>
        <v>124</v>
      </c>
      <c r="AK205" s="16">
        <f t="shared" si="7"/>
        <v>123</v>
      </c>
    </row>
    <row r="206" ht="15.75" customHeight="1">
      <c r="AJ206" s="15">
        <f t="shared" si="5"/>
        <v>124</v>
      </c>
      <c r="AK206" s="16">
        <f t="shared" si="7"/>
        <v>123</v>
      </c>
    </row>
    <row r="207" ht="15.75" customHeight="1">
      <c r="AJ207" s="15">
        <f t="shared" si="5"/>
        <v>124</v>
      </c>
      <c r="AK207" s="16">
        <f t="shared" si="7"/>
        <v>123</v>
      </c>
    </row>
    <row r="208" ht="15.75" customHeight="1">
      <c r="AJ208" s="15">
        <f t="shared" si="5"/>
        <v>124</v>
      </c>
      <c r="AK208" s="16">
        <f t="shared" si="7"/>
        <v>123</v>
      </c>
    </row>
    <row r="209" ht="15.75" customHeight="1">
      <c r="AJ209" s="15">
        <f t="shared" si="5"/>
        <v>124</v>
      </c>
      <c r="AK209" s="16">
        <f t="shared" si="7"/>
        <v>123</v>
      </c>
    </row>
    <row r="210" ht="15.75" customHeight="1">
      <c r="AJ210" s="15">
        <f t="shared" si="5"/>
        <v>124</v>
      </c>
      <c r="AK210" s="16">
        <f t="shared" si="7"/>
        <v>123</v>
      </c>
    </row>
    <row r="211" ht="15.75" customHeight="1">
      <c r="AJ211" s="15">
        <f t="shared" si="5"/>
        <v>124</v>
      </c>
      <c r="AK211" s="16">
        <f t="shared" si="7"/>
        <v>123</v>
      </c>
    </row>
    <row r="212" ht="15.75" customHeight="1">
      <c r="AJ212" s="15">
        <f t="shared" si="5"/>
        <v>124</v>
      </c>
      <c r="AK212" s="16">
        <f t="shared" si="7"/>
        <v>123</v>
      </c>
    </row>
    <row r="213" ht="15.75" customHeight="1">
      <c r="AJ213" s="15">
        <f t="shared" si="5"/>
        <v>124</v>
      </c>
      <c r="AK213" s="16">
        <f t="shared" si="7"/>
        <v>123</v>
      </c>
    </row>
    <row r="214" ht="15.75" customHeight="1">
      <c r="AJ214" s="15">
        <f t="shared" si="5"/>
        <v>124</v>
      </c>
      <c r="AK214" s="16">
        <f t="shared" si="7"/>
        <v>123</v>
      </c>
    </row>
    <row r="215" ht="15.75" customHeight="1">
      <c r="AJ215" s="15">
        <f t="shared" si="5"/>
        <v>124</v>
      </c>
      <c r="AK215" s="16">
        <f t="shared" si="7"/>
        <v>123</v>
      </c>
    </row>
    <row r="216" ht="15.75" customHeight="1">
      <c r="AJ216" s="15">
        <f t="shared" si="5"/>
        <v>124</v>
      </c>
      <c r="AK216" s="16">
        <f t="shared" si="7"/>
        <v>123</v>
      </c>
    </row>
    <row r="217" ht="15.75" customHeight="1">
      <c r="AJ217" s="15">
        <f t="shared" si="5"/>
        <v>124</v>
      </c>
      <c r="AK217" s="16">
        <f t="shared" si="7"/>
        <v>123</v>
      </c>
    </row>
    <row r="218" ht="15.75" customHeight="1">
      <c r="AJ218" s="15">
        <f t="shared" si="5"/>
        <v>124</v>
      </c>
      <c r="AK218" s="16">
        <f t="shared" si="7"/>
        <v>123</v>
      </c>
    </row>
    <row r="219" ht="15.75" customHeight="1">
      <c r="AJ219" s="15">
        <f t="shared" si="5"/>
        <v>124</v>
      </c>
      <c r="AK219" s="16">
        <f t="shared" si="7"/>
        <v>123</v>
      </c>
    </row>
    <row r="220" ht="15.75" customHeight="1">
      <c r="AJ220" s="15">
        <f t="shared" si="5"/>
        <v>124</v>
      </c>
      <c r="AK220" s="16">
        <f t="shared" si="7"/>
        <v>123</v>
      </c>
    </row>
    <row r="221" ht="15.75" customHeight="1">
      <c r="AJ221" s="15">
        <f t="shared" si="5"/>
        <v>124</v>
      </c>
      <c r="AK221" s="16">
        <f t="shared" si="7"/>
        <v>123</v>
      </c>
    </row>
    <row r="222" ht="15.75" customHeight="1">
      <c r="AJ222" s="15">
        <f t="shared" si="5"/>
        <v>124</v>
      </c>
      <c r="AK222" s="16">
        <f t="shared" si="7"/>
        <v>123</v>
      </c>
    </row>
    <row r="223" ht="15.75" customHeight="1">
      <c r="AJ223" s="15">
        <f t="shared" si="5"/>
        <v>124</v>
      </c>
      <c r="AK223" s="16">
        <f t="shared" si="7"/>
        <v>123</v>
      </c>
    </row>
    <row r="224" ht="15.75" customHeight="1">
      <c r="AJ224" s="15">
        <f t="shared" si="5"/>
        <v>124</v>
      </c>
      <c r="AK224" s="16">
        <f t="shared" ref="AK224:AK227" si="8">124-VALUE(LEFT(F229,2))-1</f>
        <v>123</v>
      </c>
    </row>
    <row r="225" ht="15.75" customHeight="1">
      <c r="AJ225" s="15">
        <f t="shared" si="5"/>
        <v>124</v>
      </c>
      <c r="AK225" s="16">
        <f t="shared" si="8"/>
        <v>123</v>
      </c>
    </row>
    <row r="226" ht="15.75" customHeight="1">
      <c r="AJ226" s="15">
        <f t="shared" si="5"/>
        <v>124</v>
      </c>
      <c r="AK226" s="16">
        <f t="shared" si="8"/>
        <v>123</v>
      </c>
    </row>
    <row r="227" ht="15.75" customHeight="1">
      <c r="AJ227" s="15">
        <f t="shared" si="5"/>
        <v>124</v>
      </c>
      <c r="AK227" s="16">
        <f t="shared" si="8"/>
        <v>123</v>
      </c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7"/>
    <mergeCell ref="P2:P47"/>
    <mergeCell ref="A8:A47"/>
    <mergeCell ref="A48:A54"/>
    <mergeCell ref="P48:P54"/>
    <mergeCell ref="A55:A92"/>
    <mergeCell ref="P55:P9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8.14"/>
    <col customWidth="1" min="3" max="3" width="9.43"/>
    <col customWidth="1" min="4" max="4" width="16.71"/>
    <col customWidth="1" min="5" max="5" width="6.0"/>
    <col customWidth="1" min="6" max="6" width="10.29"/>
    <col customWidth="1" min="7" max="7" width="6.0"/>
    <col customWidth="1" min="8" max="8" width="11.14"/>
    <col customWidth="1" min="9" max="9" width="24.71"/>
    <col customWidth="1" min="10" max="10" width="20.0"/>
    <col customWidth="1" min="11" max="11" width="6.0"/>
    <col customWidth="1" min="12" max="13" width="10.29"/>
    <col customWidth="1" min="14" max="14" width="6.71"/>
    <col customWidth="1" min="15" max="15" width="10.29"/>
    <col customWidth="1" min="16" max="16" width="8.86"/>
    <col customWidth="1" min="17" max="37" width="8.71"/>
  </cols>
  <sheetData>
    <row r="1">
      <c r="A1" s="104">
        <v>2023.07</v>
      </c>
      <c r="B1" s="105" t="s">
        <v>0</v>
      </c>
      <c r="C1" s="106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107" t="s">
        <v>10</v>
      </c>
      <c r="M1" s="8" t="s">
        <v>11</v>
      </c>
      <c r="N1" s="8" t="s">
        <v>12</v>
      </c>
      <c r="O1" s="108" t="s">
        <v>13</v>
      </c>
      <c r="P1" s="222" t="s">
        <v>14</v>
      </c>
      <c r="AK1" s="8" t="s">
        <v>5</v>
      </c>
    </row>
    <row r="2">
      <c r="A2" s="223" t="s">
        <v>15</v>
      </c>
      <c r="B2" s="109" t="s">
        <v>26</v>
      </c>
      <c r="C2" s="110" t="s">
        <v>27</v>
      </c>
      <c r="D2" s="111" t="s">
        <v>28</v>
      </c>
      <c r="E2" s="111" t="s">
        <v>19</v>
      </c>
      <c r="F2" s="111" t="s">
        <v>29</v>
      </c>
      <c r="G2" s="111">
        <f t="shared" ref="G2:G37" si="1">IF(AK2&gt;100,AK2-100,AK2)</f>
        <v>28</v>
      </c>
      <c r="H2" s="111" t="s">
        <v>30</v>
      </c>
      <c r="I2" s="111" t="s">
        <v>31</v>
      </c>
      <c r="J2" s="111" t="s">
        <v>32</v>
      </c>
      <c r="K2" s="111">
        <v>15.0</v>
      </c>
      <c r="L2" s="111" t="s">
        <v>23</v>
      </c>
      <c r="M2" s="112" t="s">
        <v>24</v>
      </c>
      <c r="N2" s="111" t="s">
        <v>33</v>
      </c>
      <c r="O2" s="224" t="s">
        <v>25</v>
      </c>
      <c r="P2" s="225">
        <v>38.0</v>
      </c>
      <c r="AK2" s="16">
        <f t="shared" ref="AK2:AK37" si="2">124-VALUE(LEFT(F2,2))-1</f>
        <v>28</v>
      </c>
    </row>
    <row r="3">
      <c r="A3" s="226"/>
      <c r="B3" s="114" t="s">
        <v>85</v>
      </c>
      <c r="C3" s="115" t="s">
        <v>17</v>
      </c>
      <c r="D3" s="116" t="s">
        <v>86</v>
      </c>
      <c r="E3" s="116" t="s">
        <v>19</v>
      </c>
      <c r="F3" s="116" t="s">
        <v>87</v>
      </c>
      <c r="G3" s="111">
        <f t="shared" si="1"/>
        <v>26</v>
      </c>
      <c r="H3" s="116" t="s">
        <v>88</v>
      </c>
      <c r="I3" s="116" t="s">
        <v>89</v>
      </c>
      <c r="J3" s="116" t="s">
        <v>90</v>
      </c>
      <c r="K3" s="116">
        <v>16.0</v>
      </c>
      <c r="L3" s="116" t="s">
        <v>202</v>
      </c>
      <c r="M3" s="117" t="s">
        <v>42</v>
      </c>
      <c r="N3" s="116" t="s">
        <v>91</v>
      </c>
      <c r="O3" s="227" t="s">
        <v>25</v>
      </c>
      <c r="P3" s="228"/>
      <c r="AK3" s="16">
        <f t="shared" si="2"/>
        <v>26</v>
      </c>
    </row>
    <row r="4">
      <c r="A4" s="226"/>
      <c r="B4" s="123" t="s">
        <v>97</v>
      </c>
      <c r="C4" s="124" t="s">
        <v>98</v>
      </c>
      <c r="D4" s="125" t="s">
        <v>99</v>
      </c>
      <c r="E4" s="125" t="s">
        <v>19</v>
      </c>
      <c r="F4" s="125" t="s">
        <v>100</v>
      </c>
      <c r="G4" s="229">
        <f t="shared" si="1"/>
        <v>23</v>
      </c>
      <c r="H4" s="125" t="s">
        <v>101</v>
      </c>
      <c r="I4" s="125" t="s">
        <v>31</v>
      </c>
      <c r="J4" s="125" t="s">
        <v>102</v>
      </c>
      <c r="K4" s="125">
        <v>19.0</v>
      </c>
      <c r="L4" s="125" t="s">
        <v>41</v>
      </c>
      <c r="M4" s="126" t="s">
        <v>42</v>
      </c>
      <c r="N4" s="125" t="s">
        <v>73</v>
      </c>
      <c r="O4" s="230" t="s">
        <v>25</v>
      </c>
      <c r="P4" s="228"/>
      <c r="AK4" s="16">
        <f t="shared" si="2"/>
        <v>123</v>
      </c>
    </row>
    <row r="5">
      <c r="A5" s="226"/>
      <c r="B5" s="128" t="s">
        <v>450</v>
      </c>
      <c r="C5" s="129" t="s">
        <v>121</v>
      </c>
      <c r="D5" s="130" t="s">
        <v>451</v>
      </c>
      <c r="E5" s="130" t="s">
        <v>37</v>
      </c>
      <c r="F5" s="130" t="s">
        <v>452</v>
      </c>
      <c r="G5" s="121">
        <f t="shared" si="1"/>
        <v>24</v>
      </c>
      <c r="H5" s="130" t="s">
        <v>453</v>
      </c>
      <c r="I5" s="130" t="s">
        <v>289</v>
      </c>
      <c r="J5" s="130" t="s">
        <v>454</v>
      </c>
      <c r="K5" s="130"/>
      <c r="L5" s="130" t="s">
        <v>41</v>
      </c>
      <c r="M5" s="131" t="s">
        <v>42</v>
      </c>
      <c r="N5" s="130" t="s">
        <v>59</v>
      </c>
      <c r="O5" s="231" t="s">
        <v>25</v>
      </c>
      <c r="P5" s="228"/>
      <c r="AK5" s="16">
        <f t="shared" si="2"/>
        <v>24</v>
      </c>
    </row>
    <row r="6">
      <c r="A6" s="232"/>
      <c r="B6" s="133" t="s">
        <v>438</v>
      </c>
      <c r="C6" s="134" t="s">
        <v>121</v>
      </c>
      <c r="D6" s="135" t="s">
        <v>439</v>
      </c>
      <c r="E6" s="135" t="s">
        <v>37</v>
      </c>
      <c r="F6" s="135" t="s">
        <v>440</v>
      </c>
      <c r="G6" s="233">
        <f t="shared" si="1"/>
        <v>22</v>
      </c>
      <c r="H6" s="135" t="s">
        <v>441</v>
      </c>
      <c r="I6" s="135" t="s">
        <v>89</v>
      </c>
      <c r="J6" s="135"/>
      <c r="K6" s="135">
        <v>23.0</v>
      </c>
      <c r="L6" s="135" t="s">
        <v>41</v>
      </c>
      <c r="M6" s="136" t="s">
        <v>442</v>
      </c>
      <c r="N6" s="135" t="s">
        <v>107</v>
      </c>
      <c r="O6" s="234" t="s">
        <v>25</v>
      </c>
      <c r="P6" s="228"/>
      <c r="AK6" s="16">
        <f t="shared" si="2"/>
        <v>122</v>
      </c>
    </row>
    <row r="7">
      <c r="A7" s="9" t="s">
        <v>66</v>
      </c>
      <c r="B7" s="235" t="s">
        <v>241</v>
      </c>
      <c r="C7" s="144" t="s">
        <v>68</v>
      </c>
      <c r="D7" s="145" t="s">
        <v>242</v>
      </c>
      <c r="E7" s="145" t="s">
        <v>37</v>
      </c>
      <c r="F7" s="145" t="s">
        <v>243</v>
      </c>
      <c r="G7" s="163">
        <f t="shared" si="1"/>
        <v>26</v>
      </c>
      <c r="H7" s="145" t="s">
        <v>39</v>
      </c>
      <c r="I7" s="145" t="s">
        <v>244</v>
      </c>
      <c r="J7" s="145" t="s">
        <v>245</v>
      </c>
      <c r="K7" s="145"/>
      <c r="L7" s="145" t="s">
        <v>23</v>
      </c>
      <c r="M7" s="144" t="s">
        <v>48</v>
      </c>
      <c r="N7" s="145"/>
      <c r="O7" s="236" t="s">
        <v>25</v>
      </c>
      <c r="P7" s="228"/>
      <c r="AK7" s="16">
        <f t="shared" si="2"/>
        <v>26</v>
      </c>
    </row>
    <row r="8">
      <c r="A8" s="17"/>
      <c r="B8" s="237" t="s">
        <v>74</v>
      </c>
      <c r="C8" s="148" t="s">
        <v>75</v>
      </c>
      <c r="D8" s="149" t="s">
        <v>76</v>
      </c>
      <c r="E8" s="149" t="s">
        <v>19</v>
      </c>
      <c r="F8" s="149" t="s">
        <v>77</v>
      </c>
      <c r="G8" s="167">
        <f t="shared" si="1"/>
        <v>27</v>
      </c>
      <c r="H8" s="149" t="s">
        <v>78</v>
      </c>
      <c r="I8" s="149" t="s">
        <v>79</v>
      </c>
      <c r="J8" s="149"/>
      <c r="K8" s="149"/>
      <c r="L8" s="149" t="s">
        <v>23</v>
      </c>
      <c r="M8" s="148" t="s">
        <v>48</v>
      </c>
      <c r="N8" s="149"/>
      <c r="O8" s="238" t="s">
        <v>25</v>
      </c>
      <c r="P8" s="228"/>
      <c r="AK8" s="16">
        <f t="shared" si="2"/>
        <v>27</v>
      </c>
    </row>
    <row r="9">
      <c r="A9" s="17"/>
      <c r="B9" s="237" t="s">
        <v>246</v>
      </c>
      <c r="C9" s="148" t="s">
        <v>247</v>
      </c>
      <c r="D9" s="149" t="s">
        <v>248</v>
      </c>
      <c r="E9" s="149" t="s">
        <v>19</v>
      </c>
      <c r="F9" s="149" t="s">
        <v>249</v>
      </c>
      <c r="G9" s="167">
        <f t="shared" si="1"/>
        <v>25</v>
      </c>
      <c r="H9" s="149" t="s">
        <v>39</v>
      </c>
      <c r="I9" s="149" t="s">
        <v>112</v>
      </c>
      <c r="J9" s="149"/>
      <c r="K9" s="149"/>
      <c r="L9" s="149" t="s">
        <v>41</v>
      </c>
      <c r="M9" s="148" t="s">
        <v>42</v>
      </c>
      <c r="N9" s="149"/>
      <c r="O9" s="238" t="s">
        <v>25</v>
      </c>
      <c r="P9" s="228"/>
      <c r="AK9" s="16">
        <f t="shared" si="2"/>
        <v>25</v>
      </c>
    </row>
    <row r="10">
      <c r="A10" s="17"/>
      <c r="B10" s="237" t="s">
        <v>80</v>
      </c>
      <c r="C10" s="148" t="s">
        <v>17</v>
      </c>
      <c r="D10" s="149" t="s">
        <v>81</v>
      </c>
      <c r="E10" s="149" t="s">
        <v>19</v>
      </c>
      <c r="F10" s="149" t="s">
        <v>82</v>
      </c>
      <c r="G10" s="167">
        <f t="shared" si="1"/>
        <v>25</v>
      </c>
      <c r="H10" s="149" t="s">
        <v>30</v>
      </c>
      <c r="I10" s="149" t="s">
        <v>83</v>
      </c>
      <c r="J10" s="149"/>
      <c r="K10" s="149"/>
      <c r="L10" s="149" t="s">
        <v>23</v>
      </c>
      <c r="M10" s="148" t="s">
        <v>84</v>
      </c>
      <c r="N10" s="149"/>
      <c r="O10" s="238" t="s">
        <v>25</v>
      </c>
      <c r="P10" s="228"/>
      <c r="AK10" s="16">
        <f t="shared" si="2"/>
        <v>25</v>
      </c>
    </row>
    <row r="11">
      <c r="A11" s="17"/>
      <c r="B11" s="237" t="s">
        <v>16</v>
      </c>
      <c r="C11" s="148" t="s">
        <v>17</v>
      </c>
      <c r="D11" s="149" t="s">
        <v>18</v>
      </c>
      <c r="E11" s="149" t="s">
        <v>19</v>
      </c>
      <c r="F11" s="149" t="s">
        <v>20</v>
      </c>
      <c r="G11" s="167">
        <f t="shared" si="1"/>
        <v>24</v>
      </c>
      <c r="H11" s="149" t="s">
        <v>21</v>
      </c>
      <c r="I11" s="149" t="s">
        <v>22</v>
      </c>
      <c r="J11" s="149"/>
      <c r="K11" s="149"/>
      <c r="L11" s="149" t="s">
        <v>23</v>
      </c>
      <c r="M11" s="148" t="s">
        <v>24</v>
      </c>
      <c r="N11" s="149"/>
      <c r="O11" s="238" t="s">
        <v>25</v>
      </c>
      <c r="P11" s="228"/>
      <c r="AK11" s="16">
        <f t="shared" si="2"/>
        <v>24</v>
      </c>
    </row>
    <row r="12">
      <c r="A12" s="17"/>
      <c r="B12" s="237" t="s">
        <v>92</v>
      </c>
      <c r="C12" s="148" t="s">
        <v>17</v>
      </c>
      <c r="D12" s="149" t="s">
        <v>93</v>
      </c>
      <c r="E12" s="149" t="s">
        <v>37</v>
      </c>
      <c r="F12" s="149" t="s">
        <v>94</v>
      </c>
      <c r="G12" s="167">
        <f t="shared" si="1"/>
        <v>26</v>
      </c>
      <c r="H12" s="149" t="s">
        <v>78</v>
      </c>
      <c r="I12" s="149" t="s">
        <v>95</v>
      </c>
      <c r="J12" s="149" t="s">
        <v>96</v>
      </c>
      <c r="K12" s="149">
        <v>16.0</v>
      </c>
      <c r="L12" s="149" t="s">
        <v>23</v>
      </c>
      <c r="M12" s="148" t="s">
        <v>48</v>
      </c>
      <c r="N12" s="149" t="s">
        <v>73</v>
      </c>
      <c r="O12" s="238" t="s">
        <v>25</v>
      </c>
      <c r="P12" s="228"/>
      <c r="AK12" s="16">
        <f t="shared" si="2"/>
        <v>26</v>
      </c>
    </row>
    <row r="13">
      <c r="A13" s="17"/>
      <c r="B13" s="237" t="s">
        <v>426</v>
      </c>
      <c r="C13" s="148" t="s">
        <v>98</v>
      </c>
      <c r="D13" s="149" t="s">
        <v>427</v>
      </c>
      <c r="E13" s="149" t="s">
        <v>19</v>
      </c>
      <c r="F13" s="149" t="s">
        <v>428</v>
      </c>
      <c r="G13" s="167">
        <f t="shared" si="1"/>
        <v>28</v>
      </c>
      <c r="H13" s="149" t="s">
        <v>196</v>
      </c>
      <c r="I13" s="149"/>
      <c r="J13" s="149"/>
      <c r="K13" s="149"/>
      <c r="L13" s="149" t="s">
        <v>208</v>
      </c>
      <c r="M13" s="148" t="s">
        <v>42</v>
      </c>
      <c r="N13" s="149"/>
      <c r="O13" s="238" t="s">
        <v>25</v>
      </c>
      <c r="P13" s="228"/>
      <c r="AK13" s="16">
        <f t="shared" si="2"/>
        <v>28</v>
      </c>
    </row>
    <row r="14">
      <c r="A14" s="17"/>
      <c r="B14" s="239" t="s">
        <v>103</v>
      </c>
      <c r="C14" s="158" t="s">
        <v>98</v>
      </c>
      <c r="D14" s="159" t="s">
        <v>104</v>
      </c>
      <c r="E14" s="159" t="s">
        <v>19</v>
      </c>
      <c r="F14" s="159" t="s">
        <v>105</v>
      </c>
      <c r="G14" s="167">
        <f t="shared" si="1"/>
        <v>26</v>
      </c>
      <c r="H14" s="159" t="s">
        <v>56</v>
      </c>
      <c r="I14" s="159" t="s">
        <v>79</v>
      </c>
      <c r="J14" s="159" t="s">
        <v>106</v>
      </c>
      <c r="K14" s="159">
        <v>19.0</v>
      </c>
      <c r="L14" s="159" t="s">
        <v>41</v>
      </c>
      <c r="M14" s="158" t="s">
        <v>42</v>
      </c>
      <c r="N14" s="159" t="s">
        <v>107</v>
      </c>
      <c r="O14" s="240" t="s">
        <v>25</v>
      </c>
      <c r="P14" s="228"/>
      <c r="AK14" s="16">
        <f t="shared" si="2"/>
        <v>26</v>
      </c>
    </row>
    <row r="15">
      <c r="A15" s="17"/>
      <c r="B15" s="239" t="s">
        <v>429</v>
      </c>
      <c r="C15" s="158" t="s">
        <v>109</v>
      </c>
      <c r="D15" s="159" t="s">
        <v>430</v>
      </c>
      <c r="E15" s="159" t="s">
        <v>19</v>
      </c>
      <c r="F15" s="159" t="s">
        <v>431</v>
      </c>
      <c r="G15" s="167">
        <f t="shared" si="1"/>
        <v>27</v>
      </c>
      <c r="H15" s="159" t="s">
        <v>196</v>
      </c>
      <c r="I15" s="159" t="s">
        <v>156</v>
      </c>
      <c r="J15" s="159" t="s">
        <v>284</v>
      </c>
      <c r="K15" s="159"/>
      <c r="L15" s="159" t="s">
        <v>41</v>
      </c>
      <c r="M15" s="158" t="s">
        <v>42</v>
      </c>
      <c r="N15" s="159" t="s">
        <v>272</v>
      </c>
      <c r="O15" s="238" t="s">
        <v>25</v>
      </c>
      <c r="P15" s="228"/>
      <c r="AK15" s="16">
        <f t="shared" si="2"/>
        <v>27</v>
      </c>
    </row>
    <row r="16">
      <c r="A16" s="17"/>
      <c r="B16" s="241" t="s">
        <v>254</v>
      </c>
      <c r="C16" s="162" t="s">
        <v>109</v>
      </c>
      <c r="D16" s="163" t="s">
        <v>255</v>
      </c>
      <c r="E16" s="163" t="s">
        <v>19</v>
      </c>
      <c r="F16" s="163" t="s">
        <v>256</v>
      </c>
      <c r="G16" s="167">
        <f t="shared" si="1"/>
        <v>26</v>
      </c>
      <c r="H16" s="163" t="s">
        <v>257</v>
      </c>
      <c r="I16" s="163" t="s">
        <v>258</v>
      </c>
      <c r="J16" s="163"/>
      <c r="K16" s="163"/>
      <c r="L16" s="163" t="s">
        <v>23</v>
      </c>
      <c r="M16" s="162" t="s">
        <v>259</v>
      </c>
      <c r="N16" s="163"/>
      <c r="O16" s="238" t="s">
        <v>25</v>
      </c>
      <c r="P16" s="228"/>
      <c r="AK16" s="16">
        <f t="shared" si="2"/>
        <v>26</v>
      </c>
    </row>
    <row r="17">
      <c r="A17" s="17"/>
      <c r="B17" s="242" t="s">
        <v>108</v>
      </c>
      <c r="C17" s="166" t="s">
        <v>109</v>
      </c>
      <c r="D17" s="167" t="s">
        <v>110</v>
      </c>
      <c r="E17" s="167" t="s">
        <v>19</v>
      </c>
      <c r="F17" s="167" t="s">
        <v>111</v>
      </c>
      <c r="G17" s="167">
        <f t="shared" si="1"/>
        <v>24</v>
      </c>
      <c r="H17" s="167" t="s">
        <v>71</v>
      </c>
      <c r="I17" s="167" t="s">
        <v>112</v>
      </c>
      <c r="J17" s="167" t="s">
        <v>113</v>
      </c>
      <c r="K17" s="167"/>
      <c r="L17" s="167" t="s">
        <v>41</v>
      </c>
      <c r="M17" s="166" t="s">
        <v>42</v>
      </c>
      <c r="N17" s="167"/>
      <c r="O17" s="238" t="s">
        <v>25</v>
      </c>
      <c r="P17" s="228"/>
      <c r="AK17" s="16">
        <f t="shared" si="2"/>
        <v>24</v>
      </c>
    </row>
    <row r="18">
      <c r="A18" s="17"/>
      <c r="B18" s="242" t="s">
        <v>114</v>
      </c>
      <c r="C18" s="166" t="s">
        <v>109</v>
      </c>
      <c r="D18" s="167" t="s">
        <v>115</v>
      </c>
      <c r="E18" s="167" t="s">
        <v>37</v>
      </c>
      <c r="F18" s="167" t="s">
        <v>116</v>
      </c>
      <c r="G18" s="167">
        <f t="shared" si="1"/>
        <v>22</v>
      </c>
      <c r="H18" s="167" t="s">
        <v>117</v>
      </c>
      <c r="I18" s="167" t="s">
        <v>118</v>
      </c>
      <c r="J18" s="167" t="s">
        <v>119</v>
      </c>
      <c r="K18" s="167"/>
      <c r="L18" s="167" t="s">
        <v>41</v>
      </c>
      <c r="M18" s="166" t="s">
        <v>42</v>
      </c>
      <c r="N18" s="167" t="s">
        <v>65</v>
      </c>
      <c r="O18" s="238" t="s">
        <v>25</v>
      </c>
      <c r="P18" s="228"/>
      <c r="AK18" s="16">
        <f t="shared" si="2"/>
        <v>122</v>
      </c>
    </row>
    <row r="19">
      <c r="A19" s="17"/>
      <c r="B19" s="242" t="s">
        <v>435</v>
      </c>
      <c r="C19" s="166" t="s">
        <v>109</v>
      </c>
      <c r="D19" s="167" t="s">
        <v>436</v>
      </c>
      <c r="E19" s="167" t="s">
        <v>37</v>
      </c>
      <c r="F19" s="167" t="s">
        <v>437</v>
      </c>
      <c r="G19" s="167">
        <f t="shared" si="1"/>
        <v>25</v>
      </c>
      <c r="H19" s="167" t="s">
        <v>348</v>
      </c>
      <c r="I19" s="167" t="s">
        <v>138</v>
      </c>
      <c r="J19" s="167" t="s">
        <v>207</v>
      </c>
      <c r="K19" s="167"/>
      <c r="L19" s="167" t="s">
        <v>41</v>
      </c>
      <c r="M19" s="166" t="s">
        <v>42</v>
      </c>
      <c r="N19" s="167" t="s">
        <v>73</v>
      </c>
      <c r="O19" s="238" t="s">
        <v>25</v>
      </c>
      <c r="P19" s="228"/>
      <c r="AK19" s="16">
        <f t="shared" si="2"/>
        <v>25</v>
      </c>
    </row>
    <row r="20">
      <c r="A20" s="17"/>
      <c r="B20" s="239" t="s">
        <v>407</v>
      </c>
      <c r="C20" s="158" t="s">
        <v>109</v>
      </c>
      <c r="D20" s="159" t="s">
        <v>408</v>
      </c>
      <c r="E20" s="159" t="s">
        <v>19</v>
      </c>
      <c r="F20" s="159" t="s">
        <v>409</v>
      </c>
      <c r="G20" s="167">
        <f t="shared" si="1"/>
        <v>25</v>
      </c>
      <c r="H20" s="159" t="s">
        <v>78</v>
      </c>
      <c r="I20" s="159" t="s">
        <v>258</v>
      </c>
      <c r="J20" s="159" t="s">
        <v>410</v>
      </c>
      <c r="K20" s="159"/>
      <c r="L20" s="159" t="s">
        <v>41</v>
      </c>
      <c r="M20" s="158" t="s">
        <v>42</v>
      </c>
      <c r="N20" s="159"/>
      <c r="O20" s="240" t="s">
        <v>25</v>
      </c>
      <c r="P20" s="228"/>
      <c r="AK20" s="16">
        <f t="shared" si="2"/>
        <v>25</v>
      </c>
    </row>
    <row r="21" ht="15.75" customHeight="1">
      <c r="A21" s="17"/>
      <c r="B21" s="243" t="s">
        <v>342</v>
      </c>
      <c r="C21" s="244" t="s">
        <v>121</v>
      </c>
      <c r="D21" s="245" t="s">
        <v>343</v>
      </c>
      <c r="E21" s="245" t="s">
        <v>37</v>
      </c>
      <c r="F21" s="245" t="s">
        <v>344</v>
      </c>
      <c r="G21" s="167">
        <f t="shared" si="1"/>
        <v>26</v>
      </c>
      <c r="H21" s="245" t="s">
        <v>117</v>
      </c>
      <c r="I21" s="245" t="s">
        <v>52</v>
      </c>
      <c r="J21" s="245" t="s">
        <v>90</v>
      </c>
      <c r="K21" s="245"/>
      <c r="L21" s="245" t="s">
        <v>41</v>
      </c>
      <c r="M21" s="244" t="s">
        <v>42</v>
      </c>
      <c r="N21" s="245"/>
      <c r="O21" s="246" t="s">
        <v>25</v>
      </c>
      <c r="P21" s="228"/>
      <c r="AK21" s="16">
        <f t="shared" si="2"/>
        <v>26</v>
      </c>
    </row>
    <row r="22" ht="15.75" customHeight="1">
      <c r="A22" s="17"/>
      <c r="B22" s="241" t="s">
        <v>443</v>
      </c>
      <c r="C22" s="162" t="s">
        <v>121</v>
      </c>
      <c r="D22" s="163" t="s">
        <v>444</v>
      </c>
      <c r="E22" s="163" t="s">
        <v>37</v>
      </c>
      <c r="F22" s="163" t="s">
        <v>445</v>
      </c>
      <c r="G22" s="167">
        <f t="shared" si="1"/>
        <v>27</v>
      </c>
      <c r="H22" s="163" t="s">
        <v>441</v>
      </c>
      <c r="I22" s="163" t="s">
        <v>89</v>
      </c>
      <c r="J22" s="163"/>
      <c r="K22" s="163"/>
      <c r="L22" s="163" t="s">
        <v>41</v>
      </c>
      <c r="M22" s="162" t="s">
        <v>42</v>
      </c>
      <c r="N22" s="163" t="s">
        <v>446</v>
      </c>
      <c r="O22" s="247" t="s">
        <v>25</v>
      </c>
      <c r="P22" s="228"/>
      <c r="AK22" s="16">
        <f t="shared" si="2"/>
        <v>27</v>
      </c>
    </row>
    <row r="23" ht="15.75" customHeight="1">
      <c r="A23" s="17"/>
      <c r="B23" s="242" t="s">
        <v>260</v>
      </c>
      <c r="C23" s="166" t="s">
        <v>121</v>
      </c>
      <c r="D23" s="167" t="s">
        <v>261</v>
      </c>
      <c r="E23" s="167" t="s">
        <v>37</v>
      </c>
      <c r="F23" s="167" t="s">
        <v>262</v>
      </c>
      <c r="G23" s="167">
        <f t="shared" si="1"/>
        <v>25</v>
      </c>
      <c r="H23" s="167" t="s">
        <v>263</v>
      </c>
      <c r="I23" s="167" t="s">
        <v>264</v>
      </c>
      <c r="J23" s="167" t="s">
        <v>265</v>
      </c>
      <c r="K23" s="167"/>
      <c r="L23" s="167" t="s">
        <v>41</v>
      </c>
      <c r="M23" s="166" t="s">
        <v>42</v>
      </c>
      <c r="N23" s="167"/>
      <c r="O23" s="248" t="s">
        <v>127</v>
      </c>
      <c r="P23" s="228"/>
      <c r="AK23" s="16">
        <f t="shared" si="2"/>
        <v>25</v>
      </c>
    </row>
    <row r="24" ht="15.75" customHeight="1">
      <c r="A24" s="17"/>
      <c r="B24" s="242" t="s">
        <v>447</v>
      </c>
      <c r="C24" s="166" t="s">
        <v>121</v>
      </c>
      <c r="D24" s="167" t="s">
        <v>448</v>
      </c>
      <c r="E24" s="167" t="s">
        <v>37</v>
      </c>
      <c r="F24" s="167" t="s">
        <v>252</v>
      </c>
      <c r="G24" s="167">
        <f t="shared" si="1"/>
        <v>23</v>
      </c>
      <c r="H24" s="167" t="s">
        <v>449</v>
      </c>
      <c r="I24" s="167" t="s">
        <v>264</v>
      </c>
      <c r="J24" s="167" t="s">
        <v>191</v>
      </c>
      <c r="K24" s="167"/>
      <c r="L24" s="167" t="s">
        <v>41</v>
      </c>
      <c r="M24" s="166" t="s">
        <v>42</v>
      </c>
      <c r="N24" s="167" t="s">
        <v>126</v>
      </c>
      <c r="O24" s="248" t="s">
        <v>127</v>
      </c>
      <c r="P24" s="228"/>
      <c r="AK24" s="16">
        <f t="shared" si="2"/>
        <v>123</v>
      </c>
    </row>
    <row r="25" ht="15.75" customHeight="1">
      <c r="A25" s="17"/>
      <c r="B25" s="242" t="s">
        <v>266</v>
      </c>
      <c r="C25" s="166" t="s">
        <v>121</v>
      </c>
      <c r="D25" s="167" t="s">
        <v>267</v>
      </c>
      <c r="E25" s="167" t="s">
        <v>19</v>
      </c>
      <c r="F25" s="167" t="s">
        <v>268</v>
      </c>
      <c r="G25" s="167">
        <f t="shared" si="1"/>
        <v>25</v>
      </c>
      <c r="H25" s="167" t="s">
        <v>269</v>
      </c>
      <c r="I25" s="167" t="s">
        <v>31</v>
      </c>
      <c r="J25" s="167" t="s">
        <v>270</v>
      </c>
      <c r="K25" s="167">
        <v>16.0</v>
      </c>
      <c r="L25" s="167" t="s">
        <v>208</v>
      </c>
      <c r="M25" s="166" t="s">
        <v>271</v>
      </c>
      <c r="N25" s="167" t="s">
        <v>272</v>
      </c>
      <c r="O25" s="248" t="s">
        <v>25</v>
      </c>
      <c r="P25" s="228"/>
      <c r="AK25" s="16">
        <f t="shared" si="2"/>
        <v>25</v>
      </c>
    </row>
    <row r="26" ht="15.75" customHeight="1">
      <c r="A26" s="17"/>
      <c r="B26" s="242" t="s">
        <v>455</v>
      </c>
      <c r="C26" s="166" t="s">
        <v>121</v>
      </c>
      <c r="D26" s="167" t="s">
        <v>456</v>
      </c>
      <c r="E26" s="167" t="s">
        <v>37</v>
      </c>
      <c r="F26" s="167" t="s">
        <v>457</v>
      </c>
      <c r="G26" s="167">
        <f t="shared" si="1"/>
        <v>23</v>
      </c>
      <c r="H26" s="167" t="s">
        <v>458</v>
      </c>
      <c r="I26" s="167" t="s">
        <v>341</v>
      </c>
      <c r="J26" s="167"/>
      <c r="K26" s="167"/>
      <c r="L26" s="167" t="s">
        <v>41</v>
      </c>
      <c r="M26" s="166" t="s">
        <v>42</v>
      </c>
      <c r="N26" s="167"/>
      <c r="O26" s="248" t="s">
        <v>127</v>
      </c>
      <c r="P26" s="228"/>
      <c r="AK26" s="16">
        <f t="shared" si="2"/>
        <v>123</v>
      </c>
    </row>
    <row r="27" ht="15.75" customHeight="1">
      <c r="A27" s="17"/>
      <c r="B27" s="242" t="s">
        <v>120</v>
      </c>
      <c r="C27" s="166" t="s">
        <v>121</v>
      </c>
      <c r="D27" s="167" t="s">
        <v>122</v>
      </c>
      <c r="E27" s="167" t="s">
        <v>37</v>
      </c>
      <c r="F27" s="167" t="s">
        <v>123</v>
      </c>
      <c r="G27" s="167">
        <f t="shared" si="1"/>
        <v>26</v>
      </c>
      <c r="H27" s="167" t="s">
        <v>124</v>
      </c>
      <c r="I27" s="167" t="s">
        <v>95</v>
      </c>
      <c r="J27" s="167"/>
      <c r="K27" s="167"/>
      <c r="L27" s="167" t="s">
        <v>23</v>
      </c>
      <c r="M27" s="166" t="s">
        <v>125</v>
      </c>
      <c r="N27" s="167" t="s">
        <v>126</v>
      </c>
      <c r="O27" s="248" t="s">
        <v>127</v>
      </c>
      <c r="P27" s="228"/>
      <c r="AK27" s="16">
        <f t="shared" si="2"/>
        <v>26</v>
      </c>
    </row>
    <row r="28" ht="15.75" customHeight="1">
      <c r="A28" s="17"/>
      <c r="B28" s="249" t="s">
        <v>380</v>
      </c>
      <c r="C28" s="170" t="s">
        <v>121</v>
      </c>
      <c r="D28" s="171" t="s">
        <v>381</v>
      </c>
      <c r="E28" s="171" t="s">
        <v>37</v>
      </c>
      <c r="F28" s="171" t="s">
        <v>382</v>
      </c>
      <c r="G28" s="167">
        <f t="shared" si="1"/>
        <v>24</v>
      </c>
      <c r="H28" s="171" t="s">
        <v>39</v>
      </c>
      <c r="I28" s="171" t="s">
        <v>289</v>
      </c>
      <c r="J28" s="171" t="s">
        <v>383</v>
      </c>
      <c r="K28" s="171">
        <v>18.0</v>
      </c>
      <c r="L28" s="171" t="s">
        <v>41</v>
      </c>
      <c r="M28" s="170" t="s">
        <v>42</v>
      </c>
      <c r="N28" s="171"/>
      <c r="O28" s="250" t="s">
        <v>25</v>
      </c>
      <c r="P28" s="228"/>
      <c r="AK28" s="16">
        <f t="shared" si="2"/>
        <v>24</v>
      </c>
    </row>
    <row r="29" ht="15.75" customHeight="1">
      <c r="A29" s="17"/>
      <c r="B29" s="251" t="s">
        <v>463</v>
      </c>
      <c r="C29" s="252" t="s">
        <v>35</v>
      </c>
      <c r="D29" s="253" t="s">
        <v>464</v>
      </c>
      <c r="E29" s="253" t="s">
        <v>19</v>
      </c>
      <c r="F29" s="253" t="s">
        <v>465</v>
      </c>
      <c r="G29" s="253">
        <f t="shared" si="1"/>
        <v>24</v>
      </c>
      <c r="H29" s="253" t="s">
        <v>441</v>
      </c>
      <c r="I29" s="253" t="s">
        <v>147</v>
      </c>
      <c r="J29" s="253"/>
      <c r="K29" s="253">
        <v>20.0</v>
      </c>
      <c r="L29" s="253" t="s">
        <v>41</v>
      </c>
      <c r="M29" s="252" t="s">
        <v>42</v>
      </c>
      <c r="N29" s="253"/>
      <c r="O29" s="254" t="s">
        <v>25</v>
      </c>
      <c r="P29" s="228"/>
      <c r="AK29" s="16">
        <f t="shared" si="2"/>
        <v>24</v>
      </c>
    </row>
    <row r="30" ht="15.75" customHeight="1">
      <c r="A30" s="17"/>
      <c r="B30" s="251" t="s">
        <v>466</v>
      </c>
      <c r="C30" s="252" t="s">
        <v>35</v>
      </c>
      <c r="D30" s="253" t="s">
        <v>467</v>
      </c>
      <c r="E30" s="253" t="s">
        <v>37</v>
      </c>
      <c r="F30" s="253" t="s">
        <v>468</v>
      </c>
      <c r="G30" s="253">
        <f t="shared" si="1"/>
        <v>25</v>
      </c>
      <c r="H30" s="253" t="s">
        <v>56</v>
      </c>
      <c r="I30" s="253" t="s">
        <v>228</v>
      </c>
      <c r="J30" s="253"/>
      <c r="K30" s="253"/>
      <c r="L30" s="253"/>
      <c r="M30" s="252"/>
      <c r="N30" s="253" t="s">
        <v>469</v>
      </c>
      <c r="O30" s="254" t="s">
        <v>25</v>
      </c>
      <c r="P30" s="228"/>
      <c r="AK30" s="16">
        <f t="shared" si="2"/>
        <v>25</v>
      </c>
    </row>
    <row r="31" ht="15.75" customHeight="1">
      <c r="A31" s="17"/>
      <c r="B31" s="251" t="s">
        <v>470</v>
      </c>
      <c r="C31" s="252" t="s">
        <v>35</v>
      </c>
      <c r="D31" s="253" t="s">
        <v>471</v>
      </c>
      <c r="E31" s="253" t="s">
        <v>37</v>
      </c>
      <c r="F31" s="253" t="s">
        <v>472</v>
      </c>
      <c r="G31" s="253">
        <f t="shared" si="1"/>
        <v>23</v>
      </c>
      <c r="H31" s="253" t="s">
        <v>441</v>
      </c>
      <c r="I31" s="253" t="s">
        <v>31</v>
      </c>
      <c r="J31" s="253"/>
      <c r="K31" s="253">
        <v>20.0</v>
      </c>
      <c r="L31" s="253" t="s">
        <v>41</v>
      </c>
      <c r="M31" s="252" t="s">
        <v>42</v>
      </c>
      <c r="N31" s="253"/>
      <c r="O31" s="254" t="s">
        <v>25</v>
      </c>
      <c r="P31" s="228"/>
      <c r="AK31" s="16">
        <f t="shared" si="2"/>
        <v>123</v>
      </c>
    </row>
    <row r="32" ht="15.75" customHeight="1">
      <c r="A32" s="17"/>
      <c r="B32" s="251" t="s">
        <v>128</v>
      </c>
      <c r="C32" s="252" t="s">
        <v>35</v>
      </c>
      <c r="D32" s="253" t="s">
        <v>129</v>
      </c>
      <c r="E32" s="253" t="s">
        <v>37</v>
      </c>
      <c r="F32" s="253" t="s">
        <v>130</v>
      </c>
      <c r="G32" s="253">
        <f t="shared" si="1"/>
        <v>23</v>
      </c>
      <c r="H32" s="253" t="s">
        <v>131</v>
      </c>
      <c r="I32" s="253" t="s">
        <v>132</v>
      </c>
      <c r="J32" s="253" t="s">
        <v>133</v>
      </c>
      <c r="K32" s="253">
        <v>19.0</v>
      </c>
      <c r="L32" s="253" t="s">
        <v>41</v>
      </c>
      <c r="M32" s="252" t="s">
        <v>42</v>
      </c>
      <c r="N32" s="253"/>
      <c r="O32" s="254" t="s">
        <v>25</v>
      </c>
      <c r="P32" s="228"/>
      <c r="AK32" s="16">
        <f t="shared" si="2"/>
        <v>123</v>
      </c>
    </row>
    <row r="33" ht="15.75" customHeight="1">
      <c r="A33" s="17"/>
      <c r="B33" s="251" t="s">
        <v>134</v>
      </c>
      <c r="C33" s="252" t="s">
        <v>35</v>
      </c>
      <c r="D33" s="253" t="s">
        <v>135</v>
      </c>
      <c r="E33" s="253" t="s">
        <v>19</v>
      </c>
      <c r="F33" s="253" t="s">
        <v>136</v>
      </c>
      <c r="G33" s="253">
        <f t="shared" si="1"/>
        <v>25</v>
      </c>
      <c r="H33" s="253" t="s">
        <v>137</v>
      </c>
      <c r="I33" s="253" t="s">
        <v>138</v>
      </c>
      <c r="J33" s="253" t="s">
        <v>139</v>
      </c>
      <c r="K33" s="253"/>
      <c r="L33" s="253" t="s">
        <v>41</v>
      </c>
      <c r="M33" s="252" t="s">
        <v>42</v>
      </c>
      <c r="N33" s="253"/>
      <c r="O33" s="254" t="s">
        <v>127</v>
      </c>
      <c r="P33" s="228"/>
      <c r="AK33" s="16">
        <f t="shared" si="2"/>
        <v>25</v>
      </c>
    </row>
    <row r="34" ht="15.75" customHeight="1">
      <c r="A34" s="17"/>
      <c r="B34" s="251" t="s">
        <v>34</v>
      </c>
      <c r="C34" s="252" t="s">
        <v>35</v>
      </c>
      <c r="D34" s="253" t="s">
        <v>36</v>
      </c>
      <c r="E34" s="253" t="s">
        <v>37</v>
      </c>
      <c r="F34" s="253" t="s">
        <v>38</v>
      </c>
      <c r="G34" s="253">
        <f t="shared" si="1"/>
        <v>24</v>
      </c>
      <c r="H34" s="253" t="s">
        <v>39</v>
      </c>
      <c r="I34" s="253" t="s">
        <v>31</v>
      </c>
      <c r="J34" s="253" t="s">
        <v>40</v>
      </c>
      <c r="K34" s="253"/>
      <c r="L34" s="253" t="s">
        <v>41</v>
      </c>
      <c r="M34" s="252" t="s">
        <v>42</v>
      </c>
      <c r="N34" s="253"/>
      <c r="O34" s="254" t="s">
        <v>25</v>
      </c>
      <c r="P34" s="228"/>
      <c r="AK34" s="16">
        <f t="shared" si="2"/>
        <v>24</v>
      </c>
    </row>
    <row r="35" ht="15.75" customHeight="1">
      <c r="A35" s="17"/>
      <c r="B35" s="255" t="s">
        <v>384</v>
      </c>
      <c r="C35" s="256" t="s">
        <v>35</v>
      </c>
      <c r="D35" s="257" t="s">
        <v>385</v>
      </c>
      <c r="E35" s="257" t="s">
        <v>19</v>
      </c>
      <c r="F35" s="257" t="s">
        <v>386</v>
      </c>
      <c r="G35" s="253">
        <f t="shared" si="1"/>
        <v>25</v>
      </c>
      <c r="H35" s="257" t="s">
        <v>101</v>
      </c>
      <c r="I35" s="257" t="s">
        <v>118</v>
      </c>
      <c r="J35" s="257" t="s">
        <v>284</v>
      </c>
      <c r="K35" s="257"/>
      <c r="L35" s="257" t="s">
        <v>41</v>
      </c>
      <c r="M35" s="256" t="s">
        <v>42</v>
      </c>
      <c r="N35" s="257" t="s">
        <v>301</v>
      </c>
      <c r="O35" s="258" t="s">
        <v>25</v>
      </c>
      <c r="P35" s="228"/>
      <c r="AK35" s="16">
        <f t="shared" si="2"/>
        <v>25</v>
      </c>
    </row>
    <row r="36" ht="15.75" customHeight="1">
      <c r="A36" s="17"/>
      <c r="B36" s="251" t="s">
        <v>273</v>
      </c>
      <c r="C36" s="252" t="s">
        <v>35</v>
      </c>
      <c r="D36" s="253" t="s">
        <v>274</v>
      </c>
      <c r="E36" s="253" t="s">
        <v>19</v>
      </c>
      <c r="F36" s="253" t="s">
        <v>275</v>
      </c>
      <c r="G36" s="253">
        <f t="shared" si="1"/>
        <v>25</v>
      </c>
      <c r="H36" s="253" t="s">
        <v>276</v>
      </c>
      <c r="I36" s="253" t="s">
        <v>277</v>
      </c>
      <c r="J36" s="253"/>
      <c r="K36" s="253"/>
      <c r="L36" s="253"/>
      <c r="M36" s="252"/>
      <c r="N36" s="253"/>
      <c r="O36" s="254" t="s">
        <v>25</v>
      </c>
      <c r="P36" s="228"/>
      <c r="AK36" s="16">
        <f t="shared" si="2"/>
        <v>25</v>
      </c>
    </row>
    <row r="37" ht="15.75" customHeight="1">
      <c r="A37" s="17"/>
      <c r="B37" s="251" t="s">
        <v>387</v>
      </c>
      <c r="C37" s="252" t="s">
        <v>35</v>
      </c>
      <c r="D37" s="253" t="s">
        <v>388</v>
      </c>
      <c r="E37" s="253" t="s">
        <v>37</v>
      </c>
      <c r="F37" s="253" t="s">
        <v>389</v>
      </c>
      <c r="G37" s="253">
        <f t="shared" si="1"/>
        <v>22</v>
      </c>
      <c r="H37" s="253" t="s">
        <v>117</v>
      </c>
      <c r="I37" s="253" t="s">
        <v>83</v>
      </c>
      <c r="J37" s="253" t="s">
        <v>390</v>
      </c>
      <c r="K37" s="253"/>
      <c r="L37" s="253" t="s">
        <v>41</v>
      </c>
      <c r="M37" s="252" t="s">
        <v>42</v>
      </c>
      <c r="N37" s="253" t="s">
        <v>33</v>
      </c>
      <c r="O37" s="254" t="s">
        <v>25</v>
      </c>
      <c r="P37" s="228"/>
      <c r="AK37" s="16">
        <f t="shared" si="2"/>
        <v>122</v>
      </c>
    </row>
    <row r="38" ht="15.75" customHeight="1">
      <c r="A38" s="17"/>
      <c r="B38" s="251" t="s">
        <v>391</v>
      </c>
      <c r="C38" s="252" t="s">
        <v>35</v>
      </c>
      <c r="D38" s="253" t="s">
        <v>392</v>
      </c>
      <c r="E38" s="253" t="s">
        <v>37</v>
      </c>
      <c r="F38" s="253" t="s">
        <v>393</v>
      </c>
      <c r="G38" s="253">
        <f t="shared" ref="G38:G72" si="3">IF(AK39&gt;100,AK39-100,AK39)</f>
        <v>23</v>
      </c>
      <c r="H38" s="253" t="s">
        <v>348</v>
      </c>
      <c r="I38" s="253" t="s">
        <v>83</v>
      </c>
      <c r="J38" s="253" t="s">
        <v>390</v>
      </c>
      <c r="K38" s="253"/>
      <c r="L38" s="253" t="s">
        <v>41</v>
      </c>
      <c r="M38" s="252" t="s">
        <v>42</v>
      </c>
      <c r="N38" s="253"/>
      <c r="O38" s="254" t="s">
        <v>25</v>
      </c>
      <c r="P38" s="228"/>
      <c r="AK38" s="16">
        <f>124-VALUE(LEFT(F36,2))-1</f>
        <v>25</v>
      </c>
    </row>
    <row r="39" ht="15.75" customHeight="1">
      <c r="A39" s="25"/>
      <c r="B39" s="251" t="s">
        <v>140</v>
      </c>
      <c r="C39" s="252" t="s">
        <v>35</v>
      </c>
      <c r="D39" s="253" t="s">
        <v>141</v>
      </c>
      <c r="E39" s="253" t="s">
        <v>37</v>
      </c>
      <c r="F39" s="253" t="s">
        <v>51</v>
      </c>
      <c r="G39" s="253">
        <f t="shared" si="3"/>
        <v>25</v>
      </c>
      <c r="H39" s="253" t="s">
        <v>142</v>
      </c>
      <c r="I39" s="253" t="s">
        <v>143</v>
      </c>
      <c r="J39" s="253" t="s">
        <v>90</v>
      </c>
      <c r="K39" s="253"/>
      <c r="L39" s="253" t="s">
        <v>23</v>
      </c>
      <c r="M39" s="252" t="s">
        <v>24</v>
      </c>
      <c r="N39" s="253"/>
      <c r="O39" s="254" t="s">
        <v>25</v>
      </c>
      <c r="P39" s="259"/>
      <c r="AK39" s="16">
        <f t="shared" ref="AK39:AK73" si="4">124-VALUE(LEFT(F38,2))-1</f>
        <v>123</v>
      </c>
    </row>
    <row r="40" ht="15.75" customHeight="1">
      <c r="A40" s="178" t="s">
        <v>240</v>
      </c>
      <c r="B40" s="179" t="s">
        <v>67</v>
      </c>
      <c r="C40" s="180" t="s">
        <v>68</v>
      </c>
      <c r="D40" s="181" t="s">
        <v>69</v>
      </c>
      <c r="E40" s="181" t="s">
        <v>19</v>
      </c>
      <c r="F40" s="181" t="s">
        <v>70</v>
      </c>
      <c r="G40" s="185">
        <f t="shared" si="3"/>
        <v>27</v>
      </c>
      <c r="H40" s="181" t="s">
        <v>71</v>
      </c>
      <c r="I40" s="181" t="s">
        <v>57</v>
      </c>
      <c r="J40" s="181" t="s">
        <v>72</v>
      </c>
      <c r="K40" s="181">
        <v>17.0</v>
      </c>
      <c r="L40" s="181" t="s">
        <v>23</v>
      </c>
      <c r="M40" s="180" t="s">
        <v>23</v>
      </c>
      <c r="N40" s="181" t="s">
        <v>73</v>
      </c>
      <c r="O40" s="182" t="s">
        <v>25</v>
      </c>
      <c r="P40" s="88">
        <v>9.0</v>
      </c>
      <c r="AK40" s="16">
        <f t="shared" si="4"/>
        <v>25</v>
      </c>
    </row>
    <row r="41" ht="15.75" customHeight="1">
      <c r="A41" s="17"/>
      <c r="B41" s="260" t="s">
        <v>394</v>
      </c>
      <c r="C41" s="261" t="s">
        <v>27</v>
      </c>
      <c r="D41" s="262" t="s">
        <v>395</v>
      </c>
      <c r="E41" s="262" t="s">
        <v>19</v>
      </c>
      <c r="F41" s="263" t="s">
        <v>396</v>
      </c>
      <c r="G41" s="185">
        <f t="shared" si="3"/>
        <v>27</v>
      </c>
      <c r="H41" s="262" t="s">
        <v>397</v>
      </c>
      <c r="I41" s="262" t="s">
        <v>398</v>
      </c>
      <c r="J41" s="262" t="s">
        <v>399</v>
      </c>
      <c r="K41" s="262">
        <v>22.0</v>
      </c>
      <c r="L41" s="262" t="s">
        <v>41</v>
      </c>
      <c r="M41" s="261" t="s">
        <v>42</v>
      </c>
      <c r="N41" s="262"/>
      <c r="O41" s="264" t="s">
        <v>25</v>
      </c>
      <c r="P41" s="22"/>
      <c r="AK41" s="16">
        <f t="shared" si="4"/>
        <v>27</v>
      </c>
    </row>
    <row r="42" ht="15.75" customHeight="1">
      <c r="A42" s="17"/>
      <c r="B42" s="265" t="s">
        <v>250</v>
      </c>
      <c r="C42" s="266" t="s">
        <v>17</v>
      </c>
      <c r="D42" s="267" t="s">
        <v>251</v>
      </c>
      <c r="E42" s="267" t="s">
        <v>37</v>
      </c>
      <c r="F42" s="267" t="s">
        <v>252</v>
      </c>
      <c r="G42" s="185">
        <f t="shared" si="3"/>
        <v>23</v>
      </c>
      <c r="H42" s="267" t="s">
        <v>161</v>
      </c>
      <c r="I42" s="267" t="s">
        <v>112</v>
      </c>
      <c r="J42" s="267" t="s">
        <v>253</v>
      </c>
      <c r="K42" s="267">
        <v>19.0</v>
      </c>
      <c r="L42" s="267" t="s">
        <v>41</v>
      </c>
      <c r="M42" s="266" t="s">
        <v>42</v>
      </c>
      <c r="N42" s="267" t="s">
        <v>65</v>
      </c>
      <c r="O42" s="268" t="s">
        <v>25</v>
      </c>
      <c r="P42" s="22"/>
      <c r="AK42" s="16">
        <f t="shared" si="4"/>
        <v>27</v>
      </c>
    </row>
    <row r="43" ht="15.75" customHeight="1">
      <c r="A43" s="17"/>
      <c r="B43" s="269" t="s">
        <v>400</v>
      </c>
      <c r="C43" s="270" t="s">
        <v>98</v>
      </c>
      <c r="D43" s="271" t="s">
        <v>401</v>
      </c>
      <c r="E43" s="271" t="s">
        <v>37</v>
      </c>
      <c r="F43" s="271" t="s">
        <v>402</v>
      </c>
      <c r="G43" s="185">
        <f t="shared" si="3"/>
        <v>24</v>
      </c>
      <c r="H43" s="271" t="s">
        <v>189</v>
      </c>
      <c r="I43" s="271" t="s">
        <v>89</v>
      </c>
      <c r="J43" s="271" t="s">
        <v>403</v>
      </c>
      <c r="K43" s="271">
        <v>22.0</v>
      </c>
      <c r="L43" s="271" t="s">
        <v>23</v>
      </c>
      <c r="M43" s="270" t="s">
        <v>24</v>
      </c>
      <c r="N43" s="271" t="s">
        <v>33</v>
      </c>
      <c r="O43" s="186" t="s">
        <v>25</v>
      </c>
      <c r="P43" s="22"/>
      <c r="AK43" s="16">
        <f t="shared" si="4"/>
        <v>123</v>
      </c>
    </row>
    <row r="44" ht="15.75" customHeight="1">
      <c r="A44" s="17"/>
      <c r="B44" s="260" t="s">
        <v>432</v>
      </c>
      <c r="C44" s="261" t="s">
        <v>109</v>
      </c>
      <c r="D44" s="262" t="s">
        <v>433</v>
      </c>
      <c r="E44" s="262" t="s">
        <v>37</v>
      </c>
      <c r="F44" s="262" t="s">
        <v>434</v>
      </c>
      <c r="G44" s="185">
        <f t="shared" si="3"/>
        <v>25</v>
      </c>
      <c r="H44" s="262" t="s">
        <v>196</v>
      </c>
      <c r="I44" s="262" t="s">
        <v>156</v>
      </c>
      <c r="J44" s="262" t="s">
        <v>90</v>
      </c>
      <c r="K44" s="262"/>
      <c r="L44" s="262" t="s">
        <v>41</v>
      </c>
      <c r="M44" s="261" t="s">
        <v>42</v>
      </c>
      <c r="N44" s="262"/>
      <c r="O44" s="264" t="s">
        <v>25</v>
      </c>
      <c r="P44" s="22"/>
      <c r="AK44" s="16">
        <f t="shared" si="4"/>
        <v>24</v>
      </c>
    </row>
    <row r="45" ht="15.75" customHeight="1">
      <c r="A45" s="17"/>
      <c r="B45" s="269" t="s">
        <v>404</v>
      </c>
      <c r="C45" s="270" t="s">
        <v>98</v>
      </c>
      <c r="D45" s="271" t="s">
        <v>405</v>
      </c>
      <c r="E45" s="271" t="s">
        <v>37</v>
      </c>
      <c r="F45" s="271" t="s">
        <v>406</v>
      </c>
      <c r="G45" s="185">
        <f t="shared" si="3"/>
        <v>23</v>
      </c>
      <c r="H45" s="271" t="s">
        <v>196</v>
      </c>
      <c r="I45" s="271" t="s">
        <v>156</v>
      </c>
      <c r="J45" s="271"/>
      <c r="K45" s="271"/>
      <c r="L45" s="271"/>
      <c r="M45" s="270"/>
      <c r="N45" s="271"/>
      <c r="O45" s="186" t="s">
        <v>25</v>
      </c>
      <c r="P45" s="22"/>
      <c r="AK45" s="16">
        <f t="shared" si="4"/>
        <v>25</v>
      </c>
    </row>
    <row r="46" ht="15.75" customHeight="1">
      <c r="A46" s="17"/>
      <c r="B46" s="183" t="s">
        <v>411</v>
      </c>
      <c r="C46" s="184" t="s">
        <v>121</v>
      </c>
      <c r="D46" s="185" t="s">
        <v>412</v>
      </c>
      <c r="E46" s="185" t="s">
        <v>37</v>
      </c>
      <c r="F46" s="185" t="s">
        <v>413</v>
      </c>
      <c r="G46" s="185">
        <f t="shared" si="3"/>
        <v>24</v>
      </c>
      <c r="H46" s="185" t="s">
        <v>414</v>
      </c>
      <c r="I46" s="185" t="s">
        <v>112</v>
      </c>
      <c r="J46" s="185" t="s">
        <v>415</v>
      </c>
      <c r="K46" s="185"/>
      <c r="L46" s="185" t="s">
        <v>23</v>
      </c>
      <c r="M46" s="184" t="s">
        <v>416</v>
      </c>
      <c r="N46" s="185"/>
      <c r="O46" s="187" t="s">
        <v>25</v>
      </c>
      <c r="P46" s="22"/>
      <c r="AK46" s="16">
        <f t="shared" si="4"/>
        <v>123</v>
      </c>
    </row>
    <row r="47" ht="15.75" customHeight="1">
      <c r="A47" s="17"/>
      <c r="B47" s="183" t="s">
        <v>417</v>
      </c>
      <c r="C47" s="184" t="s">
        <v>121</v>
      </c>
      <c r="D47" s="185" t="s">
        <v>418</v>
      </c>
      <c r="E47" s="185" t="s">
        <v>19</v>
      </c>
      <c r="F47" s="185" t="s">
        <v>320</v>
      </c>
      <c r="G47" s="185">
        <f t="shared" si="3"/>
        <v>25</v>
      </c>
      <c r="H47" s="185" t="s">
        <v>419</v>
      </c>
      <c r="I47" s="185" t="s">
        <v>89</v>
      </c>
      <c r="J47" s="185"/>
      <c r="K47" s="185"/>
      <c r="L47" s="185" t="s">
        <v>23</v>
      </c>
      <c r="M47" s="184" t="s">
        <v>48</v>
      </c>
      <c r="N47" s="185"/>
      <c r="O47" s="187" t="s">
        <v>25</v>
      </c>
      <c r="P47" s="22"/>
      <c r="AK47" s="16">
        <f t="shared" si="4"/>
        <v>24</v>
      </c>
    </row>
    <row r="48" ht="15.75" customHeight="1">
      <c r="A48" s="25"/>
      <c r="B48" s="183" t="s">
        <v>459</v>
      </c>
      <c r="C48" s="184" t="s">
        <v>121</v>
      </c>
      <c r="D48" s="185" t="s">
        <v>460</v>
      </c>
      <c r="E48" s="185" t="s">
        <v>37</v>
      </c>
      <c r="F48" s="185" t="s">
        <v>461</v>
      </c>
      <c r="G48" s="185">
        <f t="shared" si="3"/>
        <v>27</v>
      </c>
      <c r="H48" s="185" t="s">
        <v>142</v>
      </c>
      <c r="I48" s="185" t="s">
        <v>79</v>
      </c>
      <c r="J48" s="185" t="s">
        <v>462</v>
      </c>
      <c r="K48" s="185"/>
      <c r="L48" s="185" t="s">
        <v>23</v>
      </c>
      <c r="M48" s="184"/>
      <c r="N48" s="185"/>
      <c r="O48" s="187" t="s">
        <v>25</v>
      </c>
      <c r="P48" s="62"/>
      <c r="AK48" s="16">
        <f t="shared" si="4"/>
        <v>25</v>
      </c>
    </row>
    <row r="49" ht="15.75" customHeight="1">
      <c r="A49" s="178" t="s">
        <v>285</v>
      </c>
      <c r="B49" s="272" t="s">
        <v>286</v>
      </c>
      <c r="C49" s="189" t="s">
        <v>17</v>
      </c>
      <c r="D49" s="190" t="s">
        <v>287</v>
      </c>
      <c r="E49" s="190" t="s">
        <v>37</v>
      </c>
      <c r="F49" s="190" t="s">
        <v>288</v>
      </c>
      <c r="G49" s="202">
        <f t="shared" si="3"/>
        <v>25</v>
      </c>
      <c r="H49" s="190" t="s">
        <v>269</v>
      </c>
      <c r="I49" s="190" t="s">
        <v>289</v>
      </c>
      <c r="J49" s="190"/>
      <c r="K49" s="190"/>
      <c r="L49" s="190" t="s">
        <v>23</v>
      </c>
      <c r="M49" s="189"/>
      <c r="N49" s="190"/>
      <c r="O49" s="273" t="s">
        <v>25</v>
      </c>
      <c r="P49" s="274">
        <v>24.0</v>
      </c>
      <c r="AK49" s="16">
        <f t="shared" si="4"/>
        <v>27</v>
      </c>
    </row>
    <row r="50" ht="15.75" customHeight="1">
      <c r="A50" s="17"/>
      <c r="B50" s="275" t="s">
        <v>290</v>
      </c>
      <c r="C50" s="193" t="s">
        <v>98</v>
      </c>
      <c r="D50" s="194" t="s">
        <v>291</v>
      </c>
      <c r="E50" s="194" t="s">
        <v>19</v>
      </c>
      <c r="F50" s="194" t="s">
        <v>292</v>
      </c>
      <c r="G50" s="202">
        <f t="shared" si="3"/>
        <v>25</v>
      </c>
      <c r="H50" s="194" t="s">
        <v>131</v>
      </c>
      <c r="I50" s="194" t="s">
        <v>190</v>
      </c>
      <c r="J50" s="194" t="s">
        <v>293</v>
      </c>
      <c r="K50" s="194">
        <v>18.0</v>
      </c>
      <c r="L50" s="194" t="s">
        <v>41</v>
      </c>
      <c r="M50" s="193" t="s">
        <v>42</v>
      </c>
      <c r="N50" s="194" t="s">
        <v>198</v>
      </c>
      <c r="O50" s="276" t="s">
        <v>25</v>
      </c>
      <c r="P50" s="228"/>
      <c r="AK50" s="16">
        <f t="shared" si="4"/>
        <v>25</v>
      </c>
    </row>
    <row r="51" ht="15.75" customHeight="1">
      <c r="A51" s="17"/>
      <c r="B51" s="277" t="s">
        <v>294</v>
      </c>
      <c r="C51" s="197" t="s">
        <v>98</v>
      </c>
      <c r="D51" s="198" t="s">
        <v>295</v>
      </c>
      <c r="E51" s="198" t="s">
        <v>19</v>
      </c>
      <c r="F51" s="198" t="s">
        <v>296</v>
      </c>
      <c r="G51" s="202">
        <f t="shared" si="3"/>
        <v>27</v>
      </c>
      <c r="H51" s="198" t="s">
        <v>56</v>
      </c>
      <c r="I51" s="198" t="s">
        <v>190</v>
      </c>
      <c r="J51" s="198" t="s">
        <v>297</v>
      </c>
      <c r="K51" s="198"/>
      <c r="L51" s="198" t="s">
        <v>41</v>
      </c>
      <c r="M51" s="197" t="s">
        <v>42</v>
      </c>
      <c r="N51" s="198" t="s">
        <v>272</v>
      </c>
      <c r="O51" s="278" t="s">
        <v>25</v>
      </c>
      <c r="P51" s="228"/>
      <c r="AK51" s="16">
        <f t="shared" si="4"/>
        <v>25</v>
      </c>
    </row>
    <row r="52" ht="15.75" customHeight="1">
      <c r="A52" s="17"/>
      <c r="B52" s="277" t="s">
        <v>298</v>
      </c>
      <c r="C52" s="197" t="s">
        <v>98</v>
      </c>
      <c r="D52" s="198" t="s">
        <v>299</v>
      </c>
      <c r="E52" s="198" t="s">
        <v>19</v>
      </c>
      <c r="F52" s="198" t="s">
        <v>300</v>
      </c>
      <c r="G52" s="202">
        <f t="shared" si="3"/>
        <v>27</v>
      </c>
      <c r="H52" s="198" t="s">
        <v>217</v>
      </c>
      <c r="I52" s="198" t="s">
        <v>83</v>
      </c>
      <c r="J52" s="198" t="s">
        <v>207</v>
      </c>
      <c r="K52" s="198"/>
      <c r="L52" s="198" t="s">
        <v>41</v>
      </c>
      <c r="M52" s="197" t="s">
        <v>42</v>
      </c>
      <c r="N52" s="198" t="s">
        <v>301</v>
      </c>
      <c r="O52" s="278" t="s">
        <v>25</v>
      </c>
      <c r="P52" s="228"/>
      <c r="AK52" s="16">
        <f t="shared" si="4"/>
        <v>27</v>
      </c>
    </row>
    <row r="53" ht="15.75" customHeight="1">
      <c r="A53" s="17"/>
      <c r="B53" s="277" t="s">
        <v>302</v>
      </c>
      <c r="C53" s="197" t="s">
        <v>98</v>
      </c>
      <c r="D53" s="198" t="s">
        <v>303</v>
      </c>
      <c r="E53" s="198" t="s">
        <v>19</v>
      </c>
      <c r="F53" s="198" t="s">
        <v>304</v>
      </c>
      <c r="G53" s="202">
        <f t="shared" si="3"/>
        <v>26</v>
      </c>
      <c r="H53" s="198" t="s">
        <v>117</v>
      </c>
      <c r="I53" s="198" t="s">
        <v>31</v>
      </c>
      <c r="J53" s="198" t="s">
        <v>305</v>
      </c>
      <c r="K53" s="198">
        <v>17.0</v>
      </c>
      <c r="L53" s="198" t="s">
        <v>208</v>
      </c>
      <c r="M53" s="197" t="s">
        <v>42</v>
      </c>
      <c r="N53" s="198" t="s">
        <v>91</v>
      </c>
      <c r="O53" s="278" t="s">
        <v>25</v>
      </c>
      <c r="P53" s="228"/>
      <c r="AK53" s="16">
        <f t="shared" si="4"/>
        <v>27</v>
      </c>
    </row>
    <row r="54" ht="15.75" customHeight="1">
      <c r="A54" s="17"/>
      <c r="B54" s="279" t="s">
        <v>306</v>
      </c>
      <c r="C54" s="201" t="s">
        <v>109</v>
      </c>
      <c r="D54" s="202" t="s">
        <v>267</v>
      </c>
      <c r="E54" s="202" t="s">
        <v>19</v>
      </c>
      <c r="F54" s="202" t="s">
        <v>307</v>
      </c>
      <c r="G54" s="202">
        <f t="shared" si="3"/>
        <v>26</v>
      </c>
      <c r="H54" s="202" t="s">
        <v>117</v>
      </c>
      <c r="I54" s="202" t="s">
        <v>31</v>
      </c>
      <c r="J54" s="202"/>
      <c r="K54" s="202">
        <v>16.0</v>
      </c>
      <c r="L54" s="202" t="s">
        <v>41</v>
      </c>
      <c r="M54" s="201" t="s">
        <v>42</v>
      </c>
      <c r="N54" s="202"/>
      <c r="O54" s="280" t="s">
        <v>25</v>
      </c>
      <c r="P54" s="228"/>
      <c r="AK54" s="16">
        <f t="shared" si="4"/>
        <v>26</v>
      </c>
    </row>
    <row r="55" ht="15.75" customHeight="1">
      <c r="A55" s="17"/>
      <c r="B55" s="279" t="s">
        <v>308</v>
      </c>
      <c r="C55" s="201" t="s">
        <v>109</v>
      </c>
      <c r="D55" s="202" t="s">
        <v>309</v>
      </c>
      <c r="E55" s="202" t="s">
        <v>19</v>
      </c>
      <c r="F55" s="202" t="s">
        <v>310</v>
      </c>
      <c r="G55" s="202">
        <f t="shared" si="3"/>
        <v>26</v>
      </c>
      <c r="H55" s="202" t="s">
        <v>21</v>
      </c>
      <c r="I55" s="202" t="s">
        <v>156</v>
      </c>
      <c r="J55" s="202"/>
      <c r="K55" s="202"/>
      <c r="L55" s="202" t="s">
        <v>23</v>
      </c>
      <c r="M55" s="201" t="s">
        <v>48</v>
      </c>
      <c r="N55" s="202" t="s">
        <v>65</v>
      </c>
      <c r="O55" s="280" t="s">
        <v>25</v>
      </c>
      <c r="P55" s="228"/>
      <c r="AK55" s="16">
        <f t="shared" si="4"/>
        <v>26</v>
      </c>
    </row>
    <row r="56" ht="15.75" customHeight="1">
      <c r="A56" s="17"/>
      <c r="B56" s="279" t="s">
        <v>311</v>
      </c>
      <c r="C56" s="201" t="s">
        <v>109</v>
      </c>
      <c r="D56" s="202" t="s">
        <v>312</v>
      </c>
      <c r="E56" s="202" t="s">
        <v>37</v>
      </c>
      <c r="F56" s="202" t="s">
        <v>313</v>
      </c>
      <c r="G56" s="202">
        <f t="shared" si="3"/>
        <v>26</v>
      </c>
      <c r="H56" s="202" t="s">
        <v>39</v>
      </c>
      <c r="I56" s="202" t="s">
        <v>218</v>
      </c>
      <c r="J56" s="202"/>
      <c r="K56" s="202"/>
      <c r="L56" s="202" t="s">
        <v>202</v>
      </c>
      <c r="M56" s="201" t="s">
        <v>259</v>
      </c>
      <c r="N56" s="202"/>
      <c r="O56" s="280" t="s">
        <v>25</v>
      </c>
      <c r="P56" s="228"/>
      <c r="AK56" s="16">
        <f t="shared" si="4"/>
        <v>26</v>
      </c>
    </row>
    <row r="57" ht="15.75" customHeight="1">
      <c r="A57" s="17"/>
      <c r="B57" s="279" t="s">
        <v>314</v>
      </c>
      <c r="C57" s="201" t="s">
        <v>109</v>
      </c>
      <c r="D57" s="202" t="s">
        <v>315</v>
      </c>
      <c r="E57" s="202" t="s">
        <v>37</v>
      </c>
      <c r="F57" s="202" t="s">
        <v>316</v>
      </c>
      <c r="G57" s="202">
        <f t="shared" si="3"/>
        <v>24</v>
      </c>
      <c r="H57" s="202" t="s">
        <v>30</v>
      </c>
      <c r="I57" s="202" t="s">
        <v>162</v>
      </c>
      <c r="J57" s="202" t="s">
        <v>317</v>
      </c>
      <c r="K57" s="202"/>
      <c r="L57" s="202" t="s">
        <v>41</v>
      </c>
      <c r="M57" s="201" t="s">
        <v>42</v>
      </c>
      <c r="N57" s="202"/>
      <c r="O57" s="280" t="s">
        <v>25</v>
      </c>
      <c r="P57" s="228"/>
      <c r="AK57" s="16">
        <f t="shared" si="4"/>
        <v>26</v>
      </c>
    </row>
    <row r="58" ht="15.75" customHeight="1">
      <c r="A58" s="17"/>
      <c r="B58" s="279" t="s">
        <v>318</v>
      </c>
      <c r="C58" s="201" t="s">
        <v>109</v>
      </c>
      <c r="D58" s="202" t="s">
        <v>319</v>
      </c>
      <c r="E58" s="202" t="s">
        <v>37</v>
      </c>
      <c r="F58" s="202" t="s">
        <v>320</v>
      </c>
      <c r="G58" s="202">
        <f t="shared" si="3"/>
        <v>25</v>
      </c>
      <c r="H58" s="202" t="s">
        <v>137</v>
      </c>
      <c r="I58" s="202" t="s">
        <v>321</v>
      </c>
      <c r="J58" s="202" t="s">
        <v>322</v>
      </c>
      <c r="K58" s="202"/>
      <c r="L58" s="202" t="s">
        <v>23</v>
      </c>
      <c r="M58" s="201" t="s">
        <v>48</v>
      </c>
      <c r="N58" s="202"/>
      <c r="O58" s="280" t="s">
        <v>25</v>
      </c>
      <c r="P58" s="228"/>
      <c r="AK58" s="16">
        <f t="shared" si="4"/>
        <v>24</v>
      </c>
    </row>
    <row r="59" ht="15.75" customHeight="1">
      <c r="A59" s="17"/>
      <c r="B59" s="281" t="s">
        <v>323</v>
      </c>
      <c r="C59" s="205" t="s">
        <v>109</v>
      </c>
      <c r="D59" s="206" t="s">
        <v>324</v>
      </c>
      <c r="E59" s="206" t="s">
        <v>37</v>
      </c>
      <c r="F59" s="206" t="s">
        <v>325</v>
      </c>
      <c r="G59" s="202">
        <f t="shared" si="3"/>
        <v>25</v>
      </c>
      <c r="H59" s="206" t="s">
        <v>196</v>
      </c>
      <c r="I59" s="206" t="s">
        <v>156</v>
      </c>
      <c r="J59" s="206" t="s">
        <v>191</v>
      </c>
      <c r="K59" s="206"/>
      <c r="L59" s="206" t="s">
        <v>41</v>
      </c>
      <c r="M59" s="205" t="s">
        <v>42</v>
      </c>
      <c r="N59" s="206"/>
      <c r="O59" s="282" t="s">
        <v>25</v>
      </c>
      <c r="P59" s="228"/>
      <c r="AK59" s="16">
        <f t="shared" si="4"/>
        <v>25</v>
      </c>
    </row>
    <row r="60" ht="15.75" customHeight="1">
      <c r="A60" s="17"/>
      <c r="B60" s="275" t="s">
        <v>326</v>
      </c>
      <c r="C60" s="193" t="s">
        <v>17</v>
      </c>
      <c r="D60" s="194" t="s">
        <v>327</v>
      </c>
      <c r="E60" s="194" t="s">
        <v>37</v>
      </c>
      <c r="F60" s="194" t="s">
        <v>328</v>
      </c>
      <c r="G60" s="202">
        <f t="shared" si="3"/>
        <v>26</v>
      </c>
      <c r="H60" s="194" t="s">
        <v>329</v>
      </c>
      <c r="I60" s="194"/>
      <c r="J60" s="194"/>
      <c r="K60" s="194"/>
      <c r="L60" s="194"/>
      <c r="M60" s="193"/>
      <c r="N60" s="194"/>
      <c r="O60" s="276" t="s">
        <v>25</v>
      </c>
      <c r="P60" s="228"/>
      <c r="Q60" s="94"/>
      <c r="AK60" s="16">
        <f t="shared" si="4"/>
        <v>25</v>
      </c>
    </row>
    <row r="61" ht="15.75" customHeight="1">
      <c r="A61" s="17"/>
      <c r="B61" s="275" t="s">
        <v>330</v>
      </c>
      <c r="C61" s="193" t="s">
        <v>98</v>
      </c>
      <c r="D61" s="194" t="s">
        <v>331</v>
      </c>
      <c r="E61" s="194" t="s">
        <v>19</v>
      </c>
      <c r="F61" s="194" t="s">
        <v>332</v>
      </c>
      <c r="G61" s="202">
        <f t="shared" si="3"/>
        <v>24</v>
      </c>
      <c r="H61" s="194" t="s">
        <v>137</v>
      </c>
      <c r="I61" s="194" t="s">
        <v>190</v>
      </c>
      <c r="J61" s="194" t="s">
        <v>333</v>
      </c>
      <c r="K61" s="194">
        <v>18.0</v>
      </c>
      <c r="L61" s="194" t="s">
        <v>41</v>
      </c>
      <c r="M61" s="193" t="s">
        <v>42</v>
      </c>
      <c r="N61" s="194" t="s">
        <v>198</v>
      </c>
      <c r="O61" s="276" t="s">
        <v>25</v>
      </c>
      <c r="P61" s="228"/>
      <c r="Q61" s="94"/>
      <c r="AK61" s="16">
        <f t="shared" si="4"/>
        <v>26</v>
      </c>
    </row>
    <row r="62" ht="15.75" customHeight="1">
      <c r="A62" s="17"/>
      <c r="B62" s="283" t="s">
        <v>334</v>
      </c>
      <c r="C62" s="209" t="s">
        <v>98</v>
      </c>
      <c r="D62" s="210" t="s">
        <v>335</v>
      </c>
      <c r="E62" s="210" t="s">
        <v>37</v>
      </c>
      <c r="F62" s="210" t="s">
        <v>336</v>
      </c>
      <c r="G62" s="202">
        <f t="shared" si="3"/>
        <v>21</v>
      </c>
      <c r="H62" s="210" t="s">
        <v>71</v>
      </c>
      <c r="I62" s="210" t="s">
        <v>337</v>
      </c>
      <c r="J62" s="210" t="s">
        <v>182</v>
      </c>
      <c r="K62" s="210">
        <v>21.0</v>
      </c>
      <c r="L62" s="210" t="s">
        <v>41</v>
      </c>
      <c r="M62" s="209" t="s">
        <v>42</v>
      </c>
      <c r="N62" s="210"/>
      <c r="O62" s="284" t="s">
        <v>25</v>
      </c>
      <c r="P62" s="228"/>
      <c r="Q62" s="94"/>
      <c r="AK62" s="16">
        <f t="shared" si="4"/>
        <v>24</v>
      </c>
    </row>
    <row r="63" ht="15.75" customHeight="1">
      <c r="A63" s="17"/>
      <c r="B63" s="281" t="s">
        <v>338</v>
      </c>
      <c r="C63" s="205" t="s">
        <v>109</v>
      </c>
      <c r="D63" s="206" t="s">
        <v>339</v>
      </c>
      <c r="E63" s="206" t="s">
        <v>37</v>
      </c>
      <c r="F63" s="206" t="s">
        <v>340</v>
      </c>
      <c r="G63" s="202">
        <f t="shared" si="3"/>
        <v>24</v>
      </c>
      <c r="H63" s="206" t="s">
        <v>56</v>
      </c>
      <c r="I63" s="206" t="s">
        <v>341</v>
      </c>
      <c r="J63" s="206"/>
      <c r="K63" s="206"/>
      <c r="L63" s="206" t="s">
        <v>41</v>
      </c>
      <c r="M63" s="205" t="s">
        <v>42</v>
      </c>
      <c r="N63" s="206"/>
      <c r="O63" s="282" t="s">
        <v>25</v>
      </c>
      <c r="P63" s="228"/>
      <c r="AK63" s="16">
        <f t="shared" si="4"/>
        <v>121</v>
      </c>
    </row>
    <row r="64" ht="15.75" customHeight="1">
      <c r="A64" s="17"/>
      <c r="B64" s="285" t="s">
        <v>342</v>
      </c>
      <c r="C64" s="213" t="s">
        <v>121</v>
      </c>
      <c r="D64" s="214" t="s">
        <v>343</v>
      </c>
      <c r="E64" s="214" t="s">
        <v>37</v>
      </c>
      <c r="F64" s="214" t="s">
        <v>344</v>
      </c>
      <c r="G64" s="202">
        <f t="shared" si="3"/>
        <v>26</v>
      </c>
      <c r="H64" s="214" t="s">
        <v>117</v>
      </c>
      <c r="I64" s="214" t="s">
        <v>52</v>
      </c>
      <c r="J64" s="214" t="s">
        <v>90</v>
      </c>
      <c r="K64" s="214"/>
      <c r="L64" s="214" t="s">
        <v>41</v>
      </c>
      <c r="M64" s="213" t="s">
        <v>42</v>
      </c>
      <c r="N64" s="214"/>
      <c r="O64" s="286" t="s">
        <v>25</v>
      </c>
      <c r="P64" s="228"/>
      <c r="AK64" s="16">
        <f t="shared" si="4"/>
        <v>24</v>
      </c>
    </row>
    <row r="65" ht="15.75" customHeight="1">
      <c r="A65" s="17"/>
      <c r="B65" s="279" t="s">
        <v>345</v>
      </c>
      <c r="C65" s="201" t="s">
        <v>121</v>
      </c>
      <c r="D65" s="202" t="s">
        <v>346</v>
      </c>
      <c r="E65" s="202" t="s">
        <v>19</v>
      </c>
      <c r="F65" s="202" t="s">
        <v>347</v>
      </c>
      <c r="G65" s="202">
        <f t="shared" si="3"/>
        <v>26</v>
      </c>
      <c r="H65" s="202" t="s">
        <v>348</v>
      </c>
      <c r="I65" s="202" t="s">
        <v>89</v>
      </c>
      <c r="J65" s="202"/>
      <c r="K65" s="202"/>
      <c r="L65" s="202" t="s">
        <v>23</v>
      </c>
      <c r="M65" s="201" t="s">
        <v>24</v>
      </c>
      <c r="N65" s="202"/>
      <c r="O65" s="280" t="s">
        <v>127</v>
      </c>
      <c r="P65" s="228"/>
      <c r="AK65" s="16">
        <f t="shared" si="4"/>
        <v>26</v>
      </c>
    </row>
    <row r="66" ht="15.75" customHeight="1">
      <c r="A66" s="17"/>
      <c r="B66" s="279" t="s">
        <v>349</v>
      </c>
      <c r="C66" s="201" t="s">
        <v>121</v>
      </c>
      <c r="D66" s="202" t="s">
        <v>350</v>
      </c>
      <c r="E66" s="202" t="s">
        <v>37</v>
      </c>
      <c r="F66" s="202" t="s">
        <v>351</v>
      </c>
      <c r="G66" s="202">
        <f t="shared" si="3"/>
        <v>23</v>
      </c>
      <c r="H66" s="202" t="s">
        <v>71</v>
      </c>
      <c r="I66" s="202" t="s">
        <v>52</v>
      </c>
      <c r="J66" s="202" t="s">
        <v>352</v>
      </c>
      <c r="K66" s="202"/>
      <c r="L66" s="202" t="s">
        <v>41</v>
      </c>
      <c r="M66" s="201" t="s">
        <v>42</v>
      </c>
      <c r="N66" s="202"/>
      <c r="O66" s="280" t="s">
        <v>25</v>
      </c>
      <c r="P66" s="228"/>
      <c r="AK66" s="16">
        <f t="shared" si="4"/>
        <v>26</v>
      </c>
    </row>
    <row r="67" ht="15.75" customHeight="1">
      <c r="A67" s="17"/>
      <c r="B67" s="279" t="s">
        <v>353</v>
      </c>
      <c r="C67" s="201" t="s">
        <v>121</v>
      </c>
      <c r="D67" s="202" t="s">
        <v>354</v>
      </c>
      <c r="E67" s="202" t="s">
        <v>37</v>
      </c>
      <c r="F67" s="202" t="s">
        <v>355</v>
      </c>
      <c r="G67" s="202">
        <f t="shared" si="3"/>
        <v>25</v>
      </c>
      <c r="H67" s="202" t="s">
        <v>196</v>
      </c>
      <c r="I67" s="202" t="s">
        <v>277</v>
      </c>
      <c r="J67" s="202" t="s">
        <v>356</v>
      </c>
      <c r="K67" s="202">
        <v>23.0</v>
      </c>
      <c r="L67" s="202" t="s">
        <v>41</v>
      </c>
      <c r="M67" s="201" t="s">
        <v>42</v>
      </c>
      <c r="N67" s="202"/>
      <c r="O67" s="280" t="s">
        <v>127</v>
      </c>
      <c r="P67" s="228"/>
      <c r="AK67" s="16">
        <f t="shared" si="4"/>
        <v>123</v>
      </c>
    </row>
    <row r="68" ht="15.75" customHeight="1">
      <c r="A68" s="17"/>
      <c r="B68" s="279" t="s">
        <v>357</v>
      </c>
      <c r="C68" s="201" t="s">
        <v>121</v>
      </c>
      <c r="D68" s="202" t="s">
        <v>358</v>
      </c>
      <c r="E68" s="202" t="s">
        <v>19</v>
      </c>
      <c r="F68" s="202" t="s">
        <v>359</v>
      </c>
      <c r="G68" s="202">
        <f t="shared" si="3"/>
        <v>26</v>
      </c>
      <c r="H68" s="202" t="s">
        <v>30</v>
      </c>
      <c r="I68" s="202" t="s">
        <v>31</v>
      </c>
      <c r="J68" s="202"/>
      <c r="K68" s="202"/>
      <c r="L68" s="202" t="s">
        <v>41</v>
      </c>
      <c r="M68" s="201" t="s">
        <v>42</v>
      </c>
      <c r="N68" s="202"/>
      <c r="O68" s="280" t="s">
        <v>25</v>
      </c>
      <c r="P68" s="228"/>
      <c r="AK68" s="16">
        <f t="shared" si="4"/>
        <v>25</v>
      </c>
    </row>
    <row r="69" ht="15.75" customHeight="1">
      <c r="A69" s="17"/>
      <c r="B69" s="279" t="s">
        <v>360</v>
      </c>
      <c r="C69" s="201" t="s">
        <v>121</v>
      </c>
      <c r="D69" s="202" t="s">
        <v>361</v>
      </c>
      <c r="E69" s="202" t="s">
        <v>37</v>
      </c>
      <c r="F69" s="202" t="s">
        <v>362</v>
      </c>
      <c r="G69" s="202">
        <f t="shared" si="3"/>
        <v>25</v>
      </c>
      <c r="H69" s="202" t="s">
        <v>363</v>
      </c>
      <c r="I69" s="202" t="s">
        <v>289</v>
      </c>
      <c r="J69" s="202" t="s">
        <v>364</v>
      </c>
      <c r="K69" s="202">
        <v>19.0</v>
      </c>
      <c r="L69" s="202" t="s">
        <v>41</v>
      </c>
      <c r="M69" s="201" t="s">
        <v>42</v>
      </c>
      <c r="N69" s="202"/>
      <c r="O69" s="280" t="s">
        <v>25</v>
      </c>
      <c r="P69" s="228"/>
      <c r="AK69" s="16">
        <f t="shared" si="4"/>
        <v>26</v>
      </c>
    </row>
    <row r="70" ht="15.75" customHeight="1">
      <c r="A70" s="17"/>
      <c r="B70" s="279" t="s">
        <v>365</v>
      </c>
      <c r="C70" s="201" t="s">
        <v>121</v>
      </c>
      <c r="D70" s="202" t="s">
        <v>366</v>
      </c>
      <c r="E70" s="202" t="s">
        <v>37</v>
      </c>
      <c r="F70" s="202" t="s">
        <v>367</v>
      </c>
      <c r="G70" s="202">
        <f t="shared" si="3"/>
        <v>24</v>
      </c>
      <c r="H70" s="202" t="s">
        <v>117</v>
      </c>
      <c r="I70" s="202" t="s">
        <v>89</v>
      </c>
      <c r="J70" s="202" t="s">
        <v>90</v>
      </c>
      <c r="K70" s="202"/>
      <c r="L70" s="202" t="s">
        <v>41</v>
      </c>
      <c r="M70" s="201" t="s">
        <v>42</v>
      </c>
      <c r="N70" s="202"/>
      <c r="O70" s="280" t="s">
        <v>25</v>
      </c>
      <c r="P70" s="228"/>
      <c r="AK70" s="16">
        <f t="shared" si="4"/>
        <v>25</v>
      </c>
    </row>
    <row r="71" ht="15.75" customHeight="1">
      <c r="A71" s="17"/>
      <c r="B71" s="279" t="s">
        <v>368</v>
      </c>
      <c r="C71" s="201" t="s">
        <v>121</v>
      </c>
      <c r="D71" s="202" t="s">
        <v>369</v>
      </c>
      <c r="E71" s="202" t="s">
        <v>37</v>
      </c>
      <c r="F71" s="202" t="s">
        <v>370</v>
      </c>
      <c r="G71" s="202">
        <f t="shared" si="3"/>
        <v>23</v>
      </c>
      <c r="H71" s="202" t="s">
        <v>217</v>
      </c>
      <c r="I71" s="202" t="s">
        <v>31</v>
      </c>
      <c r="J71" s="202" t="s">
        <v>371</v>
      </c>
      <c r="K71" s="202">
        <v>19.0</v>
      </c>
      <c r="L71" s="202" t="s">
        <v>41</v>
      </c>
      <c r="M71" s="201" t="s">
        <v>42</v>
      </c>
      <c r="N71" s="202" t="s">
        <v>372</v>
      </c>
      <c r="O71" s="280" t="s">
        <v>25</v>
      </c>
      <c r="P71" s="228"/>
      <c r="AK71" s="16">
        <f t="shared" si="4"/>
        <v>24</v>
      </c>
    </row>
    <row r="72" ht="15.75" customHeight="1">
      <c r="A72" s="17"/>
      <c r="B72" s="281" t="s">
        <v>373</v>
      </c>
      <c r="C72" s="205" t="s">
        <v>121</v>
      </c>
      <c r="D72" s="206" t="s">
        <v>374</v>
      </c>
      <c r="E72" s="206" t="s">
        <v>19</v>
      </c>
      <c r="F72" s="206" t="s">
        <v>375</v>
      </c>
      <c r="G72" s="206">
        <f t="shared" si="3"/>
        <v>26</v>
      </c>
      <c r="H72" s="206" t="s">
        <v>137</v>
      </c>
      <c r="I72" s="206" t="s">
        <v>31</v>
      </c>
      <c r="J72" s="206" t="s">
        <v>239</v>
      </c>
      <c r="K72" s="206"/>
      <c r="L72" s="206" t="s">
        <v>41</v>
      </c>
      <c r="M72" s="205" t="s">
        <v>42</v>
      </c>
      <c r="N72" s="206" t="s">
        <v>33</v>
      </c>
      <c r="O72" s="282" t="s">
        <v>25</v>
      </c>
      <c r="P72" s="228"/>
      <c r="AK72" s="16">
        <f t="shared" si="4"/>
        <v>123</v>
      </c>
    </row>
    <row r="73" ht="15.75" customHeight="1">
      <c r="A73" s="25"/>
      <c r="B73" s="287" t="s">
        <v>376</v>
      </c>
      <c r="C73" s="219" t="s">
        <v>35</v>
      </c>
      <c r="D73" s="220" t="s">
        <v>377</v>
      </c>
      <c r="E73" s="220" t="s">
        <v>37</v>
      </c>
      <c r="F73" s="220" t="s">
        <v>378</v>
      </c>
      <c r="G73" s="220">
        <f>IF(AK36&gt;100,AK36-100,AK36)</f>
        <v>25</v>
      </c>
      <c r="H73" s="220" t="s">
        <v>263</v>
      </c>
      <c r="I73" s="220" t="s">
        <v>112</v>
      </c>
      <c r="J73" s="220" t="s">
        <v>379</v>
      </c>
      <c r="K73" s="220">
        <v>20.0</v>
      </c>
      <c r="L73" s="220" t="s">
        <v>41</v>
      </c>
      <c r="M73" s="219" t="s">
        <v>42</v>
      </c>
      <c r="N73" s="220" t="s">
        <v>157</v>
      </c>
      <c r="O73" s="288" t="s">
        <v>127</v>
      </c>
      <c r="P73" s="259"/>
      <c r="AK73" s="16">
        <f t="shared" si="4"/>
        <v>26</v>
      </c>
    </row>
    <row r="74" ht="15.75" customHeight="1">
      <c r="AK74" s="16" t="str">
        <f>124-VALUE(LEFT(#REF!,2))-1</f>
        <v>#REF!</v>
      </c>
    </row>
    <row r="75" ht="15.75" customHeight="1">
      <c r="AK75" s="16">
        <f t="shared" ref="AK75:AK95" si="5">124-VALUE(LEFT(F75,2))-1</f>
        <v>123</v>
      </c>
    </row>
    <row r="76" ht="15.75" customHeight="1">
      <c r="AK76" s="16">
        <f t="shared" si="5"/>
        <v>123</v>
      </c>
    </row>
    <row r="77" ht="15.75" customHeight="1">
      <c r="AK77" s="16">
        <f t="shared" si="5"/>
        <v>123</v>
      </c>
    </row>
    <row r="78" ht="15.75" customHeight="1">
      <c r="AK78" s="16">
        <f t="shared" si="5"/>
        <v>123</v>
      </c>
    </row>
    <row r="79" ht="15.75" customHeight="1">
      <c r="AK79" s="16">
        <f t="shared" si="5"/>
        <v>123</v>
      </c>
    </row>
    <row r="80" ht="15.75" customHeight="1">
      <c r="AK80" s="16">
        <f t="shared" si="5"/>
        <v>123</v>
      </c>
    </row>
    <row r="81" ht="15.75" customHeight="1">
      <c r="AK81" s="16">
        <f t="shared" si="5"/>
        <v>123</v>
      </c>
    </row>
    <row r="82" ht="15.75" customHeight="1">
      <c r="AK82" s="16">
        <f t="shared" si="5"/>
        <v>123</v>
      </c>
    </row>
    <row r="83" ht="15.75" customHeight="1">
      <c r="AK83" s="16">
        <f t="shared" si="5"/>
        <v>123</v>
      </c>
    </row>
    <row r="84" ht="15.75" customHeight="1">
      <c r="AK84" s="16">
        <f t="shared" si="5"/>
        <v>123</v>
      </c>
    </row>
    <row r="85" ht="15.75" customHeight="1">
      <c r="AK85" s="16">
        <f t="shared" si="5"/>
        <v>123</v>
      </c>
    </row>
    <row r="86" ht="15.75" customHeight="1">
      <c r="AK86" s="16">
        <f t="shared" si="5"/>
        <v>123</v>
      </c>
    </row>
    <row r="87" ht="15.75" customHeight="1">
      <c r="AK87" s="16">
        <f t="shared" si="5"/>
        <v>123</v>
      </c>
    </row>
    <row r="88" ht="15.75" customHeight="1">
      <c r="AK88" s="16">
        <f t="shared" si="5"/>
        <v>123</v>
      </c>
    </row>
    <row r="89" ht="15.75" customHeight="1">
      <c r="AK89" s="16">
        <f t="shared" si="5"/>
        <v>123</v>
      </c>
    </row>
    <row r="90" ht="15.75" customHeight="1">
      <c r="AK90" s="16">
        <f t="shared" si="5"/>
        <v>123</v>
      </c>
    </row>
    <row r="91" ht="15.75" customHeight="1">
      <c r="AK91" s="16">
        <f t="shared" si="5"/>
        <v>123</v>
      </c>
    </row>
    <row r="92" ht="15.75" customHeight="1">
      <c r="AK92" s="16">
        <f t="shared" si="5"/>
        <v>123</v>
      </c>
    </row>
    <row r="93" ht="15.75" customHeight="1">
      <c r="AK93" s="16">
        <f t="shared" si="5"/>
        <v>123</v>
      </c>
    </row>
    <row r="94" ht="15.75" customHeight="1">
      <c r="AK94" s="16">
        <f t="shared" si="5"/>
        <v>123</v>
      </c>
    </row>
    <row r="95" ht="15.75" customHeight="1">
      <c r="AK95" s="16">
        <f t="shared" si="5"/>
        <v>123</v>
      </c>
    </row>
    <row r="96" ht="15.75" customHeight="1">
      <c r="AK96" s="16" t="str">
        <f>124-VALUE(LEFT(#REF!,2))-1</f>
        <v>#REF!</v>
      </c>
    </row>
    <row r="97" ht="15.75" customHeight="1">
      <c r="AK97" s="16">
        <f t="shared" ref="AK97:AK230" si="6">124-VALUE(LEFT(F97,2))-1</f>
        <v>123</v>
      </c>
    </row>
    <row r="98" ht="15.75" customHeight="1">
      <c r="AK98" s="16">
        <f t="shared" si="6"/>
        <v>123</v>
      </c>
    </row>
    <row r="99" ht="15.75" customHeight="1">
      <c r="AK99" s="16">
        <f t="shared" si="6"/>
        <v>123</v>
      </c>
    </row>
    <row r="100" ht="15.75" customHeight="1">
      <c r="AK100" s="16">
        <f t="shared" si="6"/>
        <v>123</v>
      </c>
    </row>
    <row r="101" ht="15.75" customHeight="1">
      <c r="AK101" s="16">
        <f t="shared" si="6"/>
        <v>123</v>
      </c>
    </row>
    <row r="102" ht="15.75" customHeight="1">
      <c r="AK102" s="16">
        <f t="shared" si="6"/>
        <v>123</v>
      </c>
    </row>
    <row r="103" ht="15.75" customHeight="1">
      <c r="AK103" s="16">
        <f t="shared" si="6"/>
        <v>123</v>
      </c>
    </row>
    <row r="104" ht="15.75" customHeight="1">
      <c r="AK104" s="16">
        <f t="shared" si="6"/>
        <v>123</v>
      </c>
    </row>
    <row r="105" ht="15.75" customHeight="1">
      <c r="AK105" s="16">
        <f t="shared" si="6"/>
        <v>123</v>
      </c>
    </row>
    <row r="106" ht="15.75" customHeight="1">
      <c r="AK106" s="16">
        <f t="shared" si="6"/>
        <v>123</v>
      </c>
    </row>
    <row r="107" ht="15.75" customHeight="1">
      <c r="AK107" s="16">
        <f t="shared" si="6"/>
        <v>123</v>
      </c>
    </row>
    <row r="108" ht="15.75" customHeight="1">
      <c r="AK108" s="16">
        <f t="shared" si="6"/>
        <v>123</v>
      </c>
    </row>
    <row r="109" ht="15.75" customHeight="1">
      <c r="AK109" s="16">
        <f t="shared" si="6"/>
        <v>123</v>
      </c>
    </row>
    <row r="110" ht="15.75" customHeight="1">
      <c r="AK110" s="16">
        <f t="shared" si="6"/>
        <v>123</v>
      </c>
    </row>
    <row r="111" ht="15.75" customHeight="1">
      <c r="AK111" s="16">
        <f t="shared" si="6"/>
        <v>123</v>
      </c>
    </row>
    <row r="112" ht="15.75" customHeight="1">
      <c r="AK112" s="16">
        <f t="shared" si="6"/>
        <v>123</v>
      </c>
    </row>
    <row r="113" ht="15.75" customHeight="1">
      <c r="AK113" s="16">
        <f t="shared" si="6"/>
        <v>123</v>
      </c>
    </row>
    <row r="114" ht="15.75" customHeight="1">
      <c r="P114" s="94"/>
      <c r="AK114" s="16">
        <f t="shared" si="6"/>
        <v>123</v>
      </c>
    </row>
    <row r="115" ht="15.75" customHeight="1">
      <c r="P115" s="94"/>
      <c r="AK115" s="16">
        <f t="shared" si="6"/>
        <v>123</v>
      </c>
    </row>
    <row r="116" ht="15.75" customHeight="1">
      <c r="AK116" s="16">
        <f t="shared" si="6"/>
        <v>123</v>
      </c>
    </row>
    <row r="117" ht="15.75" customHeight="1">
      <c r="AK117" s="16">
        <f t="shared" si="6"/>
        <v>123</v>
      </c>
    </row>
    <row r="118" ht="15.75" customHeight="1">
      <c r="AK118" s="16">
        <f t="shared" si="6"/>
        <v>123</v>
      </c>
    </row>
    <row r="119" ht="15.75" customHeight="1">
      <c r="AK119" s="16">
        <f t="shared" si="6"/>
        <v>123</v>
      </c>
    </row>
    <row r="120" ht="15.75" customHeight="1">
      <c r="A120" s="289"/>
      <c r="P120" s="290"/>
      <c r="AK120" s="16">
        <f t="shared" si="6"/>
        <v>123</v>
      </c>
    </row>
    <row r="121" ht="15.75" customHeight="1">
      <c r="AK121" s="16">
        <f t="shared" si="6"/>
        <v>123</v>
      </c>
    </row>
    <row r="122" ht="15.75" customHeight="1">
      <c r="AK122" s="16">
        <f t="shared" si="6"/>
        <v>123</v>
      </c>
    </row>
    <row r="123" ht="15.75" customHeight="1">
      <c r="AK123" s="16">
        <f t="shared" si="6"/>
        <v>123</v>
      </c>
    </row>
    <row r="124" ht="15.75" customHeight="1">
      <c r="AK124" s="16">
        <f t="shared" si="6"/>
        <v>123</v>
      </c>
    </row>
    <row r="125" ht="15.75" customHeight="1">
      <c r="AK125" s="16">
        <f t="shared" si="6"/>
        <v>123</v>
      </c>
    </row>
    <row r="126" ht="15.75" customHeight="1">
      <c r="AK126" s="16">
        <f t="shared" si="6"/>
        <v>123</v>
      </c>
    </row>
    <row r="127" ht="15.75" customHeight="1">
      <c r="AK127" s="16">
        <f t="shared" si="6"/>
        <v>123</v>
      </c>
    </row>
    <row r="128" ht="15.75" customHeight="1">
      <c r="AK128" s="16">
        <f t="shared" si="6"/>
        <v>123</v>
      </c>
    </row>
    <row r="129" ht="15.75" customHeight="1">
      <c r="AK129" s="16">
        <f t="shared" si="6"/>
        <v>123</v>
      </c>
    </row>
    <row r="130" ht="15.75" customHeight="1">
      <c r="AK130" s="16">
        <f t="shared" si="6"/>
        <v>123</v>
      </c>
    </row>
    <row r="131" ht="15.75" customHeight="1">
      <c r="AK131" s="16">
        <f t="shared" si="6"/>
        <v>123</v>
      </c>
    </row>
    <row r="132" ht="15.75" customHeight="1">
      <c r="AK132" s="16">
        <f t="shared" si="6"/>
        <v>123</v>
      </c>
    </row>
    <row r="133" ht="15.75" customHeight="1">
      <c r="AK133" s="16">
        <f t="shared" si="6"/>
        <v>123</v>
      </c>
    </row>
    <row r="134" ht="15.75" customHeight="1">
      <c r="AK134" s="16">
        <f t="shared" si="6"/>
        <v>123</v>
      </c>
    </row>
    <row r="135" ht="15.75" customHeight="1">
      <c r="AK135" s="16">
        <f t="shared" si="6"/>
        <v>123</v>
      </c>
    </row>
    <row r="136" ht="15.75" customHeight="1">
      <c r="AK136" s="16">
        <f t="shared" si="6"/>
        <v>123</v>
      </c>
    </row>
    <row r="137" ht="15.75" customHeight="1">
      <c r="AK137" s="16">
        <f t="shared" si="6"/>
        <v>123</v>
      </c>
    </row>
    <row r="138" ht="15.75" customHeight="1">
      <c r="AK138" s="16">
        <f t="shared" si="6"/>
        <v>123</v>
      </c>
    </row>
    <row r="139" ht="15.75" customHeight="1">
      <c r="AK139" s="16">
        <f t="shared" si="6"/>
        <v>123</v>
      </c>
    </row>
    <row r="140" ht="15.75" customHeight="1">
      <c r="AK140" s="16">
        <f t="shared" si="6"/>
        <v>123</v>
      </c>
    </row>
    <row r="141" ht="15.75" customHeight="1">
      <c r="AK141" s="16">
        <f t="shared" si="6"/>
        <v>123</v>
      </c>
    </row>
    <row r="142" ht="15.75" customHeight="1">
      <c r="AK142" s="16">
        <f t="shared" si="6"/>
        <v>123</v>
      </c>
    </row>
    <row r="143" ht="15.75" customHeight="1">
      <c r="AK143" s="16">
        <f t="shared" si="6"/>
        <v>123</v>
      </c>
    </row>
    <row r="144" ht="15.75" customHeight="1">
      <c r="AK144" s="16">
        <f t="shared" si="6"/>
        <v>123</v>
      </c>
    </row>
    <row r="145" ht="15.75" customHeight="1">
      <c r="AK145" s="16">
        <f t="shared" si="6"/>
        <v>123</v>
      </c>
    </row>
    <row r="146" ht="15.75" customHeight="1">
      <c r="AK146" s="16">
        <f t="shared" si="6"/>
        <v>123</v>
      </c>
    </row>
    <row r="147" ht="15.75" customHeight="1">
      <c r="AK147" s="16">
        <f t="shared" si="6"/>
        <v>123</v>
      </c>
    </row>
    <row r="148" ht="15.75" customHeight="1">
      <c r="AK148" s="16">
        <f t="shared" si="6"/>
        <v>123</v>
      </c>
    </row>
    <row r="149" ht="15.75" customHeight="1">
      <c r="AK149" s="16">
        <f t="shared" si="6"/>
        <v>123</v>
      </c>
    </row>
    <row r="150" ht="15.75" customHeight="1">
      <c r="AK150" s="16">
        <f t="shared" si="6"/>
        <v>123</v>
      </c>
    </row>
    <row r="151" ht="15.75" customHeight="1">
      <c r="AK151" s="16">
        <f t="shared" si="6"/>
        <v>123</v>
      </c>
    </row>
    <row r="152" ht="15.75" customHeight="1">
      <c r="AK152" s="16">
        <f t="shared" si="6"/>
        <v>123</v>
      </c>
    </row>
    <row r="153" ht="15.75" customHeight="1">
      <c r="AK153" s="16">
        <f t="shared" si="6"/>
        <v>123</v>
      </c>
    </row>
    <row r="154" ht="15.75" customHeight="1">
      <c r="AK154" s="16">
        <f t="shared" si="6"/>
        <v>123</v>
      </c>
    </row>
    <row r="155" ht="15.75" customHeight="1">
      <c r="AK155" s="16">
        <f t="shared" si="6"/>
        <v>123</v>
      </c>
    </row>
    <row r="156" ht="15.75" customHeight="1">
      <c r="AK156" s="16">
        <f t="shared" si="6"/>
        <v>123</v>
      </c>
    </row>
    <row r="157" ht="15.75" customHeight="1">
      <c r="AK157" s="16">
        <f t="shared" si="6"/>
        <v>123</v>
      </c>
    </row>
    <row r="158" ht="15.75" customHeight="1">
      <c r="AK158" s="16">
        <f t="shared" si="6"/>
        <v>123</v>
      </c>
    </row>
    <row r="159" ht="15.75" customHeight="1">
      <c r="AK159" s="16">
        <f t="shared" si="6"/>
        <v>123</v>
      </c>
    </row>
    <row r="160" ht="15.75" customHeight="1">
      <c r="AK160" s="16">
        <f t="shared" si="6"/>
        <v>123</v>
      </c>
    </row>
    <row r="161" ht="15.75" customHeight="1">
      <c r="AK161" s="16">
        <f t="shared" si="6"/>
        <v>123</v>
      </c>
    </row>
    <row r="162" ht="15.75" customHeight="1">
      <c r="AK162" s="16">
        <f t="shared" si="6"/>
        <v>123</v>
      </c>
    </row>
    <row r="163" ht="15.75" customHeight="1">
      <c r="AK163" s="16">
        <f t="shared" si="6"/>
        <v>123</v>
      </c>
    </row>
    <row r="164" ht="15.75" customHeight="1">
      <c r="AK164" s="16">
        <f t="shared" si="6"/>
        <v>123</v>
      </c>
    </row>
    <row r="165" ht="15.75" customHeight="1">
      <c r="AK165" s="16">
        <f t="shared" si="6"/>
        <v>123</v>
      </c>
    </row>
    <row r="166" ht="15.75" customHeight="1">
      <c r="AK166" s="16">
        <f t="shared" si="6"/>
        <v>123</v>
      </c>
    </row>
    <row r="167" ht="15.75" customHeight="1">
      <c r="AK167" s="16">
        <f t="shared" si="6"/>
        <v>123</v>
      </c>
    </row>
    <row r="168" ht="15.75" customHeight="1">
      <c r="AK168" s="16">
        <f t="shared" si="6"/>
        <v>123</v>
      </c>
    </row>
    <row r="169" ht="15.75" customHeight="1">
      <c r="AK169" s="16">
        <f t="shared" si="6"/>
        <v>123</v>
      </c>
    </row>
    <row r="170" ht="15.75" customHeight="1">
      <c r="AK170" s="16">
        <f t="shared" si="6"/>
        <v>123</v>
      </c>
    </row>
    <row r="171" ht="15.75" customHeight="1">
      <c r="AK171" s="16">
        <f t="shared" si="6"/>
        <v>123</v>
      </c>
    </row>
    <row r="172" ht="15.75" customHeight="1">
      <c r="AK172" s="16">
        <f t="shared" si="6"/>
        <v>123</v>
      </c>
    </row>
    <row r="173" ht="15.75" customHeight="1">
      <c r="AK173" s="16">
        <f t="shared" si="6"/>
        <v>123</v>
      </c>
    </row>
    <row r="174" ht="15.75" customHeight="1">
      <c r="AK174" s="16">
        <f t="shared" si="6"/>
        <v>123</v>
      </c>
    </row>
    <row r="175" ht="15.75" customHeight="1">
      <c r="AK175" s="16">
        <f t="shared" si="6"/>
        <v>123</v>
      </c>
    </row>
    <row r="176" ht="15.75" customHeight="1">
      <c r="AK176" s="16">
        <f t="shared" si="6"/>
        <v>123</v>
      </c>
    </row>
    <row r="177" ht="15.75" customHeight="1">
      <c r="AK177" s="16">
        <f t="shared" si="6"/>
        <v>123</v>
      </c>
    </row>
    <row r="178" ht="15.75" customHeight="1">
      <c r="AK178" s="16">
        <f t="shared" si="6"/>
        <v>123</v>
      </c>
    </row>
    <row r="179" ht="15.75" customHeight="1">
      <c r="AK179" s="16">
        <f t="shared" si="6"/>
        <v>123</v>
      </c>
    </row>
    <row r="180" ht="15.75" customHeight="1">
      <c r="AK180" s="16">
        <f t="shared" si="6"/>
        <v>123</v>
      </c>
    </row>
    <row r="181" ht="15.75" customHeight="1">
      <c r="AK181" s="16">
        <f t="shared" si="6"/>
        <v>123</v>
      </c>
    </row>
    <row r="182" ht="15.75" customHeight="1">
      <c r="AK182" s="16">
        <f t="shared" si="6"/>
        <v>123</v>
      </c>
    </row>
    <row r="183" ht="15.75" customHeight="1">
      <c r="AK183" s="16">
        <f t="shared" si="6"/>
        <v>123</v>
      </c>
    </row>
    <row r="184" ht="15.75" customHeight="1">
      <c r="AK184" s="16">
        <f t="shared" si="6"/>
        <v>123</v>
      </c>
    </row>
    <row r="185" ht="15.75" customHeight="1">
      <c r="AK185" s="16">
        <f t="shared" si="6"/>
        <v>123</v>
      </c>
    </row>
    <row r="186" ht="15.75" customHeight="1">
      <c r="AK186" s="16">
        <f t="shared" si="6"/>
        <v>123</v>
      </c>
    </row>
    <row r="187" ht="15.75" customHeight="1">
      <c r="AK187" s="16">
        <f t="shared" si="6"/>
        <v>123</v>
      </c>
    </row>
    <row r="188" ht="15.75" customHeight="1">
      <c r="AK188" s="16">
        <f t="shared" si="6"/>
        <v>123</v>
      </c>
    </row>
    <row r="189" ht="15.75" customHeight="1">
      <c r="AK189" s="16">
        <f t="shared" si="6"/>
        <v>123</v>
      </c>
    </row>
    <row r="190" ht="15.75" customHeight="1">
      <c r="AK190" s="16">
        <f t="shared" si="6"/>
        <v>123</v>
      </c>
    </row>
    <row r="191" ht="15.75" customHeight="1">
      <c r="AK191" s="16">
        <f t="shared" si="6"/>
        <v>123</v>
      </c>
    </row>
    <row r="192" ht="15.75" customHeight="1">
      <c r="AK192" s="16">
        <f t="shared" si="6"/>
        <v>123</v>
      </c>
    </row>
    <row r="193" ht="15.75" customHeight="1">
      <c r="AK193" s="16">
        <f t="shared" si="6"/>
        <v>123</v>
      </c>
    </row>
    <row r="194" ht="15.75" customHeight="1">
      <c r="AK194" s="16">
        <f t="shared" si="6"/>
        <v>123</v>
      </c>
    </row>
    <row r="195" ht="15.75" customHeight="1">
      <c r="AK195" s="16">
        <f t="shared" si="6"/>
        <v>123</v>
      </c>
    </row>
    <row r="196" ht="15.75" customHeight="1">
      <c r="AK196" s="16">
        <f t="shared" si="6"/>
        <v>123</v>
      </c>
    </row>
    <row r="197" ht="15.75" customHeight="1">
      <c r="AK197" s="16">
        <f t="shared" si="6"/>
        <v>123</v>
      </c>
    </row>
    <row r="198" ht="15.75" customHeight="1">
      <c r="AK198" s="16">
        <f t="shared" si="6"/>
        <v>123</v>
      </c>
    </row>
    <row r="199" ht="15.75" customHeight="1">
      <c r="AK199" s="16">
        <f t="shared" si="6"/>
        <v>123</v>
      </c>
    </row>
    <row r="200" ht="15.75" customHeight="1">
      <c r="AK200" s="16">
        <f t="shared" si="6"/>
        <v>123</v>
      </c>
    </row>
    <row r="201" ht="15.75" customHeight="1">
      <c r="AK201" s="16">
        <f t="shared" si="6"/>
        <v>123</v>
      </c>
    </row>
    <row r="202" ht="15.75" customHeight="1">
      <c r="AK202" s="16">
        <f t="shared" si="6"/>
        <v>123</v>
      </c>
    </row>
    <row r="203" ht="15.75" customHeight="1">
      <c r="AK203" s="16">
        <f t="shared" si="6"/>
        <v>123</v>
      </c>
    </row>
    <row r="204" ht="15.75" customHeight="1">
      <c r="AK204" s="16">
        <f t="shared" si="6"/>
        <v>123</v>
      </c>
    </row>
    <row r="205" ht="15.75" customHeight="1">
      <c r="AK205" s="16">
        <f t="shared" si="6"/>
        <v>123</v>
      </c>
    </row>
    <row r="206" ht="15.75" customHeight="1">
      <c r="AK206" s="16">
        <f t="shared" si="6"/>
        <v>123</v>
      </c>
    </row>
    <row r="207" ht="15.75" customHeight="1">
      <c r="AK207" s="16">
        <f t="shared" si="6"/>
        <v>123</v>
      </c>
    </row>
    <row r="208" ht="15.75" customHeight="1">
      <c r="AK208" s="16">
        <f t="shared" si="6"/>
        <v>123</v>
      </c>
    </row>
    <row r="209" ht="15.75" customHeight="1">
      <c r="AK209" s="16">
        <f t="shared" si="6"/>
        <v>123</v>
      </c>
    </row>
    <row r="210" ht="15.75" customHeight="1">
      <c r="AK210" s="16">
        <f t="shared" si="6"/>
        <v>123</v>
      </c>
    </row>
    <row r="211" ht="15.75" customHeight="1">
      <c r="AK211" s="16">
        <f t="shared" si="6"/>
        <v>123</v>
      </c>
    </row>
    <row r="212" ht="15.75" customHeight="1">
      <c r="AK212" s="16">
        <f t="shared" si="6"/>
        <v>123</v>
      </c>
    </row>
    <row r="213" ht="15.75" customHeight="1">
      <c r="AK213" s="16">
        <f t="shared" si="6"/>
        <v>123</v>
      </c>
    </row>
    <row r="214" ht="15.75" customHeight="1">
      <c r="AK214" s="16">
        <f t="shared" si="6"/>
        <v>123</v>
      </c>
    </row>
    <row r="215" ht="15.75" customHeight="1">
      <c r="AK215" s="16">
        <f t="shared" si="6"/>
        <v>123</v>
      </c>
    </row>
    <row r="216" ht="15.75" customHeight="1">
      <c r="AK216" s="16">
        <f t="shared" si="6"/>
        <v>123</v>
      </c>
    </row>
    <row r="217" ht="15.75" customHeight="1">
      <c r="AK217" s="16">
        <f t="shared" si="6"/>
        <v>123</v>
      </c>
    </row>
    <row r="218" ht="15.75" customHeight="1">
      <c r="AK218" s="16">
        <f t="shared" si="6"/>
        <v>123</v>
      </c>
    </row>
    <row r="219" ht="15.75" customHeight="1">
      <c r="AK219" s="16">
        <f t="shared" si="6"/>
        <v>123</v>
      </c>
    </row>
    <row r="220" ht="15.75" customHeight="1">
      <c r="AK220" s="16">
        <f t="shared" si="6"/>
        <v>123</v>
      </c>
    </row>
    <row r="221" ht="15.75" customHeight="1">
      <c r="AK221" s="16">
        <f t="shared" si="6"/>
        <v>123</v>
      </c>
    </row>
    <row r="222" ht="15.75" customHeight="1">
      <c r="AK222" s="16">
        <f t="shared" si="6"/>
        <v>123</v>
      </c>
    </row>
    <row r="223" ht="15.75" customHeight="1">
      <c r="AK223" s="16">
        <f t="shared" si="6"/>
        <v>123</v>
      </c>
    </row>
    <row r="224" ht="15.75" customHeight="1">
      <c r="AK224" s="16">
        <f t="shared" si="6"/>
        <v>123</v>
      </c>
    </row>
    <row r="225" ht="15.75" customHeight="1">
      <c r="AK225" s="16">
        <f t="shared" si="6"/>
        <v>123</v>
      </c>
    </row>
    <row r="226" ht="15.75" customHeight="1">
      <c r="AK226" s="16">
        <f t="shared" si="6"/>
        <v>123</v>
      </c>
    </row>
    <row r="227" ht="15.75" customHeight="1">
      <c r="AK227" s="16">
        <f t="shared" si="6"/>
        <v>123</v>
      </c>
    </row>
    <row r="228" ht="15.75" customHeight="1">
      <c r="AK228" s="16">
        <f t="shared" si="6"/>
        <v>123</v>
      </c>
    </row>
    <row r="229" ht="15.75" customHeight="1">
      <c r="AK229" s="16">
        <f t="shared" si="6"/>
        <v>123</v>
      </c>
    </row>
    <row r="230" ht="15.75" customHeight="1">
      <c r="AK230" s="16">
        <f t="shared" si="6"/>
        <v>123</v>
      </c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6"/>
    <mergeCell ref="P2:P39"/>
    <mergeCell ref="A7:A39"/>
    <mergeCell ref="A40:A48"/>
    <mergeCell ref="P40:P48"/>
    <mergeCell ref="A49:A73"/>
    <mergeCell ref="P49:P7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9.43"/>
    <col customWidth="1" min="3" max="3" width="11.0"/>
    <col customWidth="1" min="4" max="4" width="18.86"/>
    <col customWidth="1" min="5" max="5" width="9.14"/>
    <col customWidth="1" min="6" max="6" width="12.0"/>
    <col customWidth="1" min="7" max="7" width="9.14"/>
    <col customWidth="1" min="8" max="8" width="12.71"/>
    <col customWidth="1" min="9" max="9" width="24.43"/>
    <col customWidth="1" min="10" max="10" width="25.71"/>
    <col customWidth="1" min="11" max="11" width="9.14"/>
    <col customWidth="1" min="12" max="13" width="10.29"/>
    <col customWidth="1" min="14" max="14" width="9.14"/>
    <col customWidth="1" min="15" max="15" width="10.29"/>
    <col customWidth="1" min="16" max="16" width="8.86"/>
    <col customWidth="1" min="17" max="17" width="114.14"/>
    <col customWidth="1" min="18" max="18" width="48.86"/>
    <col customWidth="1" min="19" max="19" width="41.29"/>
    <col customWidth="1" min="24" max="24" width="9.14"/>
  </cols>
  <sheetData>
    <row r="1" ht="16.5" customHeight="1">
      <c r="A1" s="104">
        <v>2023.03</v>
      </c>
      <c r="B1" s="105" t="s">
        <v>0</v>
      </c>
      <c r="C1" s="106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107" t="s">
        <v>10</v>
      </c>
      <c r="M1" s="8" t="s">
        <v>11</v>
      </c>
      <c r="N1" s="8" t="s">
        <v>12</v>
      </c>
      <c r="O1" s="107" t="s">
        <v>13</v>
      </c>
      <c r="P1" s="291" t="s">
        <v>14</v>
      </c>
      <c r="R1" s="292" t="s">
        <v>494</v>
      </c>
      <c r="S1" s="293" t="s">
        <v>495</v>
      </c>
      <c r="X1" s="8" t="s">
        <v>5</v>
      </c>
    </row>
    <row r="2" ht="16.5" customHeight="1">
      <c r="A2" s="294" t="s">
        <v>15</v>
      </c>
      <c r="B2" s="109" t="s">
        <v>26</v>
      </c>
      <c r="C2" s="295" t="s">
        <v>27</v>
      </c>
      <c r="D2" s="16" t="s">
        <v>28</v>
      </c>
      <c r="E2" s="16" t="s">
        <v>19</v>
      </c>
      <c r="F2" s="16" t="s">
        <v>29</v>
      </c>
      <c r="G2" s="16">
        <f t="shared" ref="G2:G4" si="1">IF(X2&gt;100,X2-100,X2)</f>
        <v>29</v>
      </c>
      <c r="H2" s="16" t="s">
        <v>30</v>
      </c>
      <c r="I2" s="16" t="s">
        <v>31</v>
      </c>
      <c r="J2" s="16" t="s">
        <v>32</v>
      </c>
      <c r="K2" s="16">
        <v>15.0</v>
      </c>
      <c r="L2" s="16" t="s">
        <v>23</v>
      </c>
      <c r="M2" s="295" t="s">
        <v>24</v>
      </c>
      <c r="N2" s="16" t="s">
        <v>33</v>
      </c>
      <c r="O2" s="296" t="s">
        <v>25</v>
      </c>
      <c r="P2" s="297">
        <v>42.0</v>
      </c>
      <c r="X2" s="16">
        <f t="shared" ref="X2:X60" si="2">124-VALUE(LEFT(F2,2))</f>
        <v>29</v>
      </c>
    </row>
    <row r="3" ht="16.5" customHeight="1">
      <c r="A3" s="298"/>
      <c r="B3" s="114" t="s">
        <v>400</v>
      </c>
      <c r="C3" s="117" t="s">
        <v>98</v>
      </c>
      <c r="D3" s="116" t="s">
        <v>401</v>
      </c>
      <c r="E3" s="116" t="s">
        <v>37</v>
      </c>
      <c r="F3" s="116" t="s">
        <v>402</v>
      </c>
      <c r="G3" s="116">
        <f t="shared" si="1"/>
        <v>25</v>
      </c>
      <c r="H3" s="116" t="s">
        <v>189</v>
      </c>
      <c r="I3" s="116" t="s">
        <v>89</v>
      </c>
      <c r="J3" s="116" t="s">
        <v>403</v>
      </c>
      <c r="K3" s="116">
        <v>22.0</v>
      </c>
      <c r="L3" s="116" t="s">
        <v>23</v>
      </c>
      <c r="M3" s="117" t="s">
        <v>24</v>
      </c>
      <c r="N3" s="116" t="s">
        <v>33</v>
      </c>
      <c r="O3" s="299" t="s">
        <v>25</v>
      </c>
      <c r="P3" s="300"/>
      <c r="X3" s="16">
        <f t="shared" si="2"/>
        <v>25</v>
      </c>
    </row>
    <row r="4" ht="16.5" customHeight="1">
      <c r="A4" s="298"/>
      <c r="B4" s="114" t="s">
        <v>67</v>
      </c>
      <c r="C4" s="117" t="s">
        <v>68</v>
      </c>
      <c r="D4" s="116" t="s">
        <v>69</v>
      </c>
      <c r="E4" s="116" t="s">
        <v>19</v>
      </c>
      <c r="F4" s="116" t="s">
        <v>70</v>
      </c>
      <c r="G4" s="116">
        <f t="shared" si="1"/>
        <v>28</v>
      </c>
      <c r="H4" s="116" t="s">
        <v>71</v>
      </c>
      <c r="I4" s="116" t="s">
        <v>57</v>
      </c>
      <c r="J4" s="116" t="s">
        <v>72</v>
      </c>
      <c r="K4" s="116">
        <v>17.0</v>
      </c>
      <c r="L4" s="116" t="s">
        <v>23</v>
      </c>
      <c r="M4" s="117" t="s">
        <v>23</v>
      </c>
      <c r="N4" s="116" t="s">
        <v>73</v>
      </c>
      <c r="O4" s="299" t="s">
        <v>25</v>
      </c>
      <c r="P4" s="300"/>
      <c r="X4" s="16">
        <f t="shared" si="2"/>
        <v>28</v>
      </c>
    </row>
    <row r="5" ht="16.5" customHeight="1">
      <c r="A5" s="298"/>
      <c r="B5" s="114" t="s">
        <v>85</v>
      </c>
      <c r="C5" s="117" t="s">
        <v>17</v>
      </c>
      <c r="D5" s="116" t="s">
        <v>86</v>
      </c>
      <c r="E5" s="116" t="s">
        <v>19</v>
      </c>
      <c r="F5" s="116" t="s">
        <v>87</v>
      </c>
      <c r="G5" s="116">
        <f t="shared" ref="G5:G6" si="3">IF(X6&gt;100,X6-100,X6)</f>
        <v>24</v>
      </c>
      <c r="H5" s="116" t="s">
        <v>88</v>
      </c>
      <c r="I5" s="116" t="s">
        <v>89</v>
      </c>
      <c r="J5" s="116" t="s">
        <v>90</v>
      </c>
      <c r="K5" s="116">
        <v>16.0</v>
      </c>
      <c r="L5" s="116" t="s">
        <v>202</v>
      </c>
      <c r="M5" s="117" t="s">
        <v>42</v>
      </c>
      <c r="N5" s="116" t="s">
        <v>91</v>
      </c>
      <c r="O5" s="299" t="s">
        <v>25</v>
      </c>
      <c r="P5" s="300"/>
      <c r="X5" s="301">
        <f t="shared" si="2"/>
        <v>27</v>
      </c>
    </row>
    <row r="6" ht="16.5" customHeight="1">
      <c r="A6" s="302"/>
      <c r="B6" s="114" t="s">
        <v>97</v>
      </c>
      <c r="C6" s="117" t="s">
        <v>98</v>
      </c>
      <c r="D6" s="116" t="s">
        <v>99</v>
      </c>
      <c r="E6" s="116" t="s">
        <v>19</v>
      </c>
      <c r="F6" s="116" t="s">
        <v>100</v>
      </c>
      <c r="G6" s="116">
        <f t="shared" si="3"/>
        <v>27</v>
      </c>
      <c r="H6" s="116" t="s">
        <v>101</v>
      </c>
      <c r="I6" s="116" t="s">
        <v>31</v>
      </c>
      <c r="J6" s="116" t="s">
        <v>102</v>
      </c>
      <c r="K6" s="116">
        <v>19.0</v>
      </c>
      <c r="L6" s="116" t="s">
        <v>41</v>
      </c>
      <c r="M6" s="117" t="s">
        <v>42</v>
      </c>
      <c r="N6" s="116" t="s">
        <v>73</v>
      </c>
      <c r="O6" s="299" t="s">
        <v>25</v>
      </c>
      <c r="P6" s="300"/>
      <c r="X6" s="16">
        <f t="shared" si="2"/>
        <v>124</v>
      </c>
    </row>
    <row r="7" ht="16.5" customHeight="1">
      <c r="A7" s="303" t="s">
        <v>66</v>
      </c>
      <c r="B7" s="304" t="s">
        <v>241</v>
      </c>
      <c r="C7" s="305" t="s">
        <v>68</v>
      </c>
      <c r="D7" s="306" t="s">
        <v>242</v>
      </c>
      <c r="E7" s="306" t="s">
        <v>37</v>
      </c>
      <c r="F7" s="306" t="s">
        <v>243</v>
      </c>
      <c r="G7" s="306">
        <f t="shared" ref="G7:G60" si="4">IF(X7&gt;100,X7-100,X7)</f>
        <v>27</v>
      </c>
      <c r="H7" s="306" t="s">
        <v>39</v>
      </c>
      <c r="I7" s="306"/>
      <c r="J7" s="306" t="s">
        <v>245</v>
      </c>
      <c r="K7" s="306"/>
      <c r="L7" s="306" t="s">
        <v>23</v>
      </c>
      <c r="M7" s="305" t="s">
        <v>48</v>
      </c>
      <c r="N7" s="306"/>
      <c r="O7" s="307" t="s">
        <v>25</v>
      </c>
      <c r="P7" s="300"/>
      <c r="X7" s="16">
        <f t="shared" si="2"/>
        <v>27</v>
      </c>
    </row>
    <row r="8" ht="16.5" customHeight="1">
      <c r="A8" s="308"/>
      <c r="B8" s="237" t="s">
        <v>74</v>
      </c>
      <c r="C8" s="148" t="s">
        <v>75</v>
      </c>
      <c r="D8" s="149" t="s">
        <v>76</v>
      </c>
      <c r="E8" s="149" t="s">
        <v>19</v>
      </c>
      <c r="F8" s="149" t="s">
        <v>77</v>
      </c>
      <c r="G8" s="149">
        <f t="shared" si="4"/>
        <v>28</v>
      </c>
      <c r="H8" s="149" t="s">
        <v>78</v>
      </c>
      <c r="I8" s="149" t="s">
        <v>79</v>
      </c>
      <c r="J8" s="149"/>
      <c r="K8" s="149"/>
      <c r="L8" s="149" t="s">
        <v>23</v>
      </c>
      <c r="M8" s="148" t="s">
        <v>48</v>
      </c>
      <c r="N8" s="149"/>
      <c r="O8" s="309" t="s">
        <v>25</v>
      </c>
      <c r="P8" s="300"/>
      <c r="X8" s="16">
        <f t="shared" si="2"/>
        <v>28</v>
      </c>
    </row>
    <row r="9" ht="16.5" customHeight="1">
      <c r="A9" s="308"/>
      <c r="B9" s="235" t="s">
        <v>394</v>
      </c>
      <c r="C9" s="144" t="s">
        <v>27</v>
      </c>
      <c r="D9" s="145" t="s">
        <v>395</v>
      </c>
      <c r="E9" s="145" t="s">
        <v>19</v>
      </c>
      <c r="F9" s="310" t="s">
        <v>396</v>
      </c>
      <c r="G9" s="149">
        <f t="shared" si="4"/>
        <v>28</v>
      </c>
      <c r="H9" s="145" t="s">
        <v>397</v>
      </c>
      <c r="I9" s="145" t="s">
        <v>398</v>
      </c>
      <c r="J9" s="145" t="s">
        <v>399</v>
      </c>
      <c r="K9" s="145">
        <v>22.0</v>
      </c>
      <c r="L9" s="145" t="s">
        <v>41</v>
      </c>
      <c r="M9" s="144" t="s">
        <v>42</v>
      </c>
      <c r="N9" s="145"/>
      <c r="O9" s="311" t="s">
        <v>25</v>
      </c>
      <c r="P9" s="300"/>
      <c r="X9" s="16">
        <f t="shared" si="2"/>
        <v>28</v>
      </c>
    </row>
    <row r="10" ht="16.5" customHeight="1">
      <c r="A10" s="308"/>
      <c r="B10" s="237" t="s">
        <v>246</v>
      </c>
      <c r="C10" s="148" t="s">
        <v>247</v>
      </c>
      <c r="D10" s="149" t="s">
        <v>248</v>
      </c>
      <c r="E10" s="149" t="s">
        <v>19</v>
      </c>
      <c r="F10" s="149" t="s">
        <v>249</v>
      </c>
      <c r="G10" s="149">
        <f t="shared" si="4"/>
        <v>26</v>
      </c>
      <c r="H10" s="149" t="s">
        <v>39</v>
      </c>
      <c r="I10" s="149" t="s">
        <v>112</v>
      </c>
      <c r="J10" s="149"/>
      <c r="K10" s="149"/>
      <c r="L10" s="149" t="s">
        <v>41</v>
      </c>
      <c r="M10" s="148" t="s">
        <v>42</v>
      </c>
      <c r="N10" s="149"/>
      <c r="O10" s="309" t="s">
        <v>25</v>
      </c>
      <c r="P10" s="300"/>
      <c r="X10" s="16">
        <f t="shared" si="2"/>
        <v>26</v>
      </c>
    </row>
    <row r="11" ht="16.5" customHeight="1">
      <c r="A11" s="308"/>
      <c r="B11" s="237" t="s">
        <v>80</v>
      </c>
      <c r="C11" s="148" t="s">
        <v>17</v>
      </c>
      <c r="D11" s="149" t="s">
        <v>81</v>
      </c>
      <c r="E11" s="149" t="s">
        <v>19</v>
      </c>
      <c r="F11" s="149" t="s">
        <v>82</v>
      </c>
      <c r="G11" s="149">
        <f t="shared" si="4"/>
        <v>26</v>
      </c>
      <c r="H11" s="149" t="s">
        <v>30</v>
      </c>
      <c r="I11" s="149" t="s">
        <v>83</v>
      </c>
      <c r="J11" s="149"/>
      <c r="K11" s="149"/>
      <c r="L11" s="149" t="s">
        <v>23</v>
      </c>
      <c r="M11" s="148" t="s">
        <v>84</v>
      </c>
      <c r="N11" s="149"/>
      <c r="O11" s="309" t="s">
        <v>25</v>
      </c>
      <c r="P11" s="300"/>
      <c r="X11" s="16">
        <f t="shared" si="2"/>
        <v>26</v>
      </c>
    </row>
    <row r="12" ht="16.5" customHeight="1">
      <c r="A12" s="308"/>
      <c r="B12" s="237" t="s">
        <v>16</v>
      </c>
      <c r="C12" s="148" t="s">
        <v>17</v>
      </c>
      <c r="D12" s="149" t="s">
        <v>18</v>
      </c>
      <c r="E12" s="149" t="s">
        <v>19</v>
      </c>
      <c r="F12" s="149" t="s">
        <v>20</v>
      </c>
      <c r="G12" s="149">
        <f t="shared" si="4"/>
        <v>25</v>
      </c>
      <c r="H12" s="149" t="s">
        <v>21</v>
      </c>
      <c r="I12" s="149" t="s">
        <v>22</v>
      </c>
      <c r="J12" s="149"/>
      <c r="K12" s="149"/>
      <c r="L12" s="149" t="s">
        <v>23</v>
      </c>
      <c r="M12" s="148" t="s">
        <v>24</v>
      </c>
      <c r="N12" s="149"/>
      <c r="O12" s="309" t="s">
        <v>25</v>
      </c>
      <c r="P12" s="300"/>
      <c r="X12" s="16">
        <f t="shared" si="2"/>
        <v>25</v>
      </c>
    </row>
    <row r="13" ht="16.5" customHeight="1">
      <c r="A13" s="308"/>
      <c r="B13" s="237" t="s">
        <v>326</v>
      </c>
      <c r="C13" s="148" t="s">
        <v>17</v>
      </c>
      <c r="D13" s="149" t="s">
        <v>327</v>
      </c>
      <c r="E13" s="149" t="s">
        <v>37</v>
      </c>
      <c r="F13" s="149" t="s">
        <v>328</v>
      </c>
      <c r="G13" s="149">
        <f t="shared" si="4"/>
        <v>27</v>
      </c>
      <c r="H13" s="149" t="s">
        <v>329</v>
      </c>
      <c r="I13" s="149"/>
      <c r="J13" s="149"/>
      <c r="K13" s="149"/>
      <c r="L13" s="149"/>
      <c r="M13" s="148"/>
      <c r="N13" s="149"/>
      <c r="O13" s="309" t="s">
        <v>25</v>
      </c>
      <c r="P13" s="300"/>
      <c r="X13" s="16">
        <f t="shared" si="2"/>
        <v>27</v>
      </c>
    </row>
    <row r="14" ht="16.5" customHeight="1">
      <c r="A14" s="308"/>
      <c r="B14" s="237" t="s">
        <v>92</v>
      </c>
      <c r="C14" s="148" t="s">
        <v>17</v>
      </c>
      <c r="D14" s="149" t="s">
        <v>93</v>
      </c>
      <c r="E14" s="149" t="s">
        <v>37</v>
      </c>
      <c r="F14" s="149" t="s">
        <v>94</v>
      </c>
      <c r="G14" s="149">
        <f t="shared" si="4"/>
        <v>27</v>
      </c>
      <c r="H14" s="149" t="s">
        <v>78</v>
      </c>
      <c r="I14" s="149" t="s">
        <v>95</v>
      </c>
      <c r="J14" s="149" t="s">
        <v>96</v>
      </c>
      <c r="K14" s="149">
        <v>16.0</v>
      </c>
      <c r="L14" s="149" t="s">
        <v>23</v>
      </c>
      <c r="M14" s="148" t="s">
        <v>48</v>
      </c>
      <c r="N14" s="149" t="s">
        <v>73</v>
      </c>
      <c r="O14" s="309" t="s">
        <v>25</v>
      </c>
      <c r="P14" s="300"/>
      <c r="X14" s="16">
        <f t="shared" si="2"/>
        <v>27</v>
      </c>
    </row>
    <row r="15" ht="16.5" customHeight="1">
      <c r="A15" s="308"/>
      <c r="B15" s="235" t="s">
        <v>330</v>
      </c>
      <c r="C15" s="144" t="s">
        <v>98</v>
      </c>
      <c r="D15" s="145" t="s">
        <v>331</v>
      </c>
      <c r="E15" s="145" t="s">
        <v>19</v>
      </c>
      <c r="F15" s="145" t="s">
        <v>332</v>
      </c>
      <c r="G15" s="149">
        <f t="shared" si="4"/>
        <v>25</v>
      </c>
      <c r="H15" s="145" t="s">
        <v>137</v>
      </c>
      <c r="I15" s="145" t="s">
        <v>190</v>
      </c>
      <c r="J15" s="145" t="s">
        <v>333</v>
      </c>
      <c r="K15" s="145">
        <v>18.0</v>
      </c>
      <c r="L15" s="145" t="s">
        <v>41</v>
      </c>
      <c r="M15" s="144" t="s">
        <v>42</v>
      </c>
      <c r="N15" s="145" t="s">
        <v>198</v>
      </c>
      <c r="O15" s="311" t="s">
        <v>25</v>
      </c>
      <c r="P15" s="300"/>
      <c r="X15" s="16">
        <f t="shared" si="2"/>
        <v>25</v>
      </c>
    </row>
    <row r="16" ht="16.5" customHeight="1">
      <c r="A16" s="308"/>
      <c r="B16" s="237" t="s">
        <v>404</v>
      </c>
      <c r="C16" s="148" t="s">
        <v>98</v>
      </c>
      <c r="D16" s="149" t="s">
        <v>405</v>
      </c>
      <c r="E16" s="149" t="s">
        <v>37</v>
      </c>
      <c r="F16" s="149" t="s">
        <v>406</v>
      </c>
      <c r="G16" s="149">
        <f t="shared" si="4"/>
        <v>24</v>
      </c>
      <c r="H16" s="149" t="s">
        <v>196</v>
      </c>
      <c r="I16" s="149" t="s">
        <v>156</v>
      </c>
      <c r="J16" s="149"/>
      <c r="K16" s="149"/>
      <c r="L16" s="149"/>
      <c r="M16" s="148"/>
      <c r="N16" s="149"/>
      <c r="O16" s="309" t="s">
        <v>25</v>
      </c>
      <c r="P16" s="300"/>
      <c r="X16" s="16">
        <f t="shared" si="2"/>
        <v>124</v>
      </c>
    </row>
    <row r="17" ht="16.5" customHeight="1">
      <c r="A17" s="308"/>
      <c r="B17" s="239" t="s">
        <v>429</v>
      </c>
      <c r="C17" s="158" t="s">
        <v>109</v>
      </c>
      <c r="D17" s="159" t="s">
        <v>430</v>
      </c>
      <c r="E17" s="159" t="s">
        <v>19</v>
      </c>
      <c r="F17" s="159" t="s">
        <v>431</v>
      </c>
      <c r="G17" s="149">
        <f t="shared" si="4"/>
        <v>28</v>
      </c>
      <c r="H17" s="159" t="s">
        <v>196</v>
      </c>
      <c r="I17" s="159" t="s">
        <v>156</v>
      </c>
      <c r="J17" s="159" t="s">
        <v>284</v>
      </c>
      <c r="K17" s="159"/>
      <c r="L17" s="159" t="s">
        <v>41</v>
      </c>
      <c r="M17" s="158" t="s">
        <v>42</v>
      </c>
      <c r="N17" s="159" t="s">
        <v>272</v>
      </c>
      <c r="O17" s="309" t="s">
        <v>25</v>
      </c>
      <c r="P17" s="300"/>
      <c r="X17" s="16">
        <f t="shared" si="2"/>
        <v>28</v>
      </c>
    </row>
    <row r="18" ht="16.5" customHeight="1">
      <c r="A18" s="308"/>
      <c r="B18" s="241" t="s">
        <v>254</v>
      </c>
      <c r="C18" s="162" t="s">
        <v>109</v>
      </c>
      <c r="D18" s="163" t="s">
        <v>255</v>
      </c>
      <c r="E18" s="163" t="s">
        <v>19</v>
      </c>
      <c r="F18" s="163" t="s">
        <v>256</v>
      </c>
      <c r="G18" s="149">
        <f t="shared" si="4"/>
        <v>27</v>
      </c>
      <c r="H18" s="163" t="s">
        <v>257</v>
      </c>
      <c r="I18" s="163" t="s">
        <v>258</v>
      </c>
      <c r="J18" s="163"/>
      <c r="K18" s="163"/>
      <c r="L18" s="163" t="s">
        <v>23</v>
      </c>
      <c r="M18" s="162" t="s">
        <v>259</v>
      </c>
      <c r="N18" s="163"/>
      <c r="O18" s="309" t="s">
        <v>25</v>
      </c>
      <c r="P18" s="300"/>
      <c r="X18" s="16">
        <f t="shared" si="2"/>
        <v>27</v>
      </c>
    </row>
    <row r="19" ht="16.5" customHeight="1">
      <c r="A19" s="308"/>
      <c r="B19" s="242" t="s">
        <v>108</v>
      </c>
      <c r="C19" s="166" t="s">
        <v>109</v>
      </c>
      <c r="D19" s="167" t="s">
        <v>110</v>
      </c>
      <c r="E19" s="167" t="s">
        <v>19</v>
      </c>
      <c r="F19" s="167" t="s">
        <v>111</v>
      </c>
      <c r="G19" s="149">
        <f t="shared" si="4"/>
        <v>25</v>
      </c>
      <c r="H19" s="167" t="s">
        <v>71</v>
      </c>
      <c r="I19" s="167" t="s">
        <v>112</v>
      </c>
      <c r="J19" s="167" t="s">
        <v>113</v>
      </c>
      <c r="K19" s="167"/>
      <c r="L19" s="167" t="s">
        <v>41</v>
      </c>
      <c r="M19" s="166" t="s">
        <v>42</v>
      </c>
      <c r="N19" s="167"/>
      <c r="O19" s="309" t="s">
        <v>25</v>
      </c>
      <c r="P19" s="300"/>
      <c r="X19" s="16">
        <f t="shared" si="2"/>
        <v>25</v>
      </c>
    </row>
    <row r="20" ht="16.5" customHeight="1">
      <c r="A20" s="308"/>
      <c r="B20" s="242" t="s">
        <v>114</v>
      </c>
      <c r="C20" s="166" t="s">
        <v>109</v>
      </c>
      <c r="D20" s="167" t="s">
        <v>115</v>
      </c>
      <c r="E20" s="167" t="s">
        <v>37</v>
      </c>
      <c r="F20" s="167" t="s">
        <v>116</v>
      </c>
      <c r="G20" s="149">
        <f t="shared" si="4"/>
        <v>23</v>
      </c>
      <c r="H20" s="167" t="s">
        <v>117</v>
      </c>
      <c r="I20" s="167" t="s">
        <v>118</v>
      </c>
      <c r="J20" s="167" t="s">
        <v>119</v>
      </c>
      <c r="K20" s="167"/>
      <c r="L20" s="167" t="s">
        <v>41</v>
      </c>
      <c r="M20" s="166" t="s">
        <v>42</v>
      </c>
      <c r="N20" s="167" t="s">
        <v>65</v>
      </c>
      <c r="O20" s="309" t="s">
        <v>25</v>
      </c>
      <c r="P20" s="300"/>
      <c r="X20" s="16">
        <f t="shared" si="2"/>
        <v>123</v>
      </c>
    </row>
    <row r="21" ht="16.5" customHeight="1">
      <c r="A21" s="308"/>
      <c r="B21" s="242" t="s">
        <v>435</v>
      </c>
      <c r="C21" s="166" t="s">
        <v>109</v>
      </c>
      <c r="D21" s="167" t="s">
        <v>436</v>
      </c>
      <c r="E21" s="167" t="s">
        <v>37</v>
      </c>
      <c r="F21" s="167" t="s">
        <v>437</v>
      </c>
      <c r="G21" s="149">
        <f t="shared" si="4"/>
        <v>26</v>
      </c>
      <c r="H21" s="167" t="s">
        <v>348</v>
      </c>
      <c r="I21" s="167" t="s">
        <v>138</v>
      </c>
      <c r="J21" s="167" t="s">
        <v>207</v>
      </c>
      <c r="K21" s="167"/>
      <c r="L21" s="167" t="s">
        <v>41</v>
      </c>
      <c r="M21" s="166" t="s">
        <v>42</v>
      </c>
      <c r="N21" s="167" t="s">
        <v>73</v>
      </c>
      <c r="O21" s="309" t="s">
        <v>25</v>
      </c>
      <c r="P21" s="300"/>
      <c r="X21" s="16">
        <f t="shared" si="2"/>
        <v>26</v>
      </c>
    </row>
    <row r="22" ht="16.5" customHeight="1">
      <c r="A22" s="308"/>
      <c r="B22" s="249" t="s">
        <v>407</v>
      </c>
      <c r="C22" s="170" t="s">
        <v>109</v>
      </c>
      <c r="D22" s="171" t="s">
        <v>408</v>
      </c>
      <c r="E22" s="171" t="s">
        <v>19</v>
      </c>
      <c r="F22" s="171" t="s">
        <v>409</v>
      </c>
      <c r="G22" s="171">
        <f t="shared" si="4"/>
        <v>26</v>
      </c>
      <c r="H22" s="171" t="s">
        <v>78</v>
      </c>
      <c r="I22" s="171" t="s">
        <v>258</v>
      </c>
      <c r="J22" s="171" t="s">
        <v>410</v>
      </c>
      <c r="K22" s="171"/>
      <c r="L22" s="171" t="s">
        <v>41</v>
      </c>
      <c r="M22" s="170" t="s">
        <v>42</v>
      </c>
      <c r="N22" s="171"/>
      <c r="O22" s="312" t="s">
        <v>25</v>
      </c>
      <c r="P22" s="300"/>
      <c r="X22" s="16">
        <f t="shared" si="2"/>
        <v>26</v>
      </c>
    </row>
    <row r="23" ht="16.5" customHeight="1">
      <c r="A23" s="308"/>
      <c r="B23" s="313" t="s">
        <v>342</v>
      </c>
      <c r="C23" s="314" t="s">
        <v>121</v>
      </c>
      <c r="D23" s="315" t="s">
        <v>343</v>
      </c>
      <c r="E23" s="315" t="s">
        <v>37</v>
      </c>
      <c r="F23" s="315" t="s">
        <v>344</v>
      </c>
      <c r="G23" s="315">
        <f t="shared" si="4"/>
        <v>27</v>
      </c>
      <c r="H23" s="315" t="s">
        <v>117</v>
      </c>
      <c r="I23" s="315" t="s">
        <v>52</v>
      </c>
      <c r="J23" s="315" t="s">
        <v>90</v>
      </c>
      <c r="K23" s="315"/>
      <c r="L23" s="315" t="s">
        <v>41</v>
      </c>
      <c r="M23" s="314" t="s">
        <v>42</v>
      </c>
      <c r="N23" s="315"/>
      <c r="O23" s="316" t="s">
        <v>25</v>
      </c>
      <c r="P23" s="300"/>
      <c r="R23" s="317" t="s">
        <v>496</v>
      </c>
      <c r="S23" s="15" t="s">
        <v>497</v>
      </c>
      <c r="X23" s="16">
        <f t="shared" si="2"/>
        <v>27</v>
      </c>
    </row>
    <row r="24" ht="16.5" customHeight="1">
      <c r="A24" s="308"/>
      <c r="B24" s="251" t="s">
        <v>443</v>
      </c>
      <c r="C24" s="252" t="s">
        <v>121</v>
      </c>
      <c r="D24" s="253" t="s">
        <v>444</v>
      </c>
      <c r="E24" s="253" t="s">
        <v>37</v>
      </c>
      <c r="F24" s="253" t="s">
        <v>445</v>
      </c>
      <c r="G24" s="253">
        <f t="shared" si="4"/>
        <v>28</v>
      </c>
      <c r="H24" s="253" t="s">
        <v>441</v>
      </c>
      <c r="I24" s="253" t="s">
        <v>89</v>
      </c>
      <c r="J24" s="253"/>
      <c r="K24" s="253"/>
      <c r="L24" s="253" t="s">
        <v>41</v>
      </c>
      <c r="M24" s="252" t="s">
        <v>42</v>
      </c>
      <c r="N24" s="253" t="s">
        <v>446</v>
      </c>
      <c r="O24" s="254" t="s">
        <v>25</v>
      </c>
      <c r="P24" s="300"/>
      <c r="R24" s="317" t="s">
        <v>498</v>
      </c>
      <c r="S24" s="15" t="s">
        <v>499</v>
      </c>
      <c r="X24" s="16">
        <f t="shared" si="2"/>
        <v>28</v>
      </c>
    </row>
    <row r="25" ht="16.5" customHeight="1">
      <c r="A25" s="308"/>
      <c r="B25" s="251" t="s">
        <v>438</v>
      </c>
      <c r="C25" s="252" t="s">
        <v>121</v>
      </c>
      <c r="D25" s="253" t="s">
        <v>439</v>
      </c>
      <c r="E25" s="253" t="s">
        <v>37</v>
      </c>
      <c r="F25" s="253" t="s">
        <v>440</v>
      </c>
      <c r="G25" s="253">
        <f t="shared" si="4"/>
        <v>23</v>
      </c>
      <c r="H25" s="253" t="s">
        <v>441</v>
      </c>
      <c r="I25" s="253" t="s">
        <v>89</v>
      </c>
      <c r="J25" s="253"/>
      <c r="K25" s="253">
        <v>23.0</v>
      </c>
      <c r="L25" s="253" t="s">
        <v>41</v>
      </c>
      <c r="M25" s="252" t="s">
        <v>442</v>
      </c>
      <c r="N25" s="253" t="s">
        <v>107</v>
      </c>
      <c r="O25" s="254" t="s">
        <v>25</v>
      </c>
      <c r="P25" s="300"/>
      <c r="R25" s="317" t="s">
        <v>500</v>
      </c>
      <c r="X25" s="16">
        <f t="shared" si="2"/>
        <v>123</v>
      </c>
    </row>
    <row r="26" ht="16.5" customHeight="1">
      <c r="A26" s="308"/>
      <c r="B26" s="251" t="s">
        <v>345</v>
      </c>
      <c r="C26" s="252" t="s">
        <v>121</v>
      </c>
      <c r="D26" s="253" t="s">
        <v>346</v>
      </c>
      <c r="E26" s="253" t="s">
        <v>19</v>
      </c>
      <c r="F26" s="253" t="s">
        <v>347</v>
      </c>
      <c r="G26" s="253">
        <f t="shared" si="4"/>
        <v>27</v>
      </c>
      <c r="H26" s="253" t="s">
        <v>348</v>
      </c>
      <c r="I26" s="253" t="s">
        <v>89</v>
      </c>
      <c r="J26" s="253"/>
      <c r="K26" s="253"/>
      <c r="L26" s="253" t="s">
        <v>23</v>
      </c>
      <c r="M26" s="252" t="s">
        <v>24</v>
      </c>
      <c r="N26" s="253"/>
      <c r="O26" s="254" t="s">
        <v>127</v>
      </c>
      <c r="P26" s="300"/>
      <c r="R26" s="317" t="s">
        <v>501</v>
      </c>
      <c r="S26" s="15" t="s">
        <v>499</v>
      </c>
      <c r="X26" s="16">
        <f t="shared" si="2"/>
        <v>27</v>
      </c>
    </row>
    <row r="27" ht="16.5" customHeight="1">
      <c r="A27" s="308"/>
      <c r="B27" s="251" t="s">
        <v>260</v>
      </c>
      <c r="C27" s="252" t="s">
        <v>121</v>
      </c>
      <c r="D27" s="253" t="s">
        <v>261</v>
      </c>
      <c r="E27" s="253" t="s">
        <v>37</v>
      </c>
      <c r="F27" s="253" t="s">
        <v>262</v>
      </c>
      <c r="G27" s="253">
        <f t="shared" si="4"/>
        <v>26</v>
      </c>
      <c r="H27" s="253" t="s">
        <v>263</v>
      </c>
      <c r="I27" s="253" t="s">
        <v>264</v>
      </c>
      <c r="J27" s="253" t="s">
        <v>265</v>
      </c>
      <c r="K27" s="253"/>
      <c r="L27" s="253" t="s">
        <v>41</v>
      </c>
      <c r="M27" s="252" t="s">
        <v>42</v>
      </c>
      <c r="N27" s="253"/>
      <c r="O27" s="254" t="s">
        <v>127</v>
      </c>
      <c r="P27" s="300"/>
      <c r="R27" s="317" t="s">
        <v>502</v>
      </c>
      <c r="S27" s="15" t="s">
        <v>503</v>
      </c>
      <c r="X27" s="16">
        <f t="shared" si="2"/>
        <v>26</v>
      </c>
    </row>
    <row r="28" ht="16.5" customHeight="1">
      <c r="A28" s="308"/>
      <c r="B28" s="251" t="s">
        <v>349</v>
      </c>
      <c r="C28" s="252" t="s">
        <v>121</v>
      </c>
      <c r="D28" s="253" t="s">
        <v>350</v>
      </c>
      <c r="E28" s="253" t="s">
        <v>37</v>
      </c>
      <c r="F28" s="253" t="s">
        <v>351</v>
      </c>
      <c r="G28" s="253">
        <f t="shared" si="4"/>
        <v>24</v>
      </c>
      <c r="H28" s="253" t="s">
        <v>71</v>
      </c>
      <c r="I28" s="253" t="s">
        <v>52</v>
      </c>
      <c r="J28" s="253" t="s">
        <v>352</v>
      </c>
      <c r="K28" s="253"/>
      <c r="L28" s="253" t="s">
        <v>41</v>
      </c>
      <c r="M28" s="252" t="s">
        <v>42</v>
      </c>
      <c r="N28" s="253"/>
      <c r="O28" s="254" t="s">
        <v>25</v>
      </c>
      <c r="P28" s="300"/>
      <c r="R28" s="317" t="s">
        <v>504</v>
      </c>
      <c r="S28" s="15" t="s">
        <v>505</v>
      </c>
      <c r="X28" s="16">
        <f t="shared" si="2"/>
        <v>124</v>
      </c>
    </row>
    <row r="29" ht="16.5" customHeight="1">
      <c r="A29" s="308"/>
      <c r="B29" s="251" t="s">
        <v>411</v>
      </c>
      <c r="C29" s="252" t="s">
        <v>121</v>
      </c>
      <c r="D29" s="253" t="s">
        <v>412</v>
      </c>
      <c r="E29" s="253" t="s">
        <v>37</v>
      </c>
      <c r="F29" s="253" t="s">
        <v>413</v>
      </c>
      <c r="G29" s="253">
        <f t="shared" si="4"/>
        <v>25</v>
      </c>
      <c r="H29" s="253" t="s">
        <v>414</v>
      </c>
      <c r="I29" s="253" t="s">
        <v>112</v>
      </c>
      <c r="J29" s="253" t="s">
        <v>415</v>
      </c>
      <c r="K29" s="253"/>
      <c r="L29" s="253" t="s">
        <v>23</v>
      </c>
      <c r="M29" s="252" t="s">
        <v>416</v>
      </c>
      <c r="N29" s="253"/>
      <c r="O29" s="254" t="s">
        <v>25</v>
      </c>
      <c r="P29" s="300"/>
      <c r="R29" s="317" t="s">
        <v>506</v>
      </c>
      <c r="S29" s="15" t="s">
        <v>507</v>
      </c>
      <c r="X29" s="16">
        <f t="shared" si="2"/>
        <v>25</v>
      </c>
    </row>
    <row r="30" ht="16.5" customHeight="1">
      <c r="A30" s="308"/>
      <c r="B30" s="251" t="s">
        <v>447</v>
      </c>
      <c r="C30" s="252" t="s">
        <v>121</v>
      </c>
      <c r="D30" s="253" t="s">
        <v>448</v>
      </c>
      <c r="E30" s="253" t="s">
        <v>37</v>
      </c>
      <c r="F30" s="253" t="s">
        <v>252</v>
      </c>
      <c r="G30" s="253">
        <f t="shared" si="4"/>
        <v>24</v>
      </c>
      <c r="H30" s="253" t="s">
        <v>449</v>
      </c>
      <c r="I30" s="253" t="s">
        <v>264</v>
      </c>
      <c r="J30" s="253" t="s">
        <v>191</v>
      </c>
      <c r="K30" s="253"/>
      <c r="L30" s="253" t="s">
        <v>41</v>
      </c>
      <c r="M30" s="252" t="s">
        <v>42</v>
      </c>
      <c r="N30" s="253" t="s">
        <v>126</v>
      </c>
      <c r="O30" s="254" t="s">
        <v>127</v>
      </c>
      <c r="P30" s="300"/>
      <c r="R30" s="318" t="s">
        <v>508</v>
      </c>
      <c r="S30" s="15" t="s">
        <v>509</v>
      </c>
      <c r="X30" s="16">
        <f t="shared" si="2"/>
        <v>124</v>
      </c>
    </row>
    <row r="31" ht="16.5" customHeight="1">
      <c r="A31" s="308"/>
      <c r="B31" s="251" t="s">
        <v>417</v>
      </c>
      <c r="C31" s="252" t="s">
        <v>121</v>
      </c>
      <c r="D31" s="253" t="s">
        <v>418</v>
      </c>
      <c r="E31" s="253" t="s">
        <v>19</v>
      </c>
      <c r="F31" s="253" t="s">
        <v>320</v>
      </c>
      <c r="G31" s="253">
        <f t="shared" si="4"/>
        <v>26</v>
      </c>
      <c r="H31" s="253" t="s">
        <v>419</v>
      </c>
      <c r="I31" s="253" t="s">
        <v>89</v>
      </c>
      <c r="J31" s="253"/>
      <c r="K31" s="253"/>
      <c r="L31" s="253" t="s">
        <v>23</v>
      </c>
      <c r="M31" s="252" t="s">
        <v>48</v>
      </c>
      <c r="N31" s="253"/>
      <c r="O31" s="254" t="s">
        <v>25</v>
      </c>
      <c r="P31" s="300"/>
      <c r="R31" s="318" t="s">
        <v>510</v>
      </c>
      <c r="S31" s="15" t="s">
        <v>511</v>
      </c>
      <c r="X31" s="16">
        <f t="shared" si="2"/>
        <v>26</v>
      </c>
    </row>
    <row r="32" ht="16.5" customHeight="1">
      <c r="A32" s="308"/>
      <c r="B32" s="251" t="s">
        <v>450</v>
      </c>
      <c r="C32" s="252" t="s">
        <v>121</v>
      </c>
      <c r="D32" s="253" t="s">
        <v>451</v>
      </c>
      <c r="E32" s="253" t="s">
        <v>37</v>
      </c>
      <c r="F32" s="253" t="s">
        <v>452</v>
      </c>
      <c r="G32" s="253">
        <f t="shared" si="4"/>
        <v>25</v>
      </c>
      <c r="H32" s="253" t="s">
        <v>453</v>
      </c>
      <c r="I32" s="253" t="s">
        <v>289</v>
      </c>
      <c r="J32" s="253"/>
      <c r="K32" s="253"/>
      <c r="L32" s="253" t="s">
        <v>41</v>
      </c>
      <c r="M32" s="252" t="s">
        <v>42</v>
      </c>
      <c r="N32" s="253" t="s">
        <v>59</v>
      </c>
      <c r="O32" s="254" t="s">
        <v>25</v>
      </c>
      <c r="P32" s="300"/>
      <c r="R32" s="318" t="s">
        <v>512</v>
      </c>
      <c r="S32" s="15" t="s">
        <v>513</v>
      </c>
      <c r="X32" s="16">
        <f t="shared" si="2"/>
        <v>25</v>
      </c>
    </row>
    <row r="33" ht="16.5" customHeight="1">
      <c r="A33" s="308"/>
      <c r="B33" s="251" t="s">
        <v>353</v>
      </c>
      <c r="C33" s="252" t="s">
        <v>121</v>
      </c>
      <c r="D33" s="253" t="s">
        <v>354</v>
      </c>
      <c r="E33" s="253" t="s">
        <v>37</v>
      </c>
      <c r="F33" s="253" t="s">
        <v>355</v>
      </c>
      <c r="G33" s="253">
        <f t="shared" si="4"/>
        <v>26</v>
      </c>
      <c r="H33" s="253" t="s">
        <v>196</v>
      </c>
      <c r="I33" s="253" t="s">
        <v>277</v>
      </c>
      <c r="J33" s="253" t="s">
        <v>356</v>
      </c>
      <c r="K33" s="253">
        <v>23.0</v>
      </c>
      <c r="L33" s="253" t="s">
        <v>41</v>
      </c>
      <c r="M33" s="252" t="s">
        <v>42</v>
      </c>
      <c r="N33" s="253"/>
      <c r="O33" s="254" t="s">
        <v>127</v>
      </c>
      <c r="P33" s="300"/>
      <c r="R33" s="317" t="s">
        <v>514</v>
      </c>
      <c r="S33" s="15" t="s">
        <v>515</v>
      </c>
      <c r="X33" s="16">
        <f t="shared" si="2"/>
        <v>26</v>
      </c>
    </row>
    <row r="34" ht="16.5" customHeight="1">
      <c r="A34" s="308"/>
      <c r="B34" s="251" t="s">
        <v>266</v>
      </c>
      <c r="C34" s="252" t="s">
        <v>121</v>
      </c>
      <c r="D34" s="253" t="s">
        <v>267</v>
      </c>
      <c r="E34" s="253" t="s">
        <v>19</v>
      </c>
      <c r="F34" s="253" t="s">
        <v>268</v>
      </c>
      <c r="G34" s="253">
        <f t="shared" si="4"/>
        <v>26</v>
      </c>
      <c r="H34" s="253" t="s">
        <v>269</v>
      </c>
      <c r="I34" s="253" t="s">
        <v>31</v>
      </c>
      <c r="J34" s="253" t="s">
        <v>270</v>
      </c>
      <c r="K34" s="253">
        <v>16.0</v>
      </c>
      <c r="L34" s="253" t="s">
        <v>208</v>
      </c>
      <c r="M34" s="252" t="s">
        <v>271</v>
      </c>
      <c r="N34" s="253" t="s">
        <v>272</v>
      </c>
      <c r="O34" s="254" t="s">
        <v>25</v>
      </c>
      <c r="P34" s="300"/>
      <c r="R34" s="317" t="s">
        <v>516</v>
      </c>
      <c r="S34" s="15" t="s">
        <v>517</v>
      </c>
      <c r="X34" s="16">
        <f t="shared" si="2"/>
        <v>26</v>
      </c>
    </row>
    <row r="35" ht="16.5" customHeight="1">
      <c r="A35" s="308"/>
      <c r="B35" s="251" t="s">
        <v>455</v>
      </c>
      <c r="C35" s="252" t="s">
        <v>121</v>
      </c>
      <c r="D35" s="253" t="s">
        <v>456</v>
      </c>
      <c r="E35" s="253" t="s">
        <v>37</v>
      </c>
      <c r="F35" s="253" t="s">
        <v>457</v>
      </c>
      <c r="G35" s="253">
        <f t="shared" si="4"/>
        <v>24</v>
      </c>
      <c r="H35" s="253" t="s">
        <v>458</v>
      </c>
      <c r="I35" s="253" t="s">
        <v>341</v>
      </c>
      <c r="J35" s="253"/>
      <c r="K35" s="253"/>
      <c r="L35" s="253" t="s">
        <v>41</v>
      </c>
      <c r="M35" s="252" t="s">
        <v>42</v>
      </c>
      <c r="N35" s="253"/>
      <c r="O35" s="254" t="s">
        <v>127</v>
      </c>
      <c r="P35" s="300"/>
      <c r="R35" s="317" t="s">
        <v>518</v>
      </c>
      <c r="X35" s="16">
        <f t="shared" si="2"/>
        <v>124</v>
      </c>
    </row>
    <row r="36" ht="16.5" customHeight="1">
      <c r="A36" s="308"/>
      <c r="B36" s="251" t="s">
        <v>357</v>
      </c>
      <c r="C36" s="252" t="s">
        <v>121</v>
      </c>
      <c r="D36" s="253" t="s">
        <v>358</v>
      </c>
      <c r="E36" s="253" t="s">
        <v>19</v>
      </c>
      <c r="F36" s="253" t="s">
        <v>359</v>
      </c>
      <c r="G36" s="253">
        <f t="shared" si="4"/>
        <v>27</v>
      </c>
      <c r="H36" s="253" t="s">
        <v>30</v>
      </c>
      <c r="I36" s="253" t="s">
        <v>31</v>
      </c>
      <c r="J36" s="253"/>
      <c r="K36" s="253"/>
      <c r="L36" s="253" t="s">
        <v>41</v>
      </c>
      <c r="M36" s="252" t="s">
        <v>42</v>
      </c>
      <c r="N36" s="253"/>
      <c r="O36" s="254" t="s">
        <v>25</v>
      </c>
      <c r="P36" s="300"/>
      <c r="R36" s="317" t="s">
        <v>519</v>
      </c>
      <c r="X36" s="16">
        <f t="shared" si="2"/>
        <v>27</v>
      </c>
    </row>
    <row r="37" ht="16.5" customHeight="1">
      <c r="A37" s="308"/>
      <c r="B37" s="251" t="s">
        <v>120</v>
      </c>
      <c r="C37" s="252" t="s">
        <v>121</v>
      </c>
      <c r="D37" s="253" t="s">
        <v>122</v>
      </c>
      <c r="E37" s="253" t="s">
        <v>37</v>
      </c>
      <c r="F37" s="253" t="s">
        <v>123</v>
      </c>
      <c r="G37" s="253">
        <f t="shared" si="4"/>
        <v>27</v>
      </c>
      <c r="H37" s="253" t="s">
        <v>124</v>
      </c>
      <c r="I37" s="253" t="s">
        <v>95</v>
      </c>
      <c r="J37" s="253"/>
      <c r="K37" s="253"/>
      <c r="L37" s="253" t="s">
        <v>23</v>
      </c>
      <c r="M37" s="252" t="s">
        <v>125</v>
      </c>
      <c r="N37" s="253" t="s">
        <v>126</v>
      </c>
      <c r="O37" s="254" t="s">
        <v>127</v>
      </c>
      <c r="P37" s="300"/>
      <c r="R37" s="317" t="s">
        <v>520</v>
      </c>
      <c r="S37" s="15" t="s">
        <v>521</v>
      </c>
      <c r="X37" s="16">
        <f t="shared" si="2"/>
        <v>27</v>
      </c>
    </row>
    <row r="38" ht="16.5" customHeight="1">
      <c r="A38" s="308"/>
      <c r="B38" s="251" t="s">
        <v>459</v>
      </c>
      <c r="C38" s="252" t="s">
        <v>121</v>
      </c>
      <c r="D38" s="253" t="s">
        <v>460</v>
      </c>
      <c r="E38" s="253" t="s">
        <v>37</v>
      </c>
      <c r="F38" s="253" t="s">
        <v>461</v>
      </c>
      <c r="G38" s="253">
        <f t="shared" si="4"/>
        <v>28</v>
      </c>
      <c r="H38" s="253" t="s">
        <v>142</v>
      </c>
      <c r="I38" s="253" t="s">
        <v>79</v>
      </c>
      <c r="J38" s="253" t="s">
        <v>462</v>
      </c>
      <c r="K38" s="253"/>
      <c r="L38" s="253" t="s">
        <v>23</v>
      </c>
      <c r="M38" s="252"/>
      <c r="N38" s="253"/>
      <c r="O38" s="254" t="s">
        <v>25</v>
      </c>
      <c r="P38" s="300"/>
      <c r="R38" s="317" t="s">
        <v>522</v>
      </c>
      <c r="S38" s="15" t="s">
        <v>523</v>
      </c>
      <c r="X38" s="16">
        <f t="shared" si="2"/>
        <v>28</v>
      </c>
    </row>
    <row r="39" ht="16.5" customHeight="1">
      <c r="A39" s="308"/>
      <c r="B39" s="251" t="s">
        <v>360</v>
      </c>
      <c r="C39" s="252" t="s">
        <v>121</v>
      </c>
      <c r="D39" s="253" t="s">
        <v>361</v>
      </c>
      <c r="E39" s="253" t="s">
        <v>37</v>
      </c>
      <c r="F39" s="253" t="s">
        <v>362</v>
      </c>
      <c r="G39" s="253">
        <f t="shared" si="4"/>
        <v>26</v>
      </c>
      <c r="H39" s="253" t="s">
        <v>363</v>
      </c>
      <c r="I39" s="253" t="s">
        <v>289</v>
      </c>
      <c r="J39" s="253" t="s">
        <v>364</v>
      </c>
      <c r="K39" s="253">
        <v>19.0</v>
      </c>
      <c r="L39" s="253" t="s">
        <v>41</v>
      </c>
      <c r="M39" s="252" t="s">
        <v>42</v>
      </c>
      <c r="N39" s="253"/>
      <c r="O39" s="254" t="s">
        <v>25</v>
      </c>
      <c r="P39" s="300"/>
      <c r="R39" s="317" t="s">
        <v>524</v>
      </c>
      <c r="S39" s="15" t="s">
        <v>525</v>
      </c>
      <c r="X39" s="16">
        <f t="shared" si="2"/>
        <v>26</v>
      </c>
    </row>
    <row r="40" ht="16.5" customHeight="1">
      <c r="A40" s="308"/>
      <c r="B40" s="251" t="s">
        <v>365</v>
      </c>
      <c r="C40" s="252" t="s">
        <v>121</v>
      </c>
      <c r="D40" s="253" t="s">
        <v>366</v>
      </c>
      <c r="E40" s="253" t="s">
        <v>37</v>
      </c>
      <c r="F40" s="253" t="s">
        <v>367</v>
      </c>
      <c r="G40" s="253">
        <f t="shared" si="4"/>
        <v>25</v>
      </c>
      <c r="H40" s="253" t="s">
        <v>117</v>
      </c>
      <c r="I40" s="253" t="s">
        <v>89</v>
      </c>
      <c r="J40" s="253" t="s">
        <v>90</v>
      </c>
      <c r="K40" s="253"/>
      <c r="L40" s="253" t="s">
        <v>41</v>
      </c>
      <c r="M40" s="252" t="s">
        <v>42</v>
      </c>
      <c r="N40" s="253"/>
      <c r="O40" s="254" t="s">
        <v>25</v>
      </c>
      <c r="P40" s="300"/>
      <c r="R40" s="317" t="s">
        <v>526</v>
      </c>
      <c r="S40" s="15" t="s">
        <v>527</v>
      </c>
      <c r="X40" s="16">
        <f t="shared" si="2"/>
        <v>25</v>
      </c>
    </row>
    <row r="41" ht="16.5" customHeight="1">
      <c r="A41" s="308"/>
      <c r="B41" s="251" t="s">
        <v>380</v>
      </c>
      <c r="C41" s="252" t="s">
        <v>121</v>
      </c>
      <c r="D41" s="253" t="s">
        <v>381</v>
      </c>
      <c r="E41" s="253" t="s">
        <v>37</v>
      </c>
      <c r="F41" s="253" t="s">
        <v>382</v>
      </c>
      <c r="G41" s="253">
        <f t="shared" si="4"/>
        <v>25</v>
      </c>
      <c r="H41" s="253" t="s">
        <v>39</v>
      </c>
      <c r="I41" s="253" t="s">
        <v>289</v>
      </c>
      <c r="J41" s="253" t="s">
        <v>383</v>
      </c>
      <c r="K41" s="253">
        <v>18.0</v>
      </c>
      <c r="L41" s="253" t="s">
        <v>41</v>
      </c>
      <c r="M41" s="252" t="s">
        <v>42</v>
      </c>
      <c r="N41" s="253"/>
      <c r="O41" s="254" t="s">
        <v>25</v>
      </c>
      <c r="P41" s="300"/>
      <c r="R41" s="318" t="s">
        <v>528</v>
      </c>
      <c r="S41" s="15" t="s">
        <v>529</v>
      </c>
      <c r="X41" s="16">
        <f t="shared" si="2"/>
        <v>25</v>
      </c>
    </row>
    <row r="42" ht="16.5" customHeight="1">
      <c r="A42" s="308"/>
      <c r="B42" s="251" t="s">
        <v>368</v>
      </c>
      <c r="C42" s="252" t="s">
        <v>121</v>
      </c>
      <c r="D42" s="253" t="s">
        <v>369</v>
      </c>
      <c r="E42" s="253" t="s">
        <v>37</v>
      </c>
      <c r="F42" s="253" t="s">
        <v>370</v>
      </c>
      <c r="G42" s="253">
        <f t="shared" si="4"/>
        <v>24</v>
      </c>
      <c r="H42" s="253" t="s">
        <v>217</v>
      </c>
      <c r="I42" s="253" t="s">
        <v>31</v>
      </c>
      <c r="J42" s="253" t="s">
        <v>371</v>
      </c>
      <c r="K42" s="253">
        <v>19.0</v>
      </c>
      <c r="L42" s="253" t="s">
        <v>41</v>
      </c>
      <c r="M42" s="252" t="s">
        <v>42</v>
      </c>
      <c r="N42" s="253" t="s">
        <v>372</v>
      </c>
      <c r="O42" s="254" t="s">
        <v>25</v>
      </c>
      <c r="P42" s="300"/>
      <c r="R42" s="317" t="s">
        <v>530</v>
      </c>
      <c r="S42" s="15" t="s">
        <v>530</v>
      </c>
      <c r="X42" s="16">
        <f t="shared" si="2"/>
        <v>124</v>
      </c>
    </row>
    <row r="43" ht="16.5" customHeight="1">
      <c r="A43" s="319"/>
      <c r="B43" s="251" t="s">
        <v>373</v>
      </c>
      <c r="C43" s="252" t="s">
        <v>121</v>
      </c>
      <c r="D43" s="253" t="s">
        <v>374</v>
      </c>
      <c r="E43" s="253" t="s">
        <v>19</v>
      </c>
      <c r="F43" s="253" t="s">
        <v>375</v>
      </c>
      <c r="G43" s="253">
        <f t="shared" si="4"/>
        <v>27</v>
      </c>
      <c r="H43" s="253" t="s">
        <v>137</v>
      </c>
      <c r="I43" s="253" t="s">
        <v>31</v>
      </c>
      <c r="J43" s="253" t="s">
        <v>239</v>
      </c>
      <c r="K43" s="253"/>
      <c r="L43" s="253" t="s">
        <v>41</v>
      </c>
      <c r="M43" s="252" t="s">
        <v>42</v>
      </c>
      <c r="N43" s="253" t="s">
        <v>33</v>
      </c>
      <c r="O43" s="254" t="s">
        <v>25</v>
      </c>
      <c r="P43" s="320"/>
      <c r="R43" s="317" t="s">
        <v>531</v>
      </c>
      <c r="S43" s="15" t="s">
        <v>532</v>
      </c>
      <c r="X43" s="16">
        <f t="shared" si="2"/>
        <v>27</v>
      </c>
    </row>
    <row r="44" ht="16.5" customHeight="1">
      <c r="A44" s="178" t="s">
        <v>240</v>
      </c>
      <c r="B44" s="179" t="s">
        <v>250</v>
      </c>
      <c r="C44" s="180" t="s">
        <v>17</v>
      </c>
      <c r="D44" s="181" t="s">
        <v>251</v>
      </c>
      <c r="E44" s="181" t="s">
        <v>37</v>
      </c>
      <c r="F44" s="181" t="s">
        <v>252</v>
      </c>
      <c r="G44" s="181">
        <f t="shared" si="4"/>
        <v>24</v>
      </c>
      <c r="H44" s="181" t="s">
        <v>161</v>
      </c>
      <c r="I44" s="181" t="s">
        <v>112</v>
      </c>
      <c r="J44" s="181" t="s">
        <v>253</v>
      </c>
      <c r="K44" s="181">
        <v>19.0</v>
      </c>
      <c r="L44" s="181" t="s">
        <v>41</v>
      </c>
      <c r="M44" s="180" t="s">
        <v>42</v>
      </c>
      <c r="N44" s="181" t="s">
        <v>65</v>
      </c>
      <c r="O44" s="321" t="s">
        <v>25</v>
      </c>
      <c r="P44" s="322">
        <v>6.0</v>
      </c>
      <c r="X44" s="16">
        <f t="shared" si="2"/>
        <v>124</v>
      </c>
    </row>
    <row r="45" ht="16.5" customHeight="1">
      <c r="A45" s="17"/>
      <c r="B45" s="269" t="s">
        <v>426</v>
      </c>
      <c r="C45" s="270" t="s">
        <v>98</v>
      </c>
      <c r="D45" s="271" t="s">
        <v>427</v>
      </c>
      <c r="E45" s="271" t="s">
        <v>19</v>
      </c>
      <c r="F45" s="271" t="s">
        <v>428</v>
      </c>
      <c r="G45" s="271">
        <f t="shared" si="4"/>
        <v>29</v>
      </c>
      <c r="H45" s="271" t="s">
        <v>196</v>
      </c>
      <c r="I45" s="271"/>
      <c r="J45" s="271"/>
      <c r="K45" s="271"/>
      <c r="L45" s="271" t="s">
        <v>208</v>
      </c>
      <c r="M45" s="270" t="s">
        <v>42</v>
      </c>
      <c r="N45" s="271"/>
      <c r="O45" s="323" t="s">
        <v>25</v>
      </c>
      <c r="P45" s="226"/>
      <c r="X45" s="16">
        <f t="shared" si="2"/>
        <v>29</v>
      </c>
    </row>
    <row r="46" ht="16.5" customHeight="1">
      <c r="A46" s="17"/>
      <c r="B46" s="324" t="s">
        <v>103</v>
      </c>
      <c r="C46" s="325" t="s">
        <v>98</v>
      </c>
      <c r="D46" s="326" t="s">
        <v>104</v>
      </c>
      <c r="E46" s="326" t="s">
        <v>19</v>
      </c>
      <c r="F46" s="326" t="s">
        <v>105</v>
      </c>
      <c r="G46" s="271">
        <f t="shared" si="4"/>
        <v>27</v>
      </c>
      <c r="H46" s="326" t="s">
        <v>56</v>
      </c>
      <c r="I46" s="326" t="s">
        <v>79</v>
      </c>
      <c r="J46" s="326" t="s">
        <v>106</v>
      </c>
      <c r="K46" s="326">
        <v>19.0</v>
      </c>
      <c r="L46" s="326" t="s">
        <v>41</v>
      </c>
      <c r="M46" s="325" t="s">
        <v>42</v>
      </c>
      <c r="N46" s="326" t="s">
        <v>107</v>
      </c>
      <c r="O46" s="327" t="s">
        <v>25</v>
      </c>
      <c r="P46" s="226"/>
      <c r="X46" s="16">
        <f t="shared" si="2"/>
        <v>27</v>
      </c>
    </row>
    <row r="47" ht="16.5" customHeight="1">
      <c r="A47" s="17"/>
      <c r="B47" s="260" t="s">
        <v>334</v>
      </c>
      <c r="C47" s="261" t="s">
        <v>98</v>
      </c>
      <c r="D47" s="262" t="s">
        <v>335</v>
      </c>
      <c r="E47" s="262" t="s">
        <v>37</v>
      </c>
      <c r="F47" s="262" t="s">
        <v>336</v>
      </c>
      <c r="G47" s="271">
        <f t="shared" si="4"/>
        <v>22</v>
      </c>
      <c r="H47" s="262" t="s">
        <v>71</v>
      </c>
      <c r="I47" s="262" t="s">
        <v>337</v>
      </c>
      <c r="J47" s="262" t="s">
        <v>182</v>
      </c>
      <c r="K47" s="262">
        <v>21.0</v>
      </c>
      <c r="L47" s="262" t="s">
        <v>41</v>
      </c>
      <c r="M47" s="261" t="s">
        <v>42</v>
      </c>
      <c r="N47" s="262"/>
      <c r="O47" s="328" t="s">
        <v>25</v>
      </c>
      <c r="P47" s="226"/>
      <c r="X47" s="16">
        <f t="shared" si="2"/>
        <v>122</v>
      </c>
    </row>
    <row r="48" ht="16.5" customHeight="1">
      <c r="A48" s="17"/>
      <c r="B48" s="329" t="s">
        <v>432</v>
      </c>
      <c r="C48" s="330" t="s">
        <v>109</v>
      </c>
      <c r="D48" s="331" t="s">
        <v>433</v>
      </c>
      <c r="E48" s="331" t="s">
        <v>37</v>
      </c>
      <c r="F48" s="331" t="s">
        <v>434</v>
      </c>
      <c r="G48" s="271">
        <f t="shared" si="4"/>
        <v>26</v>
      </c>
      <c r="H48" s="331" t="s">
        <v>196</v>
      </c>
      <c r="I48" s="331" t="s">
        <v>156</v>
      </c>
      <c r="J48" s="331" t="s">
        <v>90</v>
      </c>
      <c r="K48" s="331"/>
      <c r="L48" s="331" t="s">
        <v>41</v>
      </c>
      <c r="M48" s="330" t="s">
        <v>42</v>
      </c>
      <c r="N48" s="331"/>
      <c r="O48" s="332" t="s">
        <v>25</v>
      </c>
      <c r="P48" s="226"/>
      <c r="X48" s="16">
        <f t="shared" si="2"/>
        <v>26</v>
      </c>
    </row>
    <row r="49" ht="16.5" customHeight="1">
      <c r="A49" s="333"/>
      <c r="B49" s="334" t="s">
        <v>338</v>
      </c>
      <c r="C49" s="335" t="s">
        <v>109</v>
      </c>
      <c r="D49" s="336" t="s">
        <v>339</v>
      </c>
      <c r="E49" s="336" t="s">
        <v>37</v>
      </c>
      <c r="F49" s="336" t="s">
        <v>340</v>
      </c>
      <c r="G49" s="336">
        <f t="shared" si="4"/>
        <v>25</v>
      </c>
      <c r="H49" s="336" t="s">
        <v>56</v>
      </c>
      <c r="I49" s="336" t="s">
        <v>341</v>
      </c>
      <c r="J49" s="336"/>
      <c r="K49" s="336"/>
      <c r="L49" s="336" t="s">
        <v>41</v>
      </c>
      <c r="M49" s="335" t="s">
        <v>42</v>
      </c>
      <c r="N49" s="336"/>
      <c r="O49" s="337" t="s">
        <v>25</v>
      </c>
      <c r="P49" s="338"/>
      <c r="X49" s="16">
        <f t="shared" si="2"/>
        <v>25</v>
      </c>
    </row>
    <row r="50" ht="16.5" customHeight="1">
      <c r="A50" s="339" t="s">
        <v>285</v>
      </c>
      <c r="B50" s="275" t="s">
        <v>286</v>
      </c>
      <c r="C50" s="193" t="s">
        <v>17</v>
      </c>
      <c r="D50" s="194" t="s">
        <v>287</v>
      </c>
      <c r="E50" s="194" t="s">
        <v>37</v>
      </c>
      <c r="F50" s="194" t="s">
        <v>288</v>
      </c>
      <c r="G50" s="194">
        <f t="shared" si="4"/>
        <v>26</v>
      </c>
      <c r="H50" s="194" t="s">
        <v>269</v>
      </c>
      <c r="I50" s="194" t="s">
        <v>289</v>
      </c>
      <c r="J50" s="194"/>
      <c r="K50" s="194"/>
      <c r="L50" s="194" t="s">
        <v>23</v>
      </c>
      <c r="M50" s="193"/>
      <c r="N50" s="194"/>
      <c r="O50" s="340" t="s">
        <v>25</v>
      </c>
      <c r="P50" s="341">
        <v>11.0</v>
      </c>
      <c r="X50" s="16">
        <f t="shared" si="2"/>
        <v>26</v>
      </c>
    </row>
    <row r="51" ht="16.5" customHeight="1">
      <c r="A51" s="17"/>
      <c r="B51" s="275" t="s">
        <v>290</v>
      </c>
      <c r="C51" s="193" t="s">
        <v>98</v>
      </c>
      <c r="D51" s="194" t="s">
        <v>291</v>
      </c>
      <c r="E51" s="194" t="s">
        <v>19</v>
      </c>
      <c r="F51" s="194" t="s">
        <v>292</v>
      </c>
      <c r="G51" s="194">
        <f t="shared" si="4"/>
        <v>26</v>
      </c>
      <c r="H51" s="194" t="s">
        <v>131</v>
      </c>
      <c r="I51" s="194" t="s">
        <v>190</v>
      </c>
      <c r="J51" s="194" t="s">
        <v>293</v>
      </c>
      <c r="K51" s="194">
        <v>18.0</v>
      </c>
      <c r="L51" s="194" t="s">
        <v>41</v>
      </c>
      <c r="M51" s="193" t="s">
        <v>42</v>
      </c>
      <c r="N51" s="194" t="s">
        <v>198</v>
      </c>
      <c r="O51" s="340" t="s">
        <v>25</v>
      </c>
      <c r="P51" s="226"/>
      <c r="X51" s="16">
        <f t="shared" si="2"/>
        <v>26</v>
      </c>
    </row>
    <row r="52" ht="16.5" customHeight="1">
      <c r="A52" s="17"/>
      <c r="B52" s="277" t="s">
        <v>294</v>
      </c>
      <c r="C52" s="197" t="s">
        <v>98</v>
      </c>
      <c r="D52" s="198" t="s">
        <v>295</v>
      </c>
      <c r="E52" s="198" t="s">
        <v>19</v>
      </c>
      <c r="F52" s="198" t="s">
        <v>296</v>
      </c>
      <c r="G52" s="194">
        <f t="shared" si="4"/>
        <v>28</v>
      </c>
      <c r="H52" s="198" t="s">
        <v>56</v>
      </c>
      <c r="I52" s="198" t="s">
        <v>190</v>
      </c>
      <c r="J52" s="198" t="s">
        <v>297</v>
      </c>
      <c r="K52" s="198"/>
      <c r="L52" s="198" t="s">
        <v>41</v>
      </c>
      <c r="M52" s="197" t="s">
        <v>42</v>
      </c>
      <c r="N52" s="198" t="s">
        <v>272</v>
      </c>
      <c r="O52" s="342" t="s">
        <v>25</v>
      </c>
      <c r="P52" s="226"/>
      <c r="X52" s="16">
        <f t="shared" si="2"/>
        <v>28</v>
      </c>
    </row>
    <row r="53" ht="16.5" customHeight="1">
      <c r="A53" s="17"/>
      <c r="B53" s="277" t="s">
        <v>298</v>
      </c>
      <c r="C53" s="197" t="s">
        <v>98</v>
      </c>
      <c r="D53" s="198" t="s">
        <v>299</v>
      </c>
      <c r="E53" s="198" t="s">
        <v>19</v>
      </c>
      <c r="F53" s="198" t="s">
        <v>300</v>
      </c>
      <c r="G53" s="194">
        <f t="shared" si="4"/>
        <v>28</v>
      </c>
      <c r="H53" s="198" t="s">
        <v>217</v>
      </c>
      <c r="I53" s="198" t="s">
        <v>83</v>
      </c>
      <c r="J53" s="198" t="s">
        <v>207</v>
      </c>
      <c r="K53" s="198"/>
      <c r="L53" s="198" t="s">
        <v>41</v>
      </c>
      <c r="M53" s="197" t="s">
        <v>42</v>
      </c>
      <c r="N53" s="198" t="s">
        <v>301</v>
      </c>
      <c r="O53" s="342" t="s">
        <v>25</v>
      </c>
      <c r="P53" s="226"/>
      <c r="X53" s="16">
        <f t="shared" si="2"/>
        <v>28</v>
      </c>
    </row>
    <row r="54" ht="16.5" customHeight="1">
      <c r="A54" s="17"/>
      <c r="B54" s="277" t="s">
        <v>302</v>
      </c>
      <c r="C54" s="197" t="s">
        <v>98</v>
      </c>
      <c r="D54" s="198" t="s">
        <v>303</v>
      </c>
      <c r="E54" s="198" t="s">
        <v>19</v>
      </c>
      <c r="F54" s="198" t="s">
        <v>304</v>
      </c>
      <c r="G54" s="194">
        <f t="shared" si="4"/>
        <v>27</v>
      </c>
      <c r="H54" s="198" t="s">
        <v>117</v>
      </c>
      <c r="I54" s="198" t="s">
        <v>31</v>
      </c>
      <c r="J54" s="198" t="s">
        <v>305</v>
      </c>
      <c r="K54" s="198">
        <v>17.0</v>
      </c>
      <c r="L54" s="198" t="s">
        <v>208</v>
      </c>
      <c r="M54" s="197" t="s">
        <v>42</v>
      </c>
      <c r="N54" s="198" t="s">
        <v>91</v>
      </c>
      <c r="O54" s="342" t="s">
        <v>25</v>
      </c>
      <c r="P54" s="226"/>
      <c r="X54" s="16">
        <f t="shared" si="2"/>
        <v>27</v>
      </c>
    </row>
    <row r="55" ht="16.5" customHeight="1">
      <c r="A55" s="17"/>
      <c r="B55" s="279" t="s">
        <v>306</v>
      </c>
      <c r="C55" s="201" t="s">
        <v>109</v>
      </c>
      <c r="D55" s="202" t="s">
        <v>267</v>
      </c>
      <c r="E55" s="202" t="s">
        <v>19</v>
      </c>
      <c r="F55" s="202" t="s">
        <v>307</v>
      </c>
      <c r="G55" s="194">
        <f t="shared" si="4"/>
        <v>27</v>
      </c>
      <c r="H55" s="202" t="s">
        <v>117</v>
      </c>
      <c r="I55" s="202" t="s">
        <v>31</v>
      </c>
      <c r="J55" s="202"/>
      <c r="K55" s="202">
        <v>16.0</v>
      </c>
      <c r="L55" s="202" t="s">
        <v>41</v>
      </c>
      <c r="M55" s="201" t="s">
        <v>42</v>
      </c>
      <c r="N55" s="202"/>
      <c r="O55" s="343" t="s">
        <v>25</v>
      </c>
      <c r="P55" s="226"/>
      <c r="X55" s="16">
        <f t="shared" si="2"/>
        <v>27</v>
      </c>
    </row>
    <row r="56" ht="16.5" customHeight="1">
      <c r="A56" s="17"/>
      <c r="B56" s="279" t="s">
        <v>308</v>
      </c>
      <c r="C56" s="201" t="s">
        <v>109</v>
      </c>
      <c r="D56" s="202" t="s">
        <v>309</v>
      </c>
      <c r="E56" s="202" t="s">
        <v>19</v>
      </c>
      <c r="F56" s="202" t="s">
        <v>310</v>
      </c>
      <c r="G56" s="194">
        <f t="shared" si="4"/>
        <v>27</v>
      </c>
      <c r="H56" s="202" t="s">
        <v>21</v>
      </c>
      <c r="I56" s="202" t="s">
        <v>156</v>
      </c>
      <c r="J56" s="202"/>
      <c r="K56" s="202"/>
      <c r="L56" s="202" t="s">
        <v>23</v>
      </c>
      <c r="M56" s="201" t="s">
        <v>48</v>
      </c>
      <c r="N56" s="202" t="s">
        <v>65</v>
      </c>
      <c r="O56" s="343" t="s">
        <v>25</v>
      </c>
      <c r="P56" s="226"/>
      <c r="X56" s="16">
        <f t="shared" si="2"/>
        <v>27</v>
      </c>
    </row>
    <row r="57" ht="16.5" customHeight="1">
      <c r="A57" s="17"/>
      <c r="B57" s="279" t="s">
        <v>311</v>
      </c>
      <c r="C57" s="201" t="s">
        <v>109</v>
      </c>
      <c r="D57" s="202" t="s">
        <v>312</v>
      </c>
      <c r="E57" s="202" t="s">
        <v>37</v>
      </c>
      <c r="F57" s="202" t="s">
        <v>313</v>
      </c>
      <c r="G57" s="194">
        <f t="shared" si="4"/>
        <v>27</v>
      </c>
      <c r="H57" s="202" t="s">
        <v>39</v>
      </c>
      <c r="I57" s="202" t="s">
        <v>218</v>
      </c>
      <c r="J57" s="202"/>
      <c r="K57" s="202"/>
      <c r="L57" s="202" t="s">
        <v>202</v>
      </c>
      <c r="M57" s="201" t="s">
        <v>259</v>
      </c>
      <c r="N57" s="202"/>
      <c r="O57" s="343" t="s">
        <v>25</v>
      </c>
      <c r="P57" s="226"/>
      <c r="X57" s="16">
        <f t="shared" si="2"/>
        <v>27</v>
      </c>
    </row>
    <row r="58" ht="16.5" customHeight="1">
      <c r="A58" s="17"/>
      <c r="B58" s="279" t="s">
        <v>314</v>
      </c>
      <c r="C58" s="201" t="s">
        <v>109</v>
      </c>
      <c r="D58" s="202" t="s">
        <v>315</v>
      </c>
      <c r="E58" s="202" t="s">
        <v>37</v>
      </c>
      <c r="F58" s="202" t="s">
        <v>316</v>
      </c>
      <c r="G58" s="194">
        <f t="shared" si="4"/>
        <v>25</v>
      </c>
      <c r="H58" s="202" t="s">
        <v>30</v>
      </c>
      <c r="I58" s="202" t="s">
        <v>162</v>
      </c>
      <c r="J58" s="202" t="s">
        <v>317</v>
      </c>
      <c r="K58" s="202"/>
      <c r="L58" s="202" t="s">
        <v>41</v>
      </c>
      <c r="M58" s="201" t="s">
        <v>42</v>
      </c>
      <c r="N58" s="202"/>
      <c r="O58" s="343" t="s">
        <v>25</v>
      </c>
      <c r="P58" s="226"/>
      <c r="X58" s="16">
        <f t="shared" si="2"/>
        <v>25</v>
      </c>
    </row>
    <row r="59" ht="16.5" customHeight="1">
      <c r="A59" s="17"/>
      <c r="B59" s="279" t="s">
        <v>318</v>
      </c>
      <c r="C59" s="201" t="s">
        <v>109</v>
      </c>
      <c r="D59" s="202" t="s">
        <v>319</v>
      </c>
      <c r="E59" s="202" t="s">
        <v>37</v>
      </c>
      <c r="F59" s="202" t="s">
        <v>320</v>
      </c>
      <c r="G59" s="194">
        <f t="shared" si="4"/>
        <v>26</v>
      </c>
      <c r="H59" s="202" t="s">
        <v>137</v>
      </c>
      <c r="I59" s="202" t="s">
        <v>321</v>
      </c>
      <c r="J59" s="202" t="s">
        <v>322</v>
      </c>
      <c r="K59" s="202"/>
      <c r="L59" s="202" t="s">
        <v>23</v>
      </c>
      <c r="M59" s="201" t="s">
        <v>48</v>
      </c>
      <c r="N59" s="202"/>
      <c r="O59" s="343" t="s">
        <v>25</v>
      </c>
      <c r="P59" s="226"/>
      <c r="X59" s="16">
        <f t="shared" si="2"/>
        <v>26</v>
      </c>
    </row>
    <row r="60" ht="16.5" customHeight="1">
      <c r="A60" s="25"/>
      <c r="B60" s="344" t="s">
        <v>323</v>
      </c>
      <c r="C60" s="345" t="s">
        <v>109</v>
      </c>
      <c r="D60" s="346" t="s">
        <v>324</v>
      </c>
      <c r="E60" s="346" t="s">
        <v>37</v>
      </c>
      <c r="F60" s="346" t="s">
        <v>325</v>
      </c>
      <c r="G60" s="346">
        <f t="shared" si="4"/>
        <v>26</v>
      </c>
      <c r="H60" s="346" t="s">
        <v>196</v>
      </c>
      <c r="I60" s="346" t="s">
        <v>156</v>
      </c>
      <c r="J60" s="346" t="s">
        <v>191</v>
      </c>
      <c r="K60" s="346"/>
      <c r="L60" s="346" t="s">
        <v>41</v>
      </c>
      <c r="M60" s="345" t="s">
        <v>42</v>
      </c>
      <c r="N60" s="346"/>
      <c r="O60" s="347" t="s">
        <v>25</v>
      </c>
      <c r="P60" s="348"/>
      <c r="X60" s="16">
        <f t="shared" si="2"/>
        <v>26</v>
      </c>
    </row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6"/>
    <mergeCell ref="P2:P43"/>
    <mergeCell ref="A7:A43"/>
    <mergeCell ref="A44:A49"/>
    <mergeCell ref="P44:P49"/>
    <mergeCell ref="A50:A60"/>
    <mergeCell ref="P50:P6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9.43"/>
    <col customWidth="1" min="3" max="3" width="11.0"/>
    <col customWidth="1" min="4" max="4" width="18.86"/>
    <col customWidth="1" min="5" max="5" width="9.14"/>
    <col customWidth="1" min="6" max="6" width="12.0"/>
    <col customWidth="1" min="7" max="7" width="9.14"/>
    <col customWidth="1" min="8" max="8" width="12.71"/>
    <col customWidth="1" min="9" max="9" width="24.43"/>
    <col customWidth="1" min="10" max="10" width="25.71"/>
    <col customWidth="1" min="11" max="11" width="9.14"/>
    <col customWidth="1" min="12" max="13" width="10.29"/>
    <col customWidth="1" min="14" max="14" width="9.14"/>
    <col customWidth="1" min="15" max="15" width="10.29"/>
    <col customWidth="1" min="16" max="16" width="8.86"/>
  </cols>
  <sheetData>
    <row r="1" ht="16.5" customHeight="1">
      <c r="A1" s="104">
        <v>2023.01</v>
      </c>
      <c r="B1" s="105" t="s">
        <v>0</v>
      </c>
      <c r="C1" s="106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107" t="s">
        <v>10</v>
      </c>
      <c r="M1" s="8" t="s">
        <v>11</v>
      </c>
      <c r="N1" s="8" t="s">
        <v>12</v>
      </c>
      <c r="O1" s="107" t="s">
        <v>13</v>
      </c>
      <c r="P1" s="291" t="s">
        <v>14</v>
      </c>
    </row>
    <row r="2" ht="16.5" customHeight="1">
      <c r="A2" s="294" t="s">
        <v>15</v>
      </c>
      <c r="B2" s="109" t="s">
        <v>26</v>
      </c>
      <c r="C2" s="295" t="s">
        <v>27</v>
      </c>
      <c r="D2" s="16" t="s">
        <v>28</v>
      </c>
      <c r="E2" s="16" t="s">
        <v>19</v>
      </c>
      <c r="F2" s="16" t="s">
        <v>29</v>
      </c>
      <c r="G2" s="16">
        <f t="shared" ref="G2:G4" si="1">124-VALUE(LEFT(F2,2))</f>
        <v>29</v>
      </c>
      <c r="H2" s="16" t="s">
        <v>30</v>
      </c>
      <c r="I2" s="16" t="s">
        <v>31</v>
      </c>
      <c r="J2" s="16" t="s">
        <v>32</v>
      </c>
      <c r="K2" s="16">
        <v>15.0</v>
      </c>
      <c r="L2" s="16" t="s">
        <v>23</v>
      </c>
      <c r="M2" s="295" t="s">
        <v>24</v>
      </c>
      <c r="N2" s="16" t="s">
        <v>33</v>
      </c>
      <c r="O2" s="296" t="s">
        <v>25</v>
      </c>
      <c r="P2" s="349">
        <v>28.0</v>
      </c>
    </row>
    <row r="3" ht="16.5" customHeight="1">
      <c r="A3" s="298"/>
      <c r="B3" s="114" t="s">
        <v>400</v>
      </c>
      <c r="C3" s="117" t="s">
        <v>98</v>
      </c>
      <c r="D3" s="116" t="s">
        <v>401</v>
      </c>
      <c r="E3" s="116" t="s">
        <v>37</v>
      </c>
      <c r="F3" s="116" t="s">
        <v>402</v>
      </c>
      <c r="G3" s="116">
        <f t="shared" si="1"/>
        <v>25</v>
      </c>
      <c r="H3" s="116" t="s">
        <v>189</v>
      </c>
      <c r="I3" s="116" t="s">
        <v>89</v>
      </c>
      <c r="J3" s="116" t="s">
        <v>403</v>
      </c>
      <c r="K3" s="116">
        <v>22.0</v>
      </c>
      <c r="L3" s="116" t="s">
        <v>23</v>
      </c>
      <c r="M3" s="117" t="s">
        <v>24</v>
      </c>
      <c r="N3" s="116" t="s">
        <v>33</v>
      </c>
      <c r="O3" s="299" t="s">
        <v>25</v>
      </c>
      <c r="P3" s="226"/>
    </row>
    <row r="4" ht="16.5" customHeight="1">
      <c r="A4" s="298"/>
      <c r="B4" s="114" t="s">
        <v>67</v>
      </c>
      <c r="C4" s="117" t="s">
        <v>68</v>
      </c>
      <c r="D4" s="116" t="s">
        <v>69</v>
      </c>
      <c r="E4" s="116" t="s">
        <v>19</v>
      </c>
      <c r="F4" s="116" t="s">
        <v>70</v>
      </c>
      <c r="G4" s="116">
        <f t="shared" si="1"/>
        <v>28</v>
      </c>
      <c r="H4" s="116" t="s">
        <v>269</v>
      </c>
      <c r="I4" s="116" t="s">
        <v>57</v>
      </c>
      <c r="J4" s="116" t="s">
        <v>72</v>
      </c>
      <c r="K4" s="116">
        <v>17.0</v>
      </c>
      <c r="L4" s="116" t="s">
        <v>533</v>
      </c>
      <c r="M4" s="117"/>
      <c r="N4" s="116" t="s">
        <v>73</v>
      </c>
      <c r="O4" s="299" t="s">
        <v>25</v>
      </c>
      <c r="P4" s="226"/>
    </row>
    <row r="5" ht="16.5" customHeight="1">
      <c r="A5" s="298"/>
      <c r="B5" s="119" t="s">
        <v>250</v>
      </c>
      <c r="C5" s="120" t="s">
        <v>17</v>
      </c>
      <c r="D5" s="121" t="s">
        <v>251</v>
      </c>
      <c r="E5" s="121" t="s">
        <v>37</v>
      </c>
      <c r="F5" s="121" t="s">
        <v>252</v>
      </c>
      <c r="G5" s="121">
        <v>24.0</v>
      </c>
      <c r="H5" s="121" t="s">
        <v>161</v>
      </c>
      <c r="I5" s="121" t="s">
        <v>112</v>
      </c>
      <c r="J5" s="121" t="s">
        <v>253</v>
      </c>
      <c r="K5" s="121">
        <v>19.0</v>
      </c>
      <c r="L5" s="121" t="s">
        <v>41</v>
      </c>
      <c r="M5" s="120" t="s">
        <v>42</v>
      </c>
      <c r="N5" s="121" t="s">
        <v>65</v>
      </c>
      <c r="O5" s="350" t="s">
        <v>25</v>
      </c>
      <c r="P5" s="226"/>
    </row>
    <row r="6" ht="16.5" customHeight="1">
      <c r="A6" s="302"/>
      <c r="B6" s="114" t="s">
        <v>85</v>
      </c>
      <c r="C6" s="117" t="s">
        <v>17</v>
      </c>
      <c r="D6" s="116" t="s">
        <v>86</v>
      </c>
      <c r="E6" s="116" t="s">
        <v>19</v>
      </c>
      <c r="F6" s="116" t="s">
        <v>87</v>
      </c>
      <c r="G6" s="116">
        <f t="shared" ref="G6:G13" si="2">124-VALUE(LEFT(F6,2))</f>
        <v>27</v>
      </c>
      <c r="H6" s="116" t="s">
        <v>88</v>
      </c>
      <c r="I6" s="116" t="s">
        <v>89</v>
      </c>
      <c r="J6" s="116" t="s">
        <v>90</v>
      </c>
      <c r="K6" s="116">
        <v>16.0</v>
      </c>
      <c r="L6" s="116" t="s">
        <v>202</v>
      </c>
      <c r="M6" s="117" t="s">
        <v>42</v>
      </c>
      <c r="N6" s="116" t="s">
        <v>91</v>
      </c>
      <c r="O6" s="299" t="s">
        <v>25</v>
      </c>
      <c r="P6" s="226"/>
    </row>
    <row r="7" ht="16.5" customHeight="1">
      <c r="A7" s="223" t="s">
        <v>66</v>
      </c>
      <c r="B7" s="304" t="s">
        <v>241</v>
      </c>
      <c r="C7" s="305" t="s">
        <v>68</v>
      </c>
      <c r="D7" s="306" t="s">
        <v>242</v>
      </c>
      <c r="E7" s="306" t="s">
        <v>37</v>
      </c>
      <c r="F7" s="306" t="s">
        <v>243</v>
      </c>
      <c r="G7" s="306">
        <f t="shared" si="2"/>
        <v>27</v>
      </c>
      <c r="H7" s="306" t="s">
        <v>39</v>
      </c>
      <c r="I7" s="306"/>
      <c r="J7" s="306" t="s">
        <v>245</v>
      </c>
      <c r="K7" s="306"/>
      <c r="L7" s="306"/>
      <c r="M7" s="305"/>
      <c r="N7" s="306"/>
      <c r="O7" s="307" t="s">
        <v>25</v>
      </c>
      <c r="P7" s="226"/>
    </row>
    <row r="8" ht="16.5" customHeight="1">
      <c r="A8" s="226"/>
      <c r="B8" s="237" t="s">
        <v>74</v>
      </c>
      <c r="C8" s="148" t="s">
        <v>75</v>
      </c>
      <c r="D8" s="149" t="s">
        <v>76</v>
      </c>
      <c r="E8" s="149" t="s">
        <v>19</v>
      </c>
      <c r="F8" s="149" t="s">
        <v>77</v>
      </c>
      <c r="G8" s="149">
        <f t="shared" si="2"/>
        <v>28</v>
      </c>
      <c r="H8" s="149" t="s">
        <v>78</v>
      </c>
      <c r="I8" s="149" t="s">
        <v>79</v>
      </c>
      <c r="J8" s="149"/>
      <c r="K8" s="149"/>
      <c r="L8" s="149"/>
      <c r="M8" s="148" t="s">
        <v>48</v>
      </c>
      <c r="N8" s="149"/>
      <c r="O8" s="309" t="s">
        <v>25</v>
      </c>
      <c r="P8" s="226"/>
    </row>
    <row r="9" ht="16.5" customHeight="1">
      <c r="A9" s="226"/>
      <c r="B9" s="235" t="s">
        <v>394</v>
      </c>
      <c r="C9" s="144" t="s">
        <v>27</v>
      </c>
      <c r="D9" s="145" t="s">
        <v>395</v>
      </c>
      <c r="E9" s="145" t="s">
        <v>19</v>
      </c>
      <c r="F9" s="310" t="s">
        <v>396</v>
      </c>
      <c r="G9" s="145">
        <f t="shared" si="2"/>
        <v>28</v>
      </c>
      <c r="H9" s="145" t="s">
        <v>397</v>
      </c>
      <c r="I9" s="145" t="s">
        <v>398</v>
      </c>
      <c r="J9" s="145" t="s">
        <v>399</v>
      </c>
      <c r="K9" s="145">
        <v>22.0</v>
      </c>
      <c r="L9" s="145" t="s">
        <v>41</v>
      </c>
      <c r="M9" s="144" t="s">
        <v>42</v>
      </c>
      <c r="N9" s="145"/>
      <c r="O9" s="311" t="s">
        <v>25</v>
      </c>
      <c r="P9" s="226"/>
    </row>
    <row r="10" ht="16.5" customHeight="1">
      <c r="A10" s="226"/>
      <c r="B10" s="237" t="s">
        <v>246</v>
      </c>
      <c r="C10" s="148" t="s">
        <v>247</v>
      </c>
      <c r="D10" s="149" t="s">
        <v>248</v>
      </c>
      <c r="E10" s="149" t="s">
        <v>19</v>
      </c>
      <c r="F10" s="149" t="s">
        <v>249</v>
      </c>
      <c r="G10" s="149">
        <f t="shared" si="2"/>
        <v>26</v>
      </c>
      <c r="H10" s="149" t="s">
        <v>39</v>
      </c>
      <c r="I10" s="149" t="s">
        <v>112</v>
      </c>
      <c r="J10" s="149"/>
      <c r="K10" s="149"/>
      <c r="L10" s="149"/>
      <c r="M10" s="148"/>
      <c r="N10" s="149"/>
      <c r="O10" s="309" t="s">
        <v>25</v>
      </c>
      <c r="P10" s="226"/>
    </row>
    <row r="11" ht="16.5" customHeight="1">
      <c r="A11" s="226"/>
      <c r="B11" s="237" t="s">
        <v>80</v>
      </c>
      <c r="C11" s="148" t="s">
        <v>17</v>
      </c>
      <c r="D11" s="149" t="s">
        <v>81</v>
      </c>
      <c r="E11" s="149" t="s">
        <v>19</v>
      </c>
      <c r="F11" s="149" t="s">
        <v>82</v>
      </c>
      <c r="G11" s="149">
        <f t="shared" si="2"/>
        <v>26</v>
      </c>
      <c r="H11" s="149" t="s">
        <v>30</v>
      </c>
      <c r="I11" s="149" t="s">
        <v>83</v>
      </c>
      <c r="J11" s="149"/>
      <c r="K11" s="149"/>
      <c r="L11" s="149"/>
      <c r="M11" s="148"/>
      <c r="N11" s="149"/>
      <c r="O11" s="309" t="s">
        <v>25</v>
      </c>
      <c r="P11" s="226"/>
    </row>
    <row r="12" ht="16.5" customHeight="1">
      <c r="A12" s="226"/>
      <c r="B12" s="237" t="s">
        <v>16</v>
      </c>
      <c r="C12" s="148" t="s">
        <v>17</v>
      </c>
      <c r="D12" s="149" t="s">
        <v>18</v>
      </c>
      <c r="E12" s="149" t="s">
        <v>19</v>
      </c>
      <c r="F12" s="149" t="s">
        <v>20</v>
      </c>
      <c r="G12" s="149">
        <f t="shared" si="2"/>
        <v>25</v>
      </c>
      <c r="H12" s="149" t="s">
        <v>21</v>
      </c>
      <c r="I12" s="149" t="s">
        <v>22</v>
      </c>
      <c r="J12" s="149"/>
      <c r="K12" s="149"/>
      <c r="L12" s="149" t="s">
        <v>208</v>
      </c>
      <c r="M12" s="148"/>
      <c r="N12" s="149"/>
      <c r="O12" s="309" t="s">
        <v>25</v>
      </c>
      <c r="P12" s="226"/>
    </row>
    <row r="13" ht="16.5" customHeight="1">
      <c r="A13" s="226"/>
      <c r="B13" s="235" t="s">
        <v>290</v>
      </c>
      <c r="C13" s="144" t="s">
        <v>98</v>
      </c>
      <c r="D13" s="145" t="s">
        <v>291</v>
      </c>
      <c r="E13" s="145" t="s">
        <v>19</v>
      </c>
      <c r="F13" s="145" t="s">
        <v>292</v>
      </c>
      <c r="G13" s="145">
        <f t="shared" si="2"/>
        <v>26</v>
      </c>
      <c r="H13" s="145" t="s">
        <v>131</v>
      </c>
      <c r="I13" s="145" t="s">
        <v>190</v>
      </c>
      <c r="J13" s="145" t="s">
        <v>293</v>
      </c>
      <c r="K13" s="145">
        <v>18.0</v>
      </c>
      <c r="L13" s="145" t="s">
        <v>41</v>
      </c>
      <c r="M13" s="144" t="s">
        <v>42</v>
      </c>
      <c r="N13" s="145" t="s">
        <v>198</v>
      </c>
      <c r="O13" s="311" t="s">
        <v>25</v>
      </c>
      <c r="P13" s="226"/>
    </row>
    <row r="14" ht="16.5" customHeight="1">
      <c r="A14" s="226"/>
      <c r="B14" s="237" t="s">
        <v>97</v>
      </c>
      <c r="C14" s="148" t="s">
        <v>98</v>
      </c>
      <c r="D14" s="149" t="s">
        <v>99</v>
      </c>
      <c r="E14" s="149" t="s">
        <v>19</v>
      </c>
      <c r="F14" s="149" t="s">
        <v>100</v>
      </c>
      <c r="G14" s="149">
        <v>24.0</v>
      </c>
      <c r="H14" s="149" t="s">
        <v>101</v>
      </c>
      <c r="I14" s="149" t="s">
        <v>31</v>
      </c>
      <c r="J14" s="149" t="s">
        <v>102</v>
      </c>
      <c r="K14" s="149">
        <v>19.0</v>
      </c>
      <c r="L14" s="149" t="s">
        <v>41</v>
      </c>
      <c r="M14" s="148" t="s">
        <v>42</v>
      </c>
      <c r="N14" s="149" t="s">
        <v>73</v>
      </c>
      <c r="O14" s="309" t="s">
        <v>25</v>
      </c>
      <c r="P14" s="226"/>
    </row>
    <row r="15" ht="16.5" customHeight="1">
      <c r="A15" s="226"/>
      <c r="B15" s="249" t="s">
        <v>103</v>
      </c>
      <c r="C15" s="170" t="s">
        <v>98</v>
      </c>
      <c r="D15" s="171" t="s">
        <v>104</v>
      </c>
      <c r="E15" s="171" t="s">
        <v>19</v>
      </c>
      <c r="F15" s="171" t="s">
        <v>105</v>
      </c>
      <c r="G15" s="171">
        <f t="shared" ref="G15:G21" si="3">124-VALUE(LEFT(F15,2))</f>
        <v>27</v>
      </c>
      <c r="H15" s="171" t="s">
        <v>56</v>
      </c>
      <c r="I15" s="171" t="s">
        <v>79</v>
      </c>
      <c r="J15" s="171" t="s">
        <v>106</v>
      </c>
      <c r="K15" s="171">
        <v>19.0</v>
      </c>
      <c r="L15" s="171" t="s">
        <v>41</v>
      </c>
      <c r="M15" s="170" t="s">
        <v>42</v>
      </c>
      <c r="N15" s="171" t="s">
        <v>107</v>
      </c>
      <c r="O15" s="312" t="s">
        <v>25</v>
      </c>
      <c r="P15" s="226"/>
    </row>
    <row r="16" ht="16.5" customHeight="1">
      <c r="A16" s="226"/>
      <c r="B16" s="313" t="s">
        <v>254</v>
      </c>
      <c r="C16" s="314" t="s">
        <v>109</v>
      </c>
      <c r="D16" s="315" t="s">
        <v>255</v>
      </c>
      <c r="E16" s="315" t="s">
        <v>19</v>
      </c>
      <c r="F16" s="315" t="s">
        <v>256</v>
      </c>
      <c r="G16" s="315">
        <f t="shared" si="3"/>
        <v>27</v>
      </c>
      <c r="H16" s="315" t="s">
        <v>257</v>
      </c>
      <c r="I16" s="315" t="s">
        <v>258</v>
      </c>
      <c r="J16" s="315"/>
      <c r="K16" s="315"/>
      <c r="L16" s="315" t="s">
        <v>23</v>
      </c>
      <c r="M16" s="314" t="s">
        <v>259</v>
      </c>
      <c r="N16" s="315"/>
      <c r="O16" s="316"/>
      <c r="P16" s="226"/>
    </row>
    <row r="17" ht="16.5" customHeight="1">
      <c r="A17" s="226"/>
      <c r="B17" s="251" t="s">
        <v>306</v>
      </c>
      <c r="C17" s="252" t="s">
        <v>109</v>
      </c>
      <c r="D17" s="253" t="s">
        <v>267</v>
      </c>
      <c r="E17" s="253" t="s">
        <v>19</v>
      </c>
      <c r="F17" s="253" t="s">
        <v>307</v>
      </c>
      <c r="G17" s="253">
        <f t="shared" si="3"/>
        <v>27</v>
      </c>
      <c r="H17" s="253" t="s">
        <v>117</v>
      </c>
      <c r="I17" s="253" t="s">
        <v>31</v>
      </c>
      <c r="J17" s="253"/>
      <c r="K17" s="253">
        <v>16.0</v>
      </c>
      <c r="L17" s="253" t="s">
        <v>41</v>
      </c>
      <c r="M17" s="252" t="s">
        <v>42</v>
      </c>
      <c r="N17" s="253"/>
      <c r="O17" s="254"/>
      <c r="P17" s="226"/>
    </row>
    <row r="18" ht="16.5" customHeight="1">
      <c r="A18" s="226"/>
      <c r="B18" s="251" t="s">
        <v>429</v>
      </c>
      <c r="C18" s="252" t="s">
        <v>109</v>
      </c>
      <c r="D18" s="253" t="s">
        <v>430</v>
      </c>
      <c r="E18" s="253" t="s">
        <v>19</v>
      </c>
      <c r="F18" s="253" t="s">
        <v>431</v>
      </c>
      <c r="G18" s="253">
        <f t="shared" si="3"/>
        <v>28</v>
      </c>
      <c r="H18" s="253" t="s">
        <v>196</v>
      </c>
      <c r="I18" s="253" t="s">
        <v>156</v>
      </c>
      <c r="J18" s="253" t="s">
        <v>284</v>
      </c>
      <c r="K18" s="253"/>
      <c r="L18" s="253" t="s">
        <v>41</v>
      </c>
      <c r="M18" s="252" t="s">
        <v>42</v>
      </c>
      <c r="N18" s="253" t="s">
        <v>272</v>
      </c>
      <c r="O18" s="254"/>
      <c r="P18" s="226"/>
    </row>
    <row r="19" ht="16.5" customHeight="1">
      <c r="A19" s="226"/>
      <c r="B19" s="251" t="s">
        <v>432</v>
      </c>
      <c r="C19" s="252" t="s">
        <v>109</v>
      </c>
      <c r="D19" s="253" t="s">
        <v>433</v>
      </c>
      <c r="E19" s="253" t="s">
        <v>37</v>
      </c>
      <c r="F19" s="253" t="s">
        <v>434</v>
      </c>
      <c r="G19" s="253">
        <f t="shared" si="3"/>
        <v>26</v>
      </c>
      <c r="H19" s="253" t="s">
        <v>196</v>
      </c>
      <c r="I19" s="253" t="s">
        <v>156</v>
      </c>
      <c r="J19" s="253" t="s">
        <v>90</v>
      </c>
      <c r="K19" s="253"/>
      <c r="L19" s="253" t="s">
        <v>41</v>
      </c>
      <c r="M19" s="252" t="s">
        <v>42</v>
      </c>
      <c r="N19" s="253"/>
      <c r="O19" s="254"/>
      <c r="P19" s="226"/>
    </row>
    <row r="20" ht="16.5" customHeight="1">
      <c r="A20" s="226"/>
      <c r="B20" s="251" t="s">
        <v>338</v>
      </c>
      <c r="C20" s="252" t="s">
        <v>109</v>
      </c>
      <c r="D20" s="253" t="s">
        <v>339</v>
      </c>
      <c r="E20" s="253" t="s">
        <v>37</v>
      </c>
      <c r="F20" s="253" t="s">
        <v>340</v>
      </c>
      <c r="G20" s="253">
        <f t="shared" si="3"/>
        <v>25</v>
      </c>
      <c r="H20" s="253" t="s">
        <v>56</v>
      </c>
      <c r="I20" s="253" t="s">
        <v>341</v>
      </c>
      <c r="J20" s="253"/>
      <c r="K20" s="253"/>
      <c r="L20" s="253" t="s">
        <v>41</v>
      </c>
      <c r="M20" s="252" t="s">
        <v>42</v>
      </c>
      <c r="N20" s="253"/>
      <c r="O20" s="254"/>
      <c r="P20" s="226"/>
    </row>
    <row r="21" ht="16.5" customHeight="1">
      <c r="A21" s="226"/>
      <c r="B21" s="251" t="s">
        <v>108</v>
      </c>
      <c r="C21" s="252" t="s">
        <v>109</v>
      </c>
      <c r="D21" s="253" t="s">
        <v>110</v>
      </c>
      <c r="E21" s="253" t="s">
        <v>19</v>
      </c>
      <c r="F21" s="253" t="s">
        <v>111</v>
      </c>
      <c r="G21" s="253">
        <f t="shared" si="3"/>
        <v>25</v>
      </c>
      <c r="H21" s="253" t="s">
        <v>71</v>
      </c>
      <c r="I21" s="253" t="s">
        <v>112</v>
      </c>
      <c r="J21" s="253" t="s">
        <v>113</v>
      </c>
      <c r="K21" s="253"/>
      <c r="L21" s="253" t="s">
        <v>41</v>
      </c>
      <c r="M21" s="252" t="s">
        <v>42</v>
      </c>
      <c r="N21" s="253"/>
      <c r="O21" s="254"/>
      <c r="P21" s="226"/>
    </row>
    <row r="22" ht="16.5" customHeight="1">
      <c r="A22" s="226"/>
      <c r="B22" s="251" t="s">
        <v>114</v>
      </c>
      <c r="C22" s="252" t="s">
        <v>109</v>
      </c>
      <c r="D22" s="253" t="s">
        <v>115</v>
      </c>
      <c r="E22" s="253" t="s">
        <v>37</v>
      </c>
      <c r="F22" s="253" t="s">
        <v>116</v>
      </c>
      <c r="G22" s="253">
        <f>124-VALUE(LEFT(F22,2))-100</f>
        <v>23</v>
      </c>
      <c r="H22" s="253" t="s">
        <v>117</v>
      </c>
      <c r="I22" s="253" t="s">
        <v>118</v>
      </c>
      <c r="J22" s="253" t="s">
        <v>119</v>
      </c>
      <c r="K22" s="253"/>
      <c r="L22" s="253" t="s">
        <v>41</v>
      </c>
      <c r="M22" s="252" t="s">
        <v>42</v>
      </c>
      <c r="N22" s="253" t="s">
        <v>65</v>
      </c>
      <c r="O22" s="254"/>
      <c r="P22" s="226"/>
    </row>
    <row r="23" ht="16.5" customHeight="1">
      <c r="A23" s="226"/>
      <c r="B23" s="251" t="s">
        <v>308</v>
      </c>
      <c r="C23" s="252" t="s">
        <v>109</v>
      </c>
      <c r="D23" s="253" t="s">
        <v>309</v>
      </c>
      <c r="E23" s="253" t="s">
        <v>19</v>
      </c>
      <c r="F23" s="253" t="s">
        <v>310</v>
      </c>
      <c r="G23" s="253">
        <f t="shared" ref="G23:G35" si="4">124-VALUE(LEFT(F23,2))</f>
        <v>27</v>
      </c>
      <c r="H23" s="253" t="s">
        <v>21</v>
      </c>
      <c r="I23" s="253" t="s">
        <v>156</v>
      </c>
      <c r="J23" s="253"/>
      <c r="K23" s="253"/>
      <c r="L23" s="253" t="s">
        <v>23</v>
      </c>
      <c r="M23" s="252" t="s">
        <v>48</v>
      </c>
      <c r="N23" s="253" t="s">
        <v>65</v>
      </c>
      <c r="O23" s="254"/>
      <c r="P23" s="226"/>
    </row>
    <row r="24" ht="16.5" customHeight="1">
      <c r="A24" s="226"/>
      <c r="B24" s="251" t="s">
        <v>311</v>
      </c>
      <c r="C24" s="252" t="s">
        <v>109</v>
      </c>
      <c r="D24" s="253" t="s">
        <v>312</v>
      </c>
      <c r="E24" s="253" t="s">
        <v>37</v>
      </c>
      <c r="F24" s="253" t="s">
        <v>313</v>
      </c>
      <c r="G24" s="253">
        <f t="shared" si="4"/>
        <v>27</v>
      </c>
      <c r="H24" s="253" t="s">
        <v>39</v>
      </c>
      <c r="I24" s="253" t="s">
        <v>218</v>
      </c>
      <c r="J24" s="253"/>
      <c r="K24" s="253"/>
      <c r="L24" s="253" t="s">
        <v>202</v>
      </c>
      <c r="M24" s="252" t="s">
        <v>259</v>
      </c>
      <c r="N24" s="253"/>
      <c r="O24" s="254"/>
      <c r="P24" s="226"/>
    </row>
    <row r="25" ht="16.5" customHeight="1">
      <c r="A25" s="226"/>
      <c r="B25" s="251" t="s">
        <v>435</v>
      </c>
      <c r="C25" s="252" t="s">
        <v>109</v>
      </c>
      <c r="D25" s="253" t="s">
        <v>436</v>
      </c>
      <c r="E25" s="253" t="s">
        <v>37</v>
      </c>
      <c r="F25" s="253" t="s">
        <v>437</v>
      </c>
      <c r="G25" s="253">
        <f t="shared" si="4"/>
        <v>26</v>
      </c>
      <c r="H25" s="253" t="s">
        <v>348</v>
      </c>
      <c r="I25" s="253" t="s">
        <v>138</v>
      </c>
      <c r="J25" s="253" t="s">
        <v>207</v>
      </c>
      <c r="K25" s="253"/>
      <c r="L25" s="253" t="s">
        <v>41</v>
      </c>
      <c r="M25" s="252" t="s">
        <v>42</v>
      </c>
      <c r="N25" s="253" t="s">
        <v>73</v>
      </c>
      <c r="O25" s="254"/>
      <c r="P25" s="226"/>
    </row>
    <row r="26" ht="16.5" customHeight="1">
      <c r="A26" s="226"/>
      <c r="B26" s="251" t="s">
        <v>314</v>
      </c>
      <c r="C26" s="252" t="s">
        <v>109</v>
      </c>
      <c r="D26" s="253" t="s">
        <v>315</v>
      </c>
      <c r="E26" s="253" t="s">
        <v>37</v>
      </c>
      <c r="F26" s="253" t="s">
        <v>316</v>
      </c>
      <c r="G26" s="253">
        <f t="shared" si="4"/>
        <v>25</v>
      </c>
      <c r="H26" s="253" t="s">
        <v>30</v>
      </c>
      <c r="I26" s="253" t="s">
        <v>162</v>
      </c>
      <c r="J26" s="253" t="s">
        <v>317</v>
      </c>
      <c r="K26" s="253"/>
      <c r="L26" s="253" t="s">
        <v>41</v>
      </c>
      <c r="M26" s="252" t="s">
        <v>42</v>
      </c>
      <c r="N26" s="253"/>
      <c r="O26" s="254"/>
      <c r="P26" s="226"/>
    </row>
    <row r="27" ht="16.5" customHeight="1">
      <c r="A27" s="226"/>
      <c r="B27" s="251" t="s">
        <v>318</v>
      </c>
      <c r="C27" s="252" t="s">
        <v>109</v>
      </c>
      <c r="D27" s="253" t="s">
        <v>319</v>
      </c>
      <c r="E27" s="253" t="s">
        <v>37</v>
      </c>
      <c r="F27" s="253" t="s">
        <v>320</v>
      </c>
      <c r="G27" s="253">
        <f t="shared" si="4"/>
        <v>26</v>
      </c>
      <c r="H27" s="253" t="s">
        <v>137</v>
      </c>
      <c r="I27" s="253" t="s">
        <v>321</v>
      </c>
      <c r="J27" s="253" t="s">
        <v>322</v>
      </c>
      <c r="K27" s="253"/>
      <c r="L27" s="253" t="s">
        <v>23</v>
      </c>
      <c r="M27" s="252" t="s">
        <v>48</v>
      </c>
      <c r="N27" s="253"/>
      <c r="O27" s="254"/>
      <c r="P27" s="226"/>
    </row>
    <row r="28" ht="16.5" customHeight="1">
      <c r="A28" s="226"/>
      <c r="B28" s="251" t="s">
        <v>407</v>
      </c>
      <c r="C28" s="252" t="s">
        <v>109</v>
      </c>
      <c r="D28" s="253" t="s">
        <v>408</v>
      </c>
      <c r="E28" s="253" t="s">
        <v>19</v>
      </c>
      <c r="F28" s="253" t="s">
        <v>409</v>
      </c>
      <c r="G28" s="253">
        <f t="shared" si="4"/>
        <v>26</v>
      </c>
      <c r="H28" s="253" t="s">
        <v>78</v>
      </c>
      <c r="I28" s="253" t="s">
        <v>258</v>
      </c>
      <c r="J28" s="253" t="s">
        <v>410</v>
      </c>
      <c r="K28" s="253"/>
      <c r="L28" s="253" t="s">
        <v>41</v>
      </c>
      <c r="M28" s="252" t="s">
        <v>42</v>
      </c>
      <c r="N28" s="253"/>
      <c r="O28" s="254"/>
      <c r="P28" s="226"/>
    </row>
    <row r="29" ht="16.5" customHeight="1">
      <c r="A29" s="232"/>
      <c r="B29" s="351" t="s">
        <v>323</v>
      </c>
      <c r="C29" s="252" t="s">
        <v>109</v>
      </c>
      <c r="D29" s="352" t="s">
        <v>324</v>
      </c>
      <c r="E29" s="352" t="s">
        <v>37</v>
      </c>
      <c r="F29" s="352" t="s">
        <v>325</v>
      </c>
      <c r="G29" s="253">
        <f t="shared" si="4"/>
        <v>26</v>
      </c>
      <c r="H29" s="352" t="s">
        <v>196</v>
      </c>
      <c r="I29" s="352" t="s">
        <v>156</v>
      </c>
      <c r="J29" s="352" t="s">
        <v>191</v>
      </c>
      <c r="K29" s="352"/>
      <c r="L29" s="352" t="s">
        <v>41</v>
      </c>
      <c r="M29" s="353" t="s">
        <v>42</v>
      </c>
      <c r="N29" s="352"/>
      <c r="O29" s="354"/>
      <c r="P29" s="232"/>
    </row>
    <row r="30" ht="16.5" customHeight="1">
      <c r="A30" s="9" t="s">
        <v>240</v>
      </c>
      <c r="B30" s="355" t="s">
        <v>286</v>
      </c>
      <c r="C30" s="356" t="s">
        <v>17</v>
      </c>
      <c r="D30" s="357" t="s">
        <v>287</v>
      </c>
      <c r="E30" s="357" t="s">
        <v>37</v>
      </c>
      <c r="F30" s="357" t="s">
        <v>288</v>
      </c>
      <c r="G30" s="357">
        <f t="shared" si="4"/>
        <v>26</v>
      </c>
      <c r="H30" s="357" t="s">
        <v>269</v>
      </c>
      <c r="I30" s="357" t="s">
        <v>289</v>
      </c>
      <c r="J30" s="357"/>
      <c r="K30" s="357"/>
      <c r="L30" s="357"/>
      <c r="M30" s="356"/>
      <c r="N30" s="357"/>
      <c r="O30" s="358" t="s">
        <v>25</v>
      </c>
      <c r="P30" s="341">
        <v>10.0</v>
      </c>
    </row>
    <row r="31" ht="16.5" customHeight="1">
      <c r="A31" s="17"/>
      <c r="B31" s="269" t="s">
        <v>326</v>
      </c>
      <c r="C31" s="270" t="s">
        <v>17</v>
      </c>
      <c r="D31" s="271" t="s">
        <v>327</v>
      </c>
      <c r="E31" s="271" t="s">
        <v>37</v>
      </c>
      <c r="F31" s="271" t="s">
        <v>328</v>
      </c>
      <c r="G31" s="271">
        <f t="shared" si="4"/>
        <v>27</v>
      </c>
      <c r="H31" s="271" t="s">
        <v>329</v>
      </c>
      <c r="I31" s="271"/>
      <c r="J31" s="271"/>
      <c r="K31" s="271"/>
      <c r="L31" s="271"/>
      <c r="M31" s="270"/>
      <c r="N31" s="271"/>
      <c r="O31" s="323" t="s">
        <v>25</v>
      </c>
      <c r="P31" s="226"/>
    </row>
    <row r="32" ht="16.5" customHeight="1">
      <c r="A32" s="17"/>
      <c r="B32" s="269" t="s">
        <v>92</v>
      </c>
      <c r="C32" s="270" t="s">
        <v>17</v>
      </c>
      <c r="D32" s="271" t="s">
        <v>93</v>
      </c>
      <c r="E32" s="271" t="s">
        <v>37</v>
      </c>
      <c r="F32" s="271" t="s">
        <v>94</v>
      </c>
      <c r="G32" s="271">
        <f t="shared" si="4"/>
        <v>27</v>
      </c>
      <c r="H32" s="271" t="s">
        <v>78</v>
      </c>
      <c r="I32" s="271" t="s">
        <v>95</v>
      </c>
      <c r="J32" s="271" t="s">
        <v>96</v>
      </c>
      <c r="K32" s="271">
        <v>16.0</v>
      </c>
      <c r="L32" s="271" t="s">
        <v>23</v>
      </c>
      <c r="M32" s="270" t="s">
        <v>48</v>
      </c>
      <c r="N32" s="271" t="s">
        <v>73</v>
      </c>
      <c r="O32" s="323" t="s">
        <v>25</v>
      </c>
      <c r="P32" s="226"/>
    </row>
    <row r="33" ht="16.5" customHeight="1">
      <c r="A33" s="17"/>
      <c r="B33" s="265" t="s">
        <v>330</v>
      </c>
      <c r="C33" s="266" t="s">
        <v>98</v>
      </c>
      <c r="D33" s="267" t="s">
        <v>331</v>
      </c>
      <c r="E33" s="267" t="s">
        <v>19</v>
      </c>
      <c r="F33" s="267" t="s">
        <v>332</v>
      </c>
      <c r="G33" s="267">
        <f t="shared" si="4"/>
        <v>25</v>
      </c>
      <c r="H33" s="267" t="s">
        <v>137</v>
      </c>
      <c r="I33" s="267" t="s">
        <v>190</v>
      </c>
      <c r="J33" s="267" t="s">
        <v>333</v>
      </c>
      <c r="K33" s="267">
        <v>18.0</v>
      </c>
      <c r="L33" s="267" t="s">
        <v>41</v>
      </c>
      <c r="M33" s="266" t="s">
        <v>42</v>
      </c>
      <c r="N33" s="267" t="s">
        <v>198</v>
      </c>
      <c r="O33" s="359" t="s">
        <v>25</v>
      </c>
      <c r="P33" s="226"/>
    </row>
    <row r="34" ht="16.5" customHeight="1">
      <c r="A34" s="17"/>
      <c r="B34" s="269" t="s">
        <v>426</v>
      </c>
      <c r="C34" s="270" t="s">
        <v>98</v>
      </c>
      <c r="D34" s="271" t="s">
        <v>427</v>
      </c>
      <c r="E34" s="271" t="s">
        <v>19</v>
      </c>
      <c r="F34" s="271" t="s">
        <v>428</v>
      </c>
      <c r="G34" s="271">
        <f t="shared" si="4"/>
        <v>29</v>
      </c>
      <c r="H34" s="271" t="s">
        <v>196</v>
      </c>
      <c r="I34" s="271"/>
      <c r="J34" s="271"/>
      <c r="K34" s="271"/>
      <c r="L34" s="271"/>
      <c r="M34" s="270"/>
      <c r="N34" s="271"/>
      <c r="O34" s="323" t="s">
        <v>25</v>
      </c>
      <c r="P34" s="226"/>
    </row>
    <row r="35" ht="16.5" customHeight="1">
      <c r="A35" s="17"/>
      <c r="B35" s="269" t="s">
        <v>294</v>
      </c>
      <c r="C35" s="270" t="s">
        <v>98</v>
      </c>
      <c r="D35" s="271" t="s">
        <v>295</v>
      </c>
      <c r="E35" s="271" t="s">
        <v>19</v>
      </c>
      <c r="F35" s="271" t="s">
        <v>296</v>
      </c>
      <c r="G35" s="271">
        <f t="shared" si="4"/>
        <v>28</v>
      </c>
      <c r="H35" s="271" t="s">
        <v>56</v>
      </c>
      <c r="I35" s="271" t="s">
        <v>190</v>
      </c>
      <c r="J35" s="271" t="s">
        <v>297</v>
      </c>
      <c r="K35" s="271"/>
      <c r="L35" s="271" t="s">
        <v>41</v>
      </c>
      <c r="M35" s="270" t="s">
        <v>42</v>
      </c>
      <c r="N35" s="271" t="s">
        <v>272</v>
      </c>
      <c r="O35" s="323" t="s">
        <v>25</v>
      </c>
      <c r="P35" s="226"/>
    </row>
    <row r="36" ht="16.5" customHeight="1">
      <c r="A36" s="17"/>
      <c r="B36" s="269" t="s">
        <v>404</v>
      </c>
      <c r="C36" s="270" t="s">
        <v>98</v>
      </c>
      <c r="D36" s="271" t="s">
        <v>405</v>
      </c>
      <c r="E36" s="271" t="s">
        <v>37</v>
      </c>
      <c r="F36" s="271" t="s">
        <v>406</v>
      </c>
      <c r="G36" s="271">
        <v>24.0</v>
      </c>
      <c r="H36" s="271" t="s">
        <v>196</v>
      </c>
      <c r="I36" s="271" t="s">
        <v>156</v>
      </c>
      <c r="J36" s="271"/>
      <c r="K36" s="271"/>
      <c r="L36" s="271"/>
      <c r="M36" s="270"/>
      <c r="N36" s="271"/>
      <c r="O36" s="323" t="s">
        <v>25</v>
      </c>
      <c r="P36" s="226"/>
    </row>
    <row r="37" ht="16.5" customHeight="1">
      <c r="A37" s="17"/>
      <c r="B37" s="269" t="s">
        <v>302</v>
      </c>
      <c r="C37" s="270" t="s">
        <v>98</v>
      </c>
      <c r="D37" s="271" t="s">
        <v>303</v>
      </c>
      <c r="E37" s="271" t="s">
        <v>19</v>
      </c>
      <c r="F37" s="271" t="s">
        <v>304</v>
      </c>
      <c r="G37" s="271">
        <f t="shared" ref="G37:G38" si="5">124-VALUE(LEFT(F37,2))</f>
        <v>27</v>
      </c>
      <c r="H37" s="271" t="s">
        <v>117</v>
      </c>
      <c r="I37" s="271" t="s">
        <v>31</v>
      </c>
      <c r="J37" s="271" t="s">
        <v>305</v>
      </c>
      <c r="K37" s="271">
        <v>17.0</v>
      </c>
      <c r="L37" s="271" t="s">
        <v>208</v>
      </c>
      <c r="M37" s="270" t="s">
        <v>42</v>
      </c>
      <c r="N37" s="271" t="s">
        <v>91</v>
      </c>
      <c r="O37" s="323" t="s">
        <v>25</v>
      </c>
      <c r="P37" s="226"/>
    </row>
    <row r="38" ht="16.5" customHeight="1">
      <c r="A38" s="17"/>
      <c r="B38" s="269" t="s">
        <v>298</v>
      </c>
      <c r="C38" s="270" t="s">
        <v>98</v>
      </c>
      <c r="D38" s="271" t="s">
        <v>299</v>
      </c>
      <c r="E38" s="271" t="s">
        <v>19</v>
      </c>
      <c r="F38" s="271" t="s">
        <v>300</v>
      </c>
      <c r="G38" s="271">
        <f t="shared" si="5"/>
        <v>28</v>
      </c>
      <c r="H38" s="271" t="s">
        <v>217</v>
      </c>
      <c r="I38" s="271" t="s">
        <v>83</v>
      </c>
      <c r="J38" s="271" t="s">
        <v>207</v>
      </c>
      <c r="K38" s="271"/>
      <c r="L38" s="271" t="s">
        <v>41</v>
      </c>
      <c r="M38" s="270" t="s">
        <v>42</v>
      </c>
      <c r="N38" s="271" t="s">
        <v>301</v>
      </c>
      <c r="O38" s="323" t="s">
        <v>25</v>
      </c>
      <c r="P38" s="226"/>
    </row>
    <row r="39" ht="16.5" customHeight="1">
      <c r="A39" s="360"/>
      <c r="B39" s="361" t="s">
        <v>334</v>
      </c>
      <c r="C39" s="362" t="s">
        <v>98</v>
      </c>
      <c r="D39" s="363" t="s">
        <v>335</v>
      </c>
      <c r="E39" s="363" t="s">
        <v>37</v>
      </c>
      <c r="F39" s="363" t="s">
        <v>336</v>
      </c>
      <c r="G39" s="363">
        <v>22.0</v>
      </c>
      <c r="H39" s="363" t="s">
        <v>71</v>
      </c>
      <c r="I39" s="363" t="s">
        <v>337</v>
      </c>
      <c r="J39" s="363" t="s">
        <v>182</v>
      </c>
      <c r="K39" s="363">
        <v>21.0</v>
      </c>
      <c r="L39" s="363" t="s">
        <v>41</v>
      </c>
      <c r="M39" s="362" t="s">
        <v>42</v>
      </c>
      <c r="N39" s="363"/>
      <c r="O39" s="364" t="s">
        <v>25</v>
      </c>
      <c r="P39" s="365"/>
    </row>
    <row r="40" ht="16.5" customHeight="1">
      <c r="A40" s="339" t="s">
        <v>285</v>
      </c>
      <c r="B40" s="275" t="s">
        <v>534</v>
      </c>
      <c r="C40" s="193" t="s">
        <v>75</v>
      </c>
      <c r="D40" s="194" t="s">
        <v>535</v>
      </c>
      <c r="E40" s="194" t="s">
        <v>37</v>
      </c>
      <c r="F40" s="194" t="s">
        <v>536</v>
      </c>
      <c r="G40" s="194">
        <f t="shared" ref="G40:G45" si="6">124-VALUE(LEFT(F40,2))</f>
        <v>27</v>
      </c>
      <c r="H40" s="194" t="s">
        <v>196</v>
      </c>
      <c r="I40" s="194" t="s">
        <v>234</v>
      </c>
      <c r="J40" s="194"/>
      <c r="K40" s="194"/>
      <c r="L40" s="194"/>
      <c r="M40" s="193"/>
      <c r="N40" s="194"/>
      <c r="O40" s="340" t="s">
        <v>25</v>
      </c>
      <c r="P40" s="341">
        <v>13.0</v>
      </c>
    </row>
    <row r="41" ht="16.5" customHeight="1">
      <c r="A41" s="17"/>
      <c r="B41" s="277" t="s">
        <v>537</v>
      </c>
      <c r="C41" s="197" t="s">
        <v>538</v>
      </c>
      <c r="D41" s="198" t="s">
        <v>539</v>
      </c>
      <c r="E41" s="198" t="s">
        <v>37</v>
      </c>
      <c r="F41" s="198" t="s">
        <v>540</v>
      </c>
      <c r="G41" s="198">
        <f t="shared" si="6"/>
        <v>28</v>
      </c>
      <c r="H41" s="198" t="s">
        <v>88</v>
      </c>
      <c r="I41" s="198" t="s">
        <v>52</v>
      </c>
      <c r="J41" s="198" t="s">
        <v>541</v>
      </c>
      <c r="K41" s="198">
        <v>17.0</v>
      </c>
      <c r="L41" s="198" t="s">
        <v>41</v>
      </c>
      <c r="M41" s="197" t="s">
        <v>42</v>
      </c>
      <c r="N41" s="198" t="s">
        <v>126</v>
      </c>
      <c r="O41" s="342" t="s">
        <v>25</v>
      </c>
      <c r="P41" s="226"/>
    </row>
    <row r="42" ht="16.5" customHeight="1">
      <c r="A42" s="17"/>
      <c r="B42" s="277" t="s">
        <v>542</v>
      </c>
      <c r="C42" s="197" t="s">
        <v>75</v>
      </c>
      <c r="D42" s="198" t="s">
        <v>543</v>
      </c>
      <c r="E42" s="198" t="s">
        <v>19</v>
      </c>
      <c r="F42" s="198" t="s">
        <v>544</v>
      </c>
      <c r="G42" s="198">
        <f t="shared" si="6"/>
        <v>29</v>
      </c>
      <c r="H42" s="198" t="s">
        <v>124</v>
      </c>
      <c r="I42" s="198" t="s">
        <v>228</v>
      </c>
      <c r="J42" s="198" t="s">
        <v>90</v>
      </c>
      <c r="K42" s="198">
        <v>15.0</v>
      </c>
      <c r="L42" s="198" t="s">
        <v>41</v>
      </c>
      <c r="M42" s="197" t="s">
        <v>42</v>
      </c>
      <c r="N42" s="198" t="s">
        <v>213</v>
      </c>
      <c r="O42" s="342" t="s">
        <v>25</v>
      </c>
      <c r="P42" s="226"/>
    </row>
    <row r="43" ht="16.5" customHeight="1">
      <c r="A43" s="17"/>
      <c r="B43" s="277" t="s">
        <v>545</v>
      </c>
      <c r="C43" s="197" t="s">
        <v>538</v>
      </c>
      <c r="D43" s="198" t="s">
        <v>546</v>
      </c>
      <c r="E43" s="198" t="s">
        <v>19</v>
      </c>
      <c r="F43" s="198" t="s">
        <v>547</v>
      </c>
      <c r="G43" s="198">
        <f t="shared" si="6"/>
        <v>27</v>
      </c>
      <c r="H43" s="198" t="s">
        <v>39</v>
      </c>
      <c r="I43" s="198" t="s">
        <v>190</v>
      </c>
      <c r="J43" s="198"/>
      <c r="K43" s="198"/>
      <c r="L43" s="198"/>
      <c r="M43" s="197"/>
      <c r="N43" s="198"/>
      <c r="O43" s="342" t="s">
        <v>25</v>
      </c>
      <c r="P43" s="226"/>
    </row>
    <row r="44" ht="16.5" customHeight="1">
      <c r="A44" s="17"/>
      <c r="B44" s="277" t="s">
        <v>548</v>
      </c>
      <c r="C44" s="197" t="s">
        <v>98</v>
      </c>
      <c r="D44" s="198" t="s">
        <v>549</v>
      </c>
      <c r="E44" s="198" t="s">
        <v>19</v>
      </c>
      <c r="F44" s="198" t="s">
        <v>550</v>
      </c>
      <c r="G44" s="198">
        <f t="shared" si="6"/>
        <v>27</v>
      </c>
      <c r="H44" s="198" t="s">
        <v>56</v>
      </c>
      <c r="I44" s="198"/>
      <c r="J44" s="198"/>
      <c r="K44" s="198"/>
      <c r="L44" s="198"/>
      <c r="M44" s="197"/>
      <c r="N44" s="198"/>
      <c r="O44" s="342" t="s">
        <v>25</v>
      </c>
      <c r="P44" s="226"/>
    </row>
    <row r="45" ht="16.5" customHeight="1">
      <c r="A45" s="17"/>
      <c r="B45" s="281" t="s">
        <v>551</v>
      </c>
      <c r="C45" s="366" t="s">
        <v>98</v>
      </c>
      <c r="D45" s="206" t="s">
        <v>552</v>
      </c>
      <c r="E45" s="206" t="s">
        <v>37</v>
      </c>
      <c r="F45" s="206" t="s">
        <v>553</v>
      </c>
      <c r="G45" s="206">
        <f t="shared" si="6"/>
        <v>27</v>
      </c>
      <c r="H45" s="206" t="s">
        <v>39</v>
      </c>
      <c r="I45" s="206" t="s">
        <v>57</v>
      </c>
      <c r="J45" s="206" t="s">
        <v>554</v>
      </c>
      <c r="K45" s="206">
        <v>18.0</v>
      </c>
      <c r="L45" s="206" t="s">
        <v>41</v>
      </c>
      <c r="M45" s="205" t="s">
        <v>42</v>
      </c>
      <c r="N45" s="206" t="s">
        <v>213</v>
      </c>
      <c r="O45" s="367" t="s">
        <v>25</v>
      </c>
      <c r="P45" s="226"/>
    </row>
    <row r="46" ht="16.5" customHeight="1">
      <c r="A46" s="17"/>
      <c r="B46" s="275" t="s">
        <v>555</v>
      </c>
      <c r="C46" s="193" t="s">
        <v>98</v>
      </c>
      <c r="D46" s="194" t="s">
        <v>556</v>
      </c>
      <c r="E46" s="194" t="s">
        <v>37</v>
      </c>
      <c r="F46" s="194" t="s">
        <v>557</v>
      </c>
      <c r="G46" s="194">
        <v>24.0</v>
      </c>
      <c r="H46" s="194" t="s">
        <v>269</v>
      </c>
      <c r="I46" s="194" t="s">
        <v>57</v>
      </c>
      <c r="J46" s="194" t="s">
        <v>558</v>
      </c>
      <c r="K46" s="194">
        <v>19.0</v>
      </c>
      <c r="L46" s="194" t="s">
        <v>208</v>
      </c>
      <c r="M46" s="193" t="s">
        <v>42</v>
      </c>
      <c r="N46" s="194" t="s">
        <v>91</v>
      </c>
      <c r="O46" s="340" t="s">
        <v>25</v>
      </c>
      <c r="P46" s="226"/>
    </row>
    <row r="47" ht="16.5" customHeight="1">
      <c r="A47" s="17"/>
      <c r="B47" s="277" t="s">
        <v>559</v>
      </c>
      <c r="C47" s="197" t="s">
        <v>98</v>
      </c>
      <c r="D47" s="198" t="s">
        <v>560</v>
      </c>
      <c r="E47" s="198" t="s">
        <v>37</v>
      </c>
      <c r="F47" s="198" t="s">
        <v>561</v>
      </c>
      <c r="G47" s="198">
        <v>24.0</v>
      </c>
      <c r="H47" s="198" t="s">
        <v>71</v>
      </c>
      <c r="I47" s="198" t="s">
        <v>31</v>
      </c>
      <c r="J47" s="198"/>
      <c r="K47" s="198"/>
      <c r="L47" s="198"/>
      <c r="M47" s="197"/>
      <c r="N47" s="198"/>
      <c r="O47" s="342" t="s">
        <v>25</v>
      </c>
      <c r="P47" s="226"/>
    </row>
    <row r="48" ht="16.5" customHeight="1">
      <c r="A48" s="17"/>
      <c r="B48" s="277" t="s">
        <v>562</v>
      </c>
      <c r="C48" s="197" t="s">
        <v>98</v>
      </c>
      <c r="D48" s="198" t="s">
        <v>563</v>
      </c>
      <c r="E48" s="198" t="s">
        <v>37</v>
      </c>
      <c r="F48" s="198" t="s">
        <v>564</v>
      </c>
      <c r="G48" s="198">
        <f>124-VALUE(LEFT(F48,2))</f>
        <v>25</v>
      </c>
      <c r="H48" s="198" t="s">
        <v>124</v>
      </c>
      <c r="I48" s="198" t="s">
        <v>89</v>
      </c>
      <c r="J48" s="198" t="s">
        <v>565</v>
      </c>
      <c r="K48" s="198">
        <v>20.0</v>
      </c>
      <c r="L48" s="198" t="s">
        <v>41</v>
      </c>
      <c r="M48" s="197" t="s">
        <v>42</v>
      </c>
      <c r="N48" s="198" t="s">
        <v>126</v>
      </c>
      <c r="O48" s="342" t="s">
        <v>25</v>
      </c>
      <c r="P48" s="226"/>
    </row>
    <row r="49" ht="16.5" customHeight="1">
      <c r="A49" s="17"/>
      <c r="B49" s="277" t="s">
        <v>566</v>
      </c>
      <c r="C49" s="197" t="s">
        <v>98</v>
      </c>
      <c r="D49" s="198" t="s">
        <v>567</v>
      </c>
      <c r="E49" s="198" t="s">
        <v>19</v>
      </c>
      <c r="F49" s="198" t="s">
        <v>568</v>
      </c>
      <c r="G49" s="198">
        <v>24.0</v>
      </c>
      <c r="H49" s="198" t="s">
        <v>39</v>
      </c>
      <c r="I49" s="198"/>
      <c r="J49" s="198"/>
      <c r="K49" s="198"/>
      <c r="L49" s="198"/>
      <c r="M49" s="197"/>
      <c r="N49" s="198"/>
      <c r="O49" s="342" t="s">
        <v>25</v>
      </c>
      <c r="P49" s="226"/>
    </row>
    <row r="50" ht="16.5" customHeight="1">
      <c r="A50" s="17"/>
      <c r="B50" s="279" t="s">
        <v>569</v>
      </c>
      <c r="C50" s="201" t="s">
        <v>98</v>
      </c>
      <c r="D50" s="202" t="s">
        <v>570</v>
      </c>
      <c r="E50" s="202" t="s">
        <v>37</v>
      </c>
      <c r="F50" s="202" t="s">
        <v>571</v>
      </c>
      <c r="G50" s="202">
        <f t="shared" ref="G50:G52" si="7">124-VALUE(LEFT(F50,2))</f>
        <v>26</v>
      </c>
      <c r="H50" s="202" t="s">
        <v>56</v>
      </c>
      <c r="I50" s="202" t="s">
        <v>190</v>
      </c>
      <c r="J50" s="202" t="s">
        <v>572</v>
      </c>
      <c r="K50" s="202">
        <v>18.0</v>
      </c>
      <c r="L50" s="202" t="s">
        <v>533</v>
      </c>
      <c r="M50" s="201" t="s">
        <v>573</v>
      </c>
      <c r="N50" s="202" t="s">
        <v>73</v>
      </c>
      <c r="O50" s="343" t="s">
        <v>25</v>
      </c>
      <c r="P50" s="226"/>
    </row>
    <row r="51" ht="16.5" customHeight="1">
      <c r="A51" s="17"/>
      <c r="B51" s="277" t="s">
        <v>574</v>
      </c>
      <c r="C51" s="197" t="s">
        <v>98</v>
      </c>
      <c r="D51" s="198" t="s">
        <v>575</v>
      </c>
      <c r="E51" s="198" t="s">
        <v>19</v>
      </c>
      <c r="F51" s="198" t="s">
        <v>576</v>
      </c>
      <c r="G51" s="198">
        <f t="shared" si="7"/>
        <v>28</v>
      </c>
      <c r="H51" s="198" t="s">
        <v>441</v>
      </c>
      <c r="I51" s="198" t="s">
        <v>57</v>
      </c>
      <c r="J51" s="198" t="s">
        <v>577</v>
      </c>
      <c r="K51" s="198">
        <v>18.0</v>
      </c>
      <c r="L51" s="198" t="s">
        <v>23</v>
      </c>
      <c r="M51" s="197" t="s">
        <v>578</v>
      </c>
      <c r="N51" s="198" t="s">
        <v>579</v>
      </c>
      <c r="O51" s="342" t="s">
        <v>25</v>
      </c>
      <c r="P51" s="226"/>
    </row>
    <row r="52" ht="16.5" customHeight="1">
      <c r="A52" s="368"/>
      <c r="B52" s="369" t="s">
        <v>580</v>
      </c>
      <c r="C52" s="370" t="s">
        <v>98</v>
      </c>
      <c r="D52" s="371" t="s">
        <v>581</v>
      </c>
      <c r="E52" s="371" t="s">
        <v>37</v>
      </c>
      <c r="F52" s="371" t="s">
        <v>582</v>
      </c>
      <c r="G52" s="371">
        <f t="shared" si="7"/>
        <v>27</v>
      </c>
      <c r="H52" s="371" t="s">
        <v>441</v>
      </c>
      <c r="I52" s="371" t="s">
        <v>57</v>
      </c>
      <c r="J52" s="371" t="s">
        <v>177</v>
      </c>
      <c r="K52" s="371">
        <v>18.0</v>
      </c>
      <c r="L52" s="371" t="s">
        <v>41</v>
      </c>
      <c r="M52" s="370" t="s">
        <v>42</v>
      </c>
      <c r="N52" s="371" t="s">
        <v>583</v>
      </c>
      <c r="O52" s="372" t="s">
        <v>25</v>
      </c>
      <c r="P52" s="232"/>
    </row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6"/>
    <mergeCell ref="P2:P29"/>
    <mergeCell ref="A7:A29"/>
    <mergeCell ref="A30:A39"/>
    <mergeCell ref="P30:P39"/>
    <mergeCell ref="A40:A52"/>
    <mergeCell ref="P40:P5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9.43"/>
    <col customWidth="1" min="3" max="3" width="11.0"/>
    <col customWidth="1" min="4" max="4" width="18.86"/>
    <col customWidth="1" min="5" max="5" width="9.14"/>
    <col customWidth="1" min="6" max="6" width="12.0"/>
    <col customWidth="1" min="7" max="7" width="9.14"/>
    <col customWidth="1" min="8" max="8" width="12.71"/>
    <col customWidth="1" min="9" max="9" width="24.43"/>
    <col customWidth="1" min="10" max="10" width="25.71"/>
    <col customWidth="1" min="11" max="11" width="9.14"/>
    <col customWidth="1" min="12" max="13" width="10.29"/>
    <col customWidth="1" min="14" max="14" width="9.14"/>
    <col customWidth="1" min="15" max="15" width="10.29"/>
    <col customWidth="1" min="16" max="16" width="8.86"/>
  </cols>
  <sheetData>
    <row r="1">
      <c r="A1" s="373" t="s">
        <v>584</v>
      </c>
      <c r="B1" s="374" t="s">
        <v>0</v>
      </c>
      <c r="C1" s="375" t="s">
        <v>1</v>
      </c>
      <c r="D1" s="376" t="s">
        <v>2</v>
      </c>
      <c r="E1" s="376" t="s">
        <v>3</v>
      </c>
      <c r="F1" s="376" t="s">
        <v>4</v>
      </c>
      <c r="G1" s="376" t="s">
        <v>5</v>
      </c>
      <c r="H1" s="376" t="s">
        <v>6</v>
      </c>
      <c r="I1" s="376" t="s">
        <v>7</v>
      </c>
      <c r="J1" s="376" t="s">
        <v>8</v>
      </c>
      <c r="K1" s="376" t="s">
        <v>9</v>
      </c>
      <c r="L1" s="377" t="s">
        <v>10</v>
      </c>
      <c r="M1" s="376" t="s">
        <v>11</v>
      </c>
      <c r="N1" s="376" t="s">
        <v>12</v>
      </c>
      <c r="O1" s="377" t="s">
        <v>13</v>
      </c>
      <c r="P1" s="378" t="s">
        <v>14</v>
      </c>
    </row>
    <row r="2">
      <c r="A2" s="379" t="s">
        <v>15</v>
      </c>
      <c r="B2" s="380" t="s">
        <v>26</v>
      </c>
      <c r="C2" s="381" t="s">
        <v>27</v>
      </c>
      <c r="D2" s="382" t="s">
        <v>28</v>
      </c>
      <c r="E2" s="382" t="s">
        <v>19</v>
      </c>
      <c r="F2" s="382" t="s">
        <v>29</v>
      </c>
      <c r="G2" s="382">
        <f t="shared" ref="G2:G5" si="1">124-VALUE(LEFT(F2,2))</f>
        <v>29</v>
      </c>
      <c r="H2" s="382" t="s">
        <v>30</v>
      </c>
      <c r="I2" s="382" t="s">
        <v>31</v>
      </c>
      <c r="J2" s="382" t="s">
        <v>32</v>
      </c>
      <c r="K2" s="382">
        <v>15.0</v>
      </c>
      <c r="L2" s="382" t="s">
        <v>23</v>
      </c>
      <c r="M2" s="381" t="s">
        <v>24</v>
      </c>
      <c r="N2" s="382" t="s">
        <v>33</v>
      </c>
      <c r="O2" s="383" t="s">
        <v>25</v>
      </c>
      <c r="P2" s="297">
        <v>37.0</v>
      </c>
    </row>
    <row r="3">
      <c r="A3" s="384"/>
      <c r="B3" s="385" t="s">
        <v>241</v>
      </c>
      <c r="C3" s="386" t="s">
        <v>68</v>
      </c>
      <c r="D3" s="387" t="s">
        <v>242</v>
      </c>
      <c r="E3" s="387" t="s">
        <v>37</v>
      </c>
      <c r="F3" s="387" t="s">
        <v>585</v>
      </c>
      <c r="G3" s="387">
        <f t="shared" si="1"/>
        <v>27</v>
      </c>
      <c r="H3" s="387" t="s">
        <v>39</v>
      </c>
      <c r="I3" s="387"/>
      <c r="J3" s="387" t="s">
        <v>245</v>
      </c>
      <c r="K3" s="387"/>
      <c r="L3" s="387"/>
      <c r="M3" s="386"/>
      <c r="N3" s="387"/>
      <c r="O3" s="388" t="s">
        <v>25</v>
      </c>
      <c r="P3" s="300"/>
    </row>
    <row r="4">
      <c r="A4" s="384"/>
      <c r="B4" s="385" t="s">
        <v>246</v>
      </c>
      <c r="C4" s="386" t="s">
        <v>247</v>
      </c>
      <c r="D4" s="387" t="s">
        <v>248</v>
      </c>
      <c r="E4" s="387" t="s">
        <v>19</v>
      </c>
      <c r="F4" s="387" t="s">
        <v>586</v>
      </c>
      <c r="G4" s="387">
        <f t="shared" si="1"/>
        <v>26</v>
      </c>
      <c r="H4" s="387" t="s">
        <v>39</v>
      </c>
      <c r="I4" s="387" t="s">
        <v>112</v>
      </c>
      <c r="J4" s="387"/>
      <c r="K4" s="387"/>
      <c r="L4" s="387"/>
      <c r="M4" s="386"/>
      <c r="N4" s="387"/>
      <c r="O4" s="388" t="s">
        <v>25</v>
      </c>
      <c r="P4" s="300"/>
    </row>
    <row r="5">
      <c r="A5" s="384"/>
      <c r="B5" s="385" t="s">
        <v>534</v>
      </c>
      <c r="C5" s="386" t="s">
        <v>75</v>
      </c>
      <c r="D5" s="387" t="s">
        <v>535</v>
      </c>
      <c r="E5" s="387" t="s">
        <v>37</v>
      </c>
      <c r="F5" s="387" t="s">
        <v>536</v>
      </c>
      <c r="G5" s="387">
        <f t="shared" si="1"/>
        <v>27</v>
      </c>
      <c r="H5" s="387" t="s">
        <v>196</v>
      </c>
      <c r="I5" s="387" t="s">
        <v>234</v>
      </c>
      <c r="J5" s="387"/>
      <c r="K5" s="387"/>
      <c r="L5" s="387"/>
      <c r="M5" s="386"/>
      <c r="N5" s="387"/>
      <c r="O5" s="388" t="s">
        <v>25</v>
      </c>
      <c r="P5" s="300"/>
    </row>
    <row r="6">
      <c r="A6" s="384"/>
      <c r="B6" s="385" t="s">
        <v>250</v>
      </c>
      <c r="C6" s="386" t="s">
        <v>17</v>
      </c>
      <c r="D6" s="387" t="s">
        <v>251</v>
      </c>
      <c r="E6" s="387" t="s">
        <v>37</v>
      </c>
      <c r="F6" s="387" t="s">
        <v>252</v>
      </c>
      <c r="G6" s="387">
        <v>24.0</v>
      </c>
      <c r="H6" s="387" t="s">
        <v>161</v>
      </c>
      <c r="I6" s="387" t="s">
        <v>112</v>
      </c>
      <c r="J6" s="387" t="s">
        <v>253</v>
      </c>
      <c r="K6" s="387">
        <v>19.0</v>
      </c>
      <c r="L6" s="387" t="s">
        <v>41</v>
      </c>
      <c r="M6" s="386" t="s">
        <v>42</v>
      </c>
      <c r="N6" s="387" t="s">
        <v>213</v>
      </c>
      <c r="O6" s="388" t="s">
        <v>25</v>
      </c>
      <c r="P6" s="300"/>
    </row>
    <row r="7">
      <c r="A7" s="389"/>
      <c r="B7" s="390" t="s">
        <v>67</v>
      </c>
      <c r="C7" s="391" t="s">
        <v>68</v>
      </c>
      <c r="D7" s="392" t="s">
        <v>69</v>
      </c>
      <c r="E7" s="392" t="s">
        <v>19</v>
      </c>
      <c r="F7" s="392" t="s">
        <v>70</v>
      </c>
      <c r="G7" s="392">
        <f t="shared" ref="G7:G23" si="2">124-VALUE(LEFT(F7,2))</f>
        <v>28</v>
      </c>
      <c r="H7" s="392" t="s">
        <v>269</v>
      </c>
      <c r="I7" s="392" t="s">
        <v>57</v>
      </c>
      <c r="J7" s="392" t="s">
        <v>587</v>
      </c>
      <c r="K7" s="392">
        <v>17.0</v>
      </c>
      <c r="L7" s="392" t="s">
        <v>533</v>
      </c>
      <c r="M7" s="391"/>
      <c r="N7" s="392" t="s">
        <v>91</v>
      </c>
      <c r="O7" s="393" t="s">
        <v>25</v>
      </c>
      <c r="P7" s="300"/>
    </row>
    <row r="8">
      <c r="A8" s="394" t="s">
        <v>588</v>
      </c>
      <c r="B8" s="395" t="s">
        <v>394</v>
      </c>
      <c r="C8" s="396" t="s">
        <v>27</v>
      </c>
      <c r="D8" s="397" t="s">
        <v>395</v>
      </c>
      <c r="E8" s="397" t="s">
        <v>19</v>
      </c>
      <c r="F8" s="398" t="s">
        <v>396</v>
      </c>
      <c r="G8" s="397">
        <f t="shared" si="2"/>
        <v>28</v>
      </c>
      <c r="H8" s="397" t="s">
        <v>397</v>
      </c>
      <c r="I8" s="397" t="s">
        <v>398</v>
      </c>
      <c r="J8" s="397" t="s">
        <v>399</v>
      </c>
      <c r="K8" s="397">
        <v>22.0</v>
      </c>
      <c r="L8" s="397" t="s">
        <v>41</v>
      </c>
      <c r="M8" s="396" t="s">
        <v>42</v>
      </c>
      <c r="N8" s="397"/>
      <c r="O8" s="399" t="s">
        <v>25</v>
      </c>
      <c r="P8" s="300"/>
    </row>
    <row r="9">
      <c r="A9" s="384"/>
      <c r="B9" s="400" t="s">
        <v>537</v>
      </c>
      <c r="C9" s="401" t="s">
        <v>538</v>
      </c>
      <c r="D9" s="402" t="s">
        <v>539</v>
      </c>
      <c r="E9" s="402" t="s">
        <v>37</v>
      </c>
      <c r="F9" s="402" t="s">
        <v>540</v>
      </c>
      <c r="G9" s="402">
        <f t="shared" si="2"/>
        <v>28</v>
      </c>
      <c r="H9" s="402" t="s">
        <v>88</v>
      </c>
      <c r="I9" s="402" t="s">
        <v>52</v>
      </c>
      <c r="J9" s="402" t="s">
        <v>541</v>
      </c>
      <c r="K9" s="402">
        <v>17.0</v>
      </c>
      <c r="L9" s="402" t="s">
        <v>41</v>
      </c>
      <c r="M9" s="401" t="s">
        <v>42</v>
      </c>
      <c r="N9" s="402" t="s">
        <v>126</v>
      </c>
      <c r="O9" s="403" t="s">
        <v>25</v>
      </c>
      <c r="P9" s="300"/>
    </row>
    <row r="10">
      <c r="A10" s="384"/>
      <c r="B10" s="400" t="s">
        <v>542</v>
      </c>
      <c r="C10" s="401" t="s">
        <v>75</v>
      </c>
      <c r="D10" s="402" t="s">
        <v>543</v>
      </c>
      <c r="E10" s="402" t="s">
        <v>19</v>
      </c>
      <c r="F10" s="402" t="s">
        <v>544</v>
      </c>
      <c r="G10" s="402">
        <f t="shared" si="2"/>
        <v>29</v>
      </c>
      <c r="H10" s="402" t="s">
        <v>124</v>
      </c>
      <c r="I10" s="402" t="s">
        <v>228</v>
      </c>
      <c r="J10" s="402" t="s">
        <v>90</v>
      </c>
      <c r="K10" s="402">
        <v>15.0</v>
      </c>
      <c r="L10" s="402" t="s">
        <v>41</v>
      </c>
      <c r="M10" s="401" t="s">
        <v>42</v>
      </c>
      <c r="N10" s="402" t="s">
        <v>213</v>
      </c>
      <c r="O10" s="403" t="s">
        <v>25</v>
      </c>
      <c r="P10" s="300"/>
    </row>
    <row r="11">
      <c r="A11" s="384"/>
      <c r="B11" s="400" t="s">
        <v>545</v>
      </c>
      <c r="C11" s="401" t="s">
        <v>538</v>
      </c>
      <c r="D11" s="402" t="s">
        <v>546</v>
      </c>
      <c r="E11" s="402" t="s">
        <v>19</v>
      </c>
      <c r="F11" s="402" t="s">
        <v>547</v>
      </c>
      <c r="G11" s="402">
        <f t="shared" si="2"/>
        <v>27</v>
      </c>
      <c r="H11" s="402" t="s">
        <v>39</v>
      </c>
      <c r="I11" s="402" t="s">
        <v>190</v>
      </c>
      <c r="J11" s="402"/>
      <c r="K11" s="402"/>
      <c r="L11" s="402"/>
      <c r="M11" s="401"/>
      <c r="N11" s="402"/>
      <c r="O11" s="403" t="s">
        <v>25</v>
      </c>
      <c r="P11" s="300"/>
    </row>
    <row r="12">
      <c r="A12" s="384"/>
      <c r="B12" s="400" t="s">
        <v>74</v>
      </c>
      <c r="C12" s="401" t="s">
        <v>75</v>
      </c>
      <c r="D12" s="402" t="s">
        <v>76</v>
      </c>
      <c r="E12" s="402" t="s">
        <v>19</v>
      </c>
      <c r="F12" s="402" t="s">
        <v>77</v>
      </c>
      <c r="G12" s="402">
        <f t="shared" si="2"/>
        <v>28</v>
      </c>
      <c r="H12" s="402" t="s">
        <v>78</v>
      </c>
      <c r="I12" s="402" t="s">
        <v>79</v>
      </c>
      <c r="J12" s="402"/>
      <c r="K12" s="402"/>
      <c r="L12" s="402"/>
      <c r="M12" s="401"/>
      <c r="N12" s="402"/>
      <c r="O12" s="403" t="s">
        <v>25</v>
      </c>
      <c r="P12" s="300"/>
    </row>
    <row r="13">
      <c r="A13" s="384"/>
      <c r="B13" s="400" t="s">
        <v>80</v>
      </c>
      <c r="C13" s="401" t="s">
        <v>17</v>
      </c>
      <c r="D13" s="402" t="s">
        <v>81</v>
      </c>
      <c r="E13" s="402" t="s">
        <v>19</v>
      </c>
      <c r="F13" s="402" t="s">
        <v>82</v>
      </c>
      <c r="G13" s="402">
        <f t="shared" si="2"/>
        <v>26</v>
      </c>
      <c r="H13" s="402" t="s">
        <v>30</v>
      </c>
      <c r="I13" s="402" t="s">
        <v>83</v>
      </c>
      <c r="J13" s="402"/>
      <c r="K13" s="402"/>
      <c r="L13" s="402"/>
      <c r="M13" s="401"/>
      <c r="N13" s="402"/>
      <c r="O13" s="403" t="s">
        <v>25</v>
      </c>
      <c r="P13" s="300"/>
    </row>
    <row r="14">
      <c r="A14" s="384"/>
      <c r="B14" s="400" t="s">
        <v>286</v>
      </c>
      <c r="C14" s="401" t="s">
        <v>17</v>
      </c>
      <c r="D14" s="402" t="s">
        <v>287</v>
      </c>
      <c r="E14" s="402" t="s">
        <v>37</v>
      </c>
      <c r="F14" s="402" t="s">
        <v>288</v>
      </c>
      <c r="G14" s="402">
        <f t="shared" si="2"/>
        <v>26</v>
      </c>
      <c r="H14" s="402" t="s">
        <v>269</v>
      </c>
      <c r="I14" s="402" t="s">
        <v>289</v>
      </c>
      <c r="J14" s="402"/>
      <c r="K14" s="402"/>
      <c r="L14" s="402"/>
      <c r="M14" s="401"/>
      <c r="N14" s="402"/>
      <c r="O14" s="403" t="s">
        <v>25</v>
      </c>
      <c r="P14" s="300"/>
    </row>
    <row r="15">
      <c r="A15" s="384"/>
      <c r="B15" s="400" t="s">
        <v>85</v>
      </c>
      <c r="C15" s="401" t="s">
        <v>17</v>
      </c>
      <c r="D15" s="402" t="s">
        <v>86</v>
      </c>
      <c r="E15" s="402" t="s">
        <v>19</v>
      </c>
      <c r="F15" s="402" t="s">
        <v>87</v>
      </c>
      <c r="G15" s="402">
        <f t="shared" si="2"/>
        <v>27</v>
      </c>
      <c r="H15" s="402" t="s">
        <v>88</v>
      </c>
      <c r="I15" s="402" t="s">
        <v>89</v>
      </c>
      <c r="J15" s="402"/>
      <c r="K15" s="402"/>
      <c r="L15" s="402"/>
      <c r="M15" s="401"/>
      <c r="N15" s="402"/>
      <c r="O15" s="403" t="s">
        <v>25</v>
      </c>
      <c r="P15" s="300"/>
    </row>
    <row r="16">
      <c r="A16" s="384"/>
      <c r="B16" s="400" t="s">
        <v>16</v>
      </c>
      <c r="C16" s="401" t="s">
        <v>17</v>
      </c>
      <c r="D16" s="402" t="s">
        <v>18</v>
      </c>
      <c r="E16" s="402" t="s">
        <v>19</v>
      </c>
      <c r="F16" s="402" t="s">
        <v>20</v>
      </c>
      <c r="G16" s="402">
        <f t="shared" si="2"/>
        <v>25</v>
      </c>
      <c r="H16" s="402" t="s">
        <v>21</v>
      </c>
      <c r="I16" s="402" t="s">
        <v>22</v>
      </c>
      <c r="J16" s="402"/>
      <c r="K16" s="402"/>
      <c r="L16" s="402"/>
      <c r="M16" s="401"/>
      <c r="N16" s="402"/>
      <c r="O16" s="403" t="s">
        <v>25</v>
      </c>
      <c r="P16" s="300"/>
    </row>
    <row r="17">
      <c r="A17" s="384"/>
      <c r="B17" s="400" t="s">
        <v>326</v>
      </c>
      <c r="C17" s="401" t="s">
        <v>17</v>
      </c>
      <c r="D17" s="402" t="s">
        <v>327</v>
      </c>
      <c r="E17" s="402" t="s">
        <v>37</v>
      </c>
      <c r="F17" s="402" t="s">
        <v>328</v>
      </c>
      <c r="G17" s="402">
        <f t="shared" si="2"/>
        <v>27</v>
      </c>
      <c r="H17" s="402" t="s">
        <v>329</v>
      </c>
      <c r="I17" s="402"/>
      <c r="J17" s="402"/>
      <c r="K17" s="402"/>
      <c r="L17" s="402"/>
      <c r="M17" s="401"/>
      <c r="N17" s="402"/>
      <c r="O17" s="403" t="s">
        <v>25</v>
      </c>
      <c r="P17" s="300"/>
    </row>
    <row r="18">
      <c r="A18" s="389"/>
      <c r="B18" s="404" t="s">
        <v>92</v>
      </c>
      <c r="C18" s="405" t="s">
        <v>17</v>
      </c>
      <c r="D18" s="406" t="s">
        <v>93</v>
      </c>
      <c r="E18" s="406" t="s">
        <v>37</v>
      </c>
      <c r="F18" s="406" t="s">
        <v>589</v>
      </c>
      <c r="G18" s="406">
        <f t="shared" si="2"/>
        <v>27</v>
      </c>
      <c r="H18" s="406" t="s">
        <v>78</v>
      </c>
      <c r="I18" s="406" t="s">
        <v>95</v>
      </c>
      <c r="J18" s="406" t="s">
        <v>96</v>
      </c>
      <c r="K18" s="406">
        <v>16.0</v>
      </c>
      <c r="L18" s="406" t="s">
        <v>23</v>
      </c>
      <c r="M18" s="405" t="s">
        <v>48</v>
      </c>
      <c r="N18" s="406" t="s">
        <v>73</v>
      </c>
      <c r="O18" s="407" t="s">
        <v>25</v>
      </c>
      <c r="P18" s="300"/>
    </row>
    <row r="19">
      <c r="A19" s="379" t="s">
        <v>590</v>
      </c>
      <c r="B19" s="408" t="s">
        <v>290</v>
      </c>
      <c r="C19" s="409" t="s">
        <v>98</v>
      </c>
      <c r="D19" s="410" t="s">
        <v>291</v>
      </c>
      <c r="E19" s="410" t="s">
        <v>19</v>
      </c>
      <c r="F19" s="410" t="s">
        <v>292</v>
      </c>
      <c r="G19" s="410">
        <f t="shared" si="2"/>
        <v>26</v>
      </c>
      <c r="H19" s="410" t="s">
        <v>131</v>
      </c>
      <c r="I19" s="410" t="s">
        <v>190</v>
      </c>
      <c r="J19" s="410" t="s">
        <v>293</v>
      </c>
      <c r="K19" s="410">
        <v>18.0</v>
      </c>
      <c r="L19" s="410" t="s">
        <v>41</v>
      </c>
      <c r="M19" s="409" t="s">
        <v>42</v>
      </c>
      <c r="N19" s="410" t="s">
        <v>198</v>
      </c>
      <c r="O19" s="411" t="s">
        <v>25</v>
      </c>
      <c r="P19" s="300"/>
    </row>
    <row r="20">
      <c r="A20" s="384"/>
      <c r="B20" s="412" t="s">
        <v>330</v>
      </c>
      <c r="C20" s="413" t="s">
        <v>98</v>
      </c>
      <c r="D20" s="414" t="s">
        <v>331</v>
      </c>
      <c r="E20" s="414" t="s">
        <v>19</v>
      </c>
      <c r="F20" s="414" t="s">
        <v>332</v>
      </c>
      <c r="G20" s="414">
        <f t="shared" si="2"/>
        <v>25</v>
      </c>
      <c r="H20" s="414" t="s">
        <v>137</v>
      </c>
      <c r="I20" s="414" t="s">
        <v>190</v>
      </c>
      <c r="J20" s="414" t="s">
        <v>333</v>
      </c>
      <c r="K20" s="414">
        <v>18.0</v>
      </c>
      <c r="L20" s="414" t="s">
        <v>41</v>
      </c>
      <c r="M20" s="413" t="s">
        <v>42</v>
      </c>
      <c r="N20" s="414" t="s">
        <v>198</v>
      </c>
      <c r="O20" s="415" t="s">
        <v>25</v>
      </c>
      <c r="P20" s="300"/>
    </row>
    <row r="21" ht="15.75" customHeight="1">
      <c r="A21" s="384"/>
      <c r="B21" s="412" t="s">
        <v>426</v>
      </c>
      <c r="C21" s="413" t="s">
        <v>98</v>
      </c>
      <c r="D21" s="414" t="s">
        <v>427</v>
      </c>
      <c r="E21" s="414" t="s">
        <v>19</v>
      </c>
      <c r="F21" s="414" t="s">
        <v>428</v>
      </c>
      <c r="G21" s="414">
        <f t="shared" si="2"/>
        <v>29</v>
      </c>
      <c r="H21" s="414" t="s">
        <v>196</v>
      </c>
      <c r="I21" s="414"/>
      <c r="J21" s="414"/>
      <c r="K21" s="414"/>
      <c r="L21" s="414"/>
      <c r="M21" s="413"/>
      <c r="N21" s="414"/>
      <c r="O21" s="415" t="s">
        <v>25</v>
      </c>
      <c r="P21" s="300"/>
    </row>
    <row r="22" ht="15.75" customHeight="1">
      <c r="A22" s="384"/>
      <c r="B22" s="412" t="s">
        <v>294</v>
      </c>
      <c r="C22" s="413" t="s">
        <v>98</v>
      </c>
      <c r="D22" s="414" t="s">
        <v>295</v>
      </c>
      <c r="E22" s="414" t="s">
        <v>19</v>
      </c>
      <c r="F22" s="414" t="s">
        <v>296</v>
      </c>
      <c r="G22" s="414">
        <f t="shared" si="2"/>
        <v>28</v>
      </c>
      <c r="H22" s="414" t="s">
        <v>56</v>
      </c>
      <c r="I22" s="414" t="s">
        <v>190</v>
      </c>
      <c r="J22" s="414" t="s">
        <v>297</v>
      </c>
      <c r="K22" s="414"/>
      <c r="L22" s="414" t="s">
        <v>41</v>
      </c>
      <c r="M22" s="413" t="s">
        <v>42</v>
      </c>
      <c r="N22" s="414" t="s">
        <v>272</v>
      </c>
      <c r="O22" s="415" t="s">
        <v>25</v>
      </c>
      <c r="P22" s="300"/>
    </row>
    <row r="23" ht="15.75" customHeight="1">
      <c r="A23" s="384"/>
      <c r="B23" s="412" t="s">
        <v>548</v>
      </c>
      <c r="C23" s="413" t="s">
        <v>98</v>
      </c>
      <c r="D23" s="414" t="s">
        <v>549</v>
      </c>
      <c r="E23" s="414" t="s">
        <v>19</v>
      </c>
      <c r="F23" s="414" t="s">
        <v>550</v>
      </c>
      <c r="G23" s="414">
        <f t="shared" si="2"/>
        <v>27</v>
      </c>
      <c r="H23" s="414" t="s">
        <v>56</v>
      </c>
      <c r="I23" s="414"/>
      <c r="J23" s="414"/>
      <c r="K23" s="414"/>
      <c r="L23" s="414"/>
      <c r="M23" s="413"/>
      <c r="N23" s="414"/>
      <c r="O23" s="415" t="s">
        <v>25</v>
      </c>
      <c r="P23" s="300"/>
    </row>
    <row r="24" ht="15.75" customHeight="1">
      <c r="A24" s="384"/>
      <c r="B24" s="412" t="s">
        <v>404</v>
      </c>
      <c r="C24" s="413" t="s">
        <v>98</v>
      </c>
      <c r="D24" s="414" t="s">
        <v>405</v>
      </c>
      <c r="E24" s="414" t="s">
        <v>37</v>
      </c>
      <c r="F24" s="414" t="s">
        <v>406</v>
      </c>
      <c r="G24" s="414">
        <v>24.0</v>
      </c>
      <c r="H24" s="414" t="s">
        <v>196</v>
      </c>
      <c r="I24" s="414"/>
      <c r="J24" s="414"/>
      <c r="K24" s="414"/>
      <c r="L24" s="414"/>
      <c r="M24" s="413"/>
      <c r="N24" s="414"/>
      <c r="O24" s="415" t="s">
        <v>25</v>
      </c>
      <c r="P24" s="300"/>
    </row>
    <row r="25" ht="15.75" customHeight="1">
      <c r="A25" s="384"/>
      <c r="B25" s="412" t="s">
        <v>298</v>
      </c>
      <c r="C25" s="413" t="s">
        <v>98</v>
      </c>
      <c r="D25" s="414" t="s">
        <v>299</v>
      </c>
      <c r="E25" s="414" t="s">
        <v>19</v>
      </c>
      <c r="F25" s="414" t="s">
        <v>300</v>
      </c>
      <c r="G25" s="414">
        <f t="shared" ref="G25:G27" si="3">124-VALUE(LEFT(F25,2))</f>
        <v>28</v>
      </c>
      <c r="H25" s="414" t="s">
        <v>217</v>
      </c>
      <c r="I25" s="414" t="s">
        <v>83</v>
      </c>
      <c r="J25" s="414" t="s">
        <v>207</v>
      </c>
      <c r="K25" s="414"/>
      <c r="L25" s="414" t="s">
        <v>41</v>
      </c>
      <c r="M25" s="413" t="s">
        <v>42</v>
      </c>
      <c r="N25" s="414" t="s">
        <v>301</v>
      </c>
      <c r="O25" s="415" t="s">
        <v>25</v>
      </c>
      <c r="P25" s="300"/>
    </row>
    <row r="26" ht="15.75" customHeight="1">
      <c r="A26" s="384"/>
      <c r="B26" s="412" t="s">
        <v>400</v>
      </c>
      <c r="C26" s="413" t="s">
        <v>98</v>
      </c>
      <c r="D26" s="414" t="s">
        <v>401</v>
      </c>
      <c r="E26" s="414" t="s">
        <v>37</v>
      </c>
      <c r="F26" s="414" t="s">
        <v>402</v>
      </c>
      <c r="G26" s="414">
        <f t="shared" si="3"/>
        <v>25</v>
      </c>
      <c r="H26" s="414" t="s">
        <v>189</v>
      </c>
      <c r="I26" s="414" t="s">
        <v>89</v>
      </c>
      <c r="J26" s="414" t="s">
        <v>403</v>
      </c>
      <c r="K26" s="414">
        <v>22.0</v>
      </c>
      <c r="L26" s="414" t="s">
        <v>23</v>
      </c>
      <c r="M26" s="413" t="s">
        <v>24</v>
      </c>
      <c r="N26" s="414" t="s">
        <v>33</v>
      </c>
      <c r="O26" s="415" t="s">
        <v>25</v>
      </c>
      <c r="P26" s="300"/>
    </row>
    <row r="27" ht="15.75" customHeight="1">
      <c r="A27" s="384"/>
      <c r="B27" s="412" t="s">
        <v>302</v>
      </c>
      <c r="C27" s="413" t="s">
        <v>98</v>
      </c>
      <c r="D27" s="414" t="s">
        <v>303</v>
      </c>
      <c r="E27" s="414" t="s">
        <v>19</v>
      </c>
      <c r="F27" s="414" t="s">
        <v>304</v>
      </c>
      <c r="G27" s="414">
        <f t="shared" si="3"/>
        <v>27</v>
      </c>
      <c r="H27" s="414" t="s">
        <v>117</v>
      </c>
      <c r="I27" s="414" t="s">
        <v>31</v>
      </c>
      <c r="J27" s="414" t="s">
        <v>305</v>
      </c>
      <c r="K27" s="414">
        <v>17.0</v>
      </c>
      <c r="L27" s="414" t="s">
        <v>208</v>
      </c>
      <c r="M27" s="413" t="s">
        <v>42</v>
      </c>
      <c r="N27" s="414" t="s">
        <v>91</v>
      </c>
      <c r="O27" s="415" t="s">
        <v>25</v>
      </c>
      <c r="P27" s="300"/>
    </row>
    <row r="28" ht="15.75" customHeight="1">
      <c r="A28" s="384"/>
      <c r="B28" s="412" t="s">
        <v>555</v>
      </c>
      <c r="C28" s="413" t="s">
        <v>98</v>
      </c>
      <c r="D28" s="414" t="s">
        <v>556</v>
      </c>
      <c r="E28" s="414" t="s">
        <v>37</v>
      </c>
      <c r="F28" s="414" t="s">
        <v>557</v>
      </c>
      <c r="G28" s="414">
        <v>24.0</v>
      </c>
      <c r="H28" s="414" t="s">
        <v>269</v>
      </c>
      <c r="I28" s="414" t="s">
        <v>57</v>
      </c>
      <c r="J28" s="414" t="s">
        <v>558</v>
      </c>
      <c r="K28" s="414">
        <v>19.0</v>
      </c>
      <c r="L28" s="414" t="s">
        <v>208</v>
      </c>
      <c r="M28" s="413" t="s">
        <v>42</v>
      </c>
      <c r="N28" s="414" t="s">
        <v>91</v>
      </c>
      <c r="O28" s="415" t="s">
        <v>25</v>
      </c>
      <c r="P28" s="300"/>
    </row>
    <row r="29" ht="15.75" customHeight="1">
      <c r="A29" s="384"/>
      <c r="B29" s="412" t="s">
        <v>559</v>
      </c>
      <c r="C29" s="413" t="s">
        <v>98</v>
      </c>
      <c r="D29" s="414" t="s">
        <v>560</v>
      </c>
      <c r="E29" s="414" t="s">
        <v>37</v>
      </c>
      <c r="F29" s="414" t="s">
        <v>561</v>
      </c>
      <c r="G29" s="414">
        <v>24.0</v>
      </c>
      <c r="H29" s="414" t="s">
        <v>71</v>
      </c>
      <c r="I29" s="414"/>
      <c r="J29" s="414"/>
      <c r="K29" s="414"/>
      <c r="L29" s="414"/>
      <c r="M29" s="413"/>
      <c r="N29" s="414"/>
      <c r="O29" s="415" t="s">
        <v>25</v>
      </c>
      <c r="P29" s="300"/>
    </row>
    <row r="30" ht="15.75" customHeight="1">
      <c r="A30" s="384"/>
      <c r="B30" s="412" t="s">
        <v>569</v>
      </c>
      <c r="C30" s="413" t="s">
        <v>98</v>
      </c>
      <c r="D30" s="414" t="s">
        <v>570</v>
      </c>
      <c r="E30" s="414" t="s">
        <v>37</v>
      </c>
      <c r="F30" s="414" t="s">
        <v>571</v>
      </c>
      <c r="G30" s="414">
        <f t="shared" ref="G30:G31" si="4">124-VALUE(LEFT(F30,2))</f>
        <v>26</v>
      </c>
      <c r="H30" s="414" t="s">
        <v>56</v>
      </c>
      <c r="I30" s="414" t="s">
        <v>190</v>
      </c>
      <c r="J30" s="414" t="s">
        <v>572</v>
      </c>
      <c r="K30" s="414">
        <v>18.0</v>
      </c>
      <c r="L30" s="414" t="s">
        <v>533</v>
      </c>
      <c r="M30" s="413" t="s">
        <v>573</v>
      </c>
      <c r="N30" s="414" t="s">
        <v>73</v>
      </c>
      <c r="O30" s="415" t="s">
        <v>25</v>
      </c>
      <c r="P30" s="300"/>
    </row>
    <row r="31" ht="15.75" customHeight="1">
      <c r="A31" s="384"/>
      <c r="B31" s="412" t="s">
        <v>562</v>
      </c>
      <c r="C31" s="413" t="s">
        <v>98</v>
      </c>
      <c r="D31" s="414" t="s">
        <v>563</v>
      </c>
      <c r="E31" s="414" t="s">
        <v>37</v>
      </c>
      <c r="F31" s="414" t="s">
        <v>564</v>
      </c>
      <c r="G31" s="414">
        <f t="shared" si="4"/>
        <v>25</v>
      </c>
      <c r="H31" s="414" t="s">
        <v>124</v>
      </c>
      <c r="I31" s="414" t="s">
        <v>89</v>
      </c>
      <c r="J31" s="414" t="s">
        <v>565</v>
      </c>
      <c r="K31" s="414">
        <v>20.0</v>
      </c>
      <c r="L31" s="414" t="s">
        <v>41</v>
      </c>
      <c r="M31" s="413" t="s">
        <v>42</v>
      </c>
      <c r="N31" s="414" t="s">
        <v>126</v>
      </c>
      <c r="O31" s="415" t="s">
        <v>25</v>
      </c>
      <c r="P31" s="300"/>
    </row>
    <row r="32" ht="15.75" customHeight="1">
      <c r="A32" s="384"/>
      <c r="B32" s="412" t="s">
        <v>97</v>
      </c>
      <c r="C32" s="413" t="s">
        <v>98</v>
      </c>
      <c r="D32" s="414" t="s">
        <v>99</v>
      </c>
      <c r="E32" s="414" t="s">
        <v>19</v>
      </c>
      <c r="F32" s="414" t="s">
        <v>100</v>
      </c>
      <c r="G32" s="414">
        <v>24.0</v>
      </c>
      <c r="H32" s="414" t="s">
        <v>101</v>
      </c>
      <c r="I32" s="414" t="s">
        <v>31</v>
      </c>
      <c r="J32" s="414" t="s">
        <v>102</v>
      </c>
      <c r="K32" s="414">
        <v>19.0</v>
      </c>
      <c r="L32" s="414" t="s">
        <v>41</v>
      </c>
      <c r="M32" s="413" t="s">
        <v>42</v>
      </c>
      <c r="N32" s="414" t="s">
        <v>73</v>
      </c>
      <c r="O32" s="415" t="s">
        <v>25</v>
      </c>
      <c r="P32" s="300"/>
    </row>
    <row r="33" ht="15.75" customHeight="1">
      <c r="A33" s="384"/>
      <c r="B33" s="412" t="s">
        <v>566</v>
      </c>
      <c r="C33" s="413" t="s">
        <v>98</v>
      </c>
      <c r="D33" s="414" t="s">
        <v>567</v>
      </c>
      <c r="E33" s="414" t="s">
        <v>19</v>
      </c>
      <c r="F33" s="414" t="s">
        <v>568</v>
      </c>
      <c r="G33" s="414">
        <v>24.0</v>
      </c>
      <c r="H33" s="414" t="s">
        <v>39</v>
      </c>
      <c r="I33" s="414"/>
      <c r="J33" s="414"/>
      <c r="K33" s="414"/>
      <c r="L33" s="414"/>
      <c r="M33" s="413"/>
      <c r="N33" s="414"/>
      <c r="O33" s="415" t="s">
        <v>25</v>
      </c>
      <c r="P33" s="300"/>
    </row>
    <row r="34" ht="15.75" customHeight="1">
      <c r="A34" s="384"/>
      <c r="B34" s="412" t="s">
        <v>103</v>
      </c>
      <c r="C34" s="413" t="s">
        <v>98</v>
      </c>
      <c r="D34" s="414" t="s">
        <v>104</v>
      </c>
      <c r="E34" s="414" t="s">
        <v>19</v>
      </c>
      <c r="F34" s="414" t="s">
        <v>105</v>
      </c>
      <c r="G34" s="414">
        <f t="shared" ref="G34:G37" si="5">124-VALUE(LEFT(F34,2))</f>
        <v>27</v>
      </c>
      <c r="H34" s="414" t="s">
        <v>56</v>
      </c>
      <c r="I34" s="414" t="s">
        <v>79</v>
      </c>
      <c r="J34" s="414" t="s">
        <v>591</v>
      </c>
      <c r="K34" s="414">
        <v>19.0</v>
      </c>
      <c r="L34" s="414" t="s">
        <v>41</v>
      </c>
      <c r="M34" s="413" t="s">
        <v>42</v>
      </c>
      <c r="N34" s="414" t="s">
        <v>107</v>
      </c>
      <c r="O34" s="415" t="s">
        <v>25</v>
      </c>
      <c r="P34" s="300"/>
    </row>
    <row r="35" ht="15.75" customHeight="1">
      <c r="A35" s="384"/>
      <c r="B35" s="412" t="s">
        <v>574</v>
      </c>
      <c r="C35" s="413" t="s">
        <v>98</v>
      </c>
      <c r="D35" s="414" t="s">
        <v>575</v>
      </c>
      <c r="E35" s="414" t="s">
        <v>19</v>
      </c>
      <c r="F35" s="414" t="s">
        <v>576</v>
      </c>
      <c r="G35" s="414">
        <f t="shared" si="5"/>
        <v>28</v>
      </c>
      <c r="H35" s="414" t="s">
        <v>441</v>
      </c>
      <c r="I35" s="414" t="s">
        <v>57</v>
      </c>
      <c r="J35" s="414" t="s">
        <v>577</v>
      </c>
      <c r="K35" s="414">
        <v>18.0</v>
      </c>
      <c r="L35" s="414" t="s">
        <v>23</v>
      </c>
      <c r="M35" s="413" t="s">
        <v>578</v>
      </c>
      <c r="N35" s="414" t="s">
        <v>579</v>
      </c>
      <c r="O35" s="415" t="s">
        <v>25</v>
      </c>
      <c r="P35" s="300"/>
    </row>
    <row r="36" ht="15.75" customHeight="1">
      <c r="A36" s="384"/>
      <c r="B36" s="412" t="s">
        <v>551</v>
      </c>
      <c r="C36" s="413" t="s">
        <v>98</v>
      </c>
      <c r="D36" s="414" t="s">
        <v>552</v>
      </c>
      <c r="E36" s="414" t="s">
        <v>37</v>
      </c>
      <c r="F36" s="414" t="s">
        <v>553</v>
      </c>
      <c r="G36" s="414">
        <f t="shared" si="5"/>
        <v>27</v>
      </c>
      <c r="H36" s="414" t="s">
        <v>39</v>
      </c>
      <c r="I36" s="414" t="s">
        <v>57</v>
      </c>
      <c r="J36" s="414" t="s">
        <v>554</v>
      </c>
      <c r="K36" s="414">
        <v>18.0</v>
      </c>
      <c r="L36" s="414" t="s">
        <v>41</v>
      </c>
      <c r="M36" s="413" t="s">
        <v>42</v>
      </c>
      <c r="N36" s="414" t="s">
        <v>213</v>
      </c>
      <c r="O36" s="415" t="s">
        <v>25</v>
      </c>
      <c r="P36" s="300"/>
    </row>
    <row r="37" ht="15.75" customHeight="1">
      <c r="A37" s="384"/>
      <c r="B37" s="412" t="s">
        <v>580</v>
      </c>
      <c r="C37" s="413" t="s">
        <v>98</v>
      </c>
      <c r="D37" s="414" t="s">
        <v>581</v>
      </c>
      <c r="E37" s="414" t="s">
        <v>37</v>
      </c>
      <c r="F37" s="414" t="s">
        <v>582</v>
      </c>
      <c r="G37" s="414">
        <f t="shared" si="5"/>
        <v>27</v>
      </c>
      <c r="H37" s="414" t="s">
        <v>441</v>
      </c>
      <c r="I37" s="414" t="s">
        <v>57</v>
      </c>
      <c r="J37" s="414" t="s">
        <v>177</v>
      </c>
      <c r="K37" s="414">
        <v>18.0</v>
      </c>
      <c r="L37" s="414" t="s">
        <v>41</v>
      </c>
      <c r="M37" s="413" t="s">
        <v>42</v>
      </c>
      <c r="N37" s="414" t="s">
        <v>583</v>
      </c>
      <c r="O37" s="415" t="s">
        <v>25</v>
      </c>
      <c r="P37" s="300"/>
    </row>
    <row r="38" ht="15.75" customHeight="1">
      <c r="A38" s="389"/>
      <c r="B38" s="416" t="s">
        <v>334</v>
      </c>
      <c r="C38" s="417" t="s">
        <v>98</v>
      </c>
      <c r="D38" s="418" t="s">
        <v>335</v>
      </c>
      <c r="E38" s="418" t="s">
        <v>37</v>
      </c>
      <c r="F38" s="418" t="s">
        <v>336</v>
      </c>
      <c r="G38" s="418">
        <v>23.0</v>
      </c>
      <c r="H38" s="418" t="s">
        <v>71</v>
      </c>
      <c r="I38" s="418" t="s">
        <v>337</v>
      </c>
      <c r="J38" s="418" t="s">
        <v>182</v>
      </c>
      <c r="K38" s="418">
        <v>21.0</v>
      </c>
      <c r="L38" s="418" t="s">
        <v>41</v>
      </c>
      <c r="M38" s="417" t="s">
        <v>42</v>
      </c>
      <c r="N38" s="418"/>
      <c r="O38" s="419" t="s">
        <v>25</v>
      </c>
      <c r="P38" s="320"/>
    </row>
    <row r="39" ht="15.75" customHeight="1">
      <c r="P39" s="94"/>
    </row>
    <row r="40" ht="15.75" customHeight="1">
      <c r="P40" s="317"/>
    </row>
    <row r="41" ht="15.75" customHeight="1">
      <c r="P41" s="94"/>
    </row>
    <row r="42" ht="15.75" customHeight="1">
      <c r="P42" s="94"/>
    </row>
    <row r="43" ht="15.75" customHeight="1">
      <c r="P43" s="94"/>
    </row>
    <row r="44" ht="15.75" customHeight="1">
      <c r="P44" s="94"/>
    </row>
    <row r="45" ht="15.75" customHeight="1">
      <c r="P45" s="94"/>
    </row>
    <row r="46" ht="15.75" customHeight="1">
      <c r="P46" s="94"/>
    </row>
    <row r="47" ht="15.75" customHeight="1">
      <c r="P47" s="94"/>
    </row>
    <row r="48" ht="15.75" customHeight="1">
      <c r="P48" s="94"/>
    </row>
    <row r="49" ht="15.75" customHeight="1">
      <c r="P49" s="94"/>
    </row>
    <row r="50" ht="15.75" customHeight="1">
      <c r="P50" s="94"/>
    </row>
    <row r="51" ht="15.75" customHeight="1">
      <c r="P51" s="94"/>
    </row>
    <row r="52" ht="15.75" customHeight="1">
      <c r="P52" s="94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7"/>
    <mergeCell ref="P2:P38"/>
    <mergeCell ref="A8:A18"/>
    <mergeCell ref="A19:A3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2023-01-01T08:14:10Z</dcterms:created>
  <dc:creator>이진진</dc:creator>
</cp:coreProperties>
</file>