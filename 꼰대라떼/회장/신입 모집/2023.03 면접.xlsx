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진진(회장)\신입 모집\"/>
    </mc:Choice>
  </mc:AlternateContent>
  <xr:revisionPtr revIDLastSave="0" documentId="13_ncr:1_{773FC547-4837-4AE5-AC47-D4B3E766B5BF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지원서 평가" sheetId="22" r:id="rId1"/>
    <sheet name="면접 시간표" sheetId="2" r:id="rId2"/>
    <sheet name="유의사항" sheetId="1" r:id="rId3"/>
    <sheet name="예시" sheetId="21" r:id="rId4"/>
    <sheet name="점수총합" sheetId="20" r:id="rId5"/>
    <sheet name="1240~1300" sheetId="3" r:id="rId6"/>
    <sheet name="1300~1320" sheetId="4" r:id="rId7"/>
    <sheet name="1320~1340" sheetId="5" r:id="rId8"/>
    <sheet name="1340~1400" sheetId="6" r:id="rId9"/>
    <sheet name="1400~1420" sheetId="7" r:id="rId10"/>
    <sheet name="1420~1440" sheetId="8" r:id="rId11"/>
    <sheet name="1440~1500" sheetId="9" r:id="rId12"/>
    <sheet name="1500~1520" sheetId="10" r:id="rId13"/>
    <sheet name="1540~1600" sheetId="11" r:id="rId14"/>
    <sheet name="1600~1620" sheetId="12" r:id="rId15"/>
    <sheet name="1620~1640" sheetId="13" r:id="rId16"/>
    <sheet name="1700~1720" sheetId="14" r:id="rId17"/>
    <sheet name="1720~1740" sheetId="15" r:id="rId18"/>
    <sheet name="1740~1800" sheetId="16" r:id="rId19"/>
    <sheet name="320 1800" sheetId="17" r:id="rId20"/>
    <sheet name="320 1900" sheetId="18" r:id="rId21"/>
    <sheet name="1810~1830" sheetId="1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4" roundtripDataSignature="AMtx7mjvLon/RhnmlUN2o606ICpUDW/4Vg=="/>
    </ext>
  </extLst>
</workbook>
</file>

<file path=xl/calcChain.xml><?xml version="1.0" encoding="utf-8"?>
<calcChain xmlns="http://schemas.openxmlformats.org/spreadsheetml/2006/main">
  <c r="J9" i="20" l="1"/>
  <c r="K9" i="20"/>
  <c r="I9" i="20"/>
  <c r="K8" i="20"/>
  <c r="K7" i="20"/>
  <c r="L4" i="20"/>
  <c r="L3" i="20"/>
  <c r="I9" i="22"/>
  <c r="I10" i="22"/>
  <c r="I11" i="22"/>
  <c r="I12" i="22"/>
  <c r="I13" i="22"/>
  <c r="K94" i="22" s="1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K87" i="22"/>
  <c r="K91" i="22"/>
  <c r="G127" i="21" l="1"/>
  <c r="G125" i="21"/>
  <c r="AJ26" i="20" a="1"/>
  <c r="AJ26" i="20" s="1"/>
  <c r="AI26" i="20" a="1"/>
  <c r="AI26" i="20" s="1"/>
  <c r="AJ25" i="20" a="1"/>
  <c r="AJ25" i="20" s="1"/>
  <c r="AI25" i="20" a="1"/>
  <c r="AI25" i="20" s="1"/>
  <c r="AJ24" i="20" a="1"/>
  <c r="AJ24" i="20" s="1"/>
  <c r="AI24" i="20" a="1"/>
  <c r="AI24" i="20" s="1"/>
  <c r="AJ23" i="20" a="1"/>
  <c r="AJ23" i="20" s="1"/>
  <c r="AI23" i="20" a="1"/>
  <c r="AI23" i="20" s="1"/>
  <c r="AJ22" i="20" a="1"/>
  <c r="AJ22" i="20" s="1"/>
  <c r="AI22" i="20" a="1"/>
  <c r="AI22" i="20" s="1"/>
  <c r="AJ21" i="20" a="1"/>
  <c r="AJ21" i="20" s="1"/>
  <c r="AI21" i="20" a="1"/>
  <c r="AI21" i="20" s="1"/>
  <c r="AJ20" i="20" a="1"/>
  <c r="AJ20" i="20" s="1"/>
  <c r="AI20" i="20" a="1"/>
  <c r="AI20" i="20" s="1"/>
  <c r="AJ19" i="20" a="1"/>
  <c r="AJ19" i="20" s="1"/>
  <c r="AI19" i="20" a="1"/>
  <c r="AI19" i="20"/>
  <c r="AJ18" i="20" a="1"/>
  <c r="AJ18" i="20" s="1"/>
  <c r="AI18" i="20" a="1"/>
  <c r="AI18" i="20" s="1"/>
  <c r="AJ17" i="20" a="1"/>
  <c r="AJ17" i="20" s="1"/>
  <c r="AI17" i="20" a="1"/>
  <c r="AI17" i="20" s="1"/>
  <c r="AJ16" i="20" a="1"/>
  <c r="AJ16" i="20" s="1"/>
  <c r="AI16" i="20" a="1"/>
  <c r="AI16" i="20" s="1"/>
  <c r="AJ15" i="20" a="1"/>
  <c r="AJ15" i="20" s="1"/>
  <c r="AI15" i="20" a="1"/>
  <c r="AI15" i="20"/>
  <c r="AJ12" i="20"/>
  <c r="AI12" i="20"/>
  <c r="AJ11" i="20" a="1"/>
  <c r="AJ11" i="20" s="1"/>
  <c r="AI11" i="20" a="1"/>
  <c r="AI11" i="20" s="1"/>
  <c r="AJ10" i="20" a="1"/>
  <c r="AJ10" i="20" s="1"/>
  <c r="AI10" i="20" a="1"/>
  <c r="AI10" i="20" s="1"/>
  <c r="AJ9" i="20" a="1"/>
  <c r="AJ9" i="20" s="1"/>
  <c r="AI9" i="20" a="1"/>
  <c r="AI9" i="20" s="1"/>
  <c r="AJ8" i="20" a="1"/>
  <c r="AJ8" i="20" s="1"/>
  <c r="AI8" i="20" a="1"/>
  <c r="AI8" i="20"/>
  <c r="AJ7" i="20" a="1"/>
  <c r="AJ7" i="20" s="1"/>
  <c r="AI7" i="20" a="1"/>
  <c r="AI7" i="20" s="1"/>
  <c r="AJ6" i="20" a="1"/>
  <c r="AJ6" i="20"/>
  <c r="AI6" i="20" a="1"/>
  <c r="AI6" i="20"/>
  <c r="AJ5" i="20" a="1"/>
  <c r="AJ5" i="20" s="1"/>
  <c r="AJ4" i="20" a="1"/>
  <c r="AJ4" i="20" s="1"/>
  <c r="G127" i="19"/>
  <c r="G125" i="19"/>
  <c r="G127" i="18"/>
  <c r="G125" i="18"/>
  <c r="G127" i="17"/>
  <c r="G125" i="17"/>
  <c r="G127" i="16"/>
  <c r="G125" i="16"/>
  <c r="G127" i="15"/>
  <c r="G125" i="15"/>
  <c r="G127" i="14"/>
  <c r="G125" i="14"/>
  <c r="G127" i="13"/>
  <c r="G125" i="13"/>
  <c r="G127" i="12"/>
  <c r="G125" i="12"/>
  <c r="G127" i="11"/>
  <c r="G125" i="11"/>
  <c r="G127" i="10"/>
  <c r="G125" i="10"/>
  <c r="G127" i="9"/>
  <c r="G125" i="9"/>
  <c r="G127" i="8"/>
  <c r="G125" i="8"/>
  <c r="G127" i="7"/>
  <c r="G125" i="7"/>
  <c r="G127" i="6"/>
  <c r="G125" i="6"/>
  <c r="G127" i="5"/>
  <c r="G125" i="5"/>
  <c r="G127" i="4"/>
  <c r="G125" i="4"/>
  <c r="G127" i="3"/>
  <c r="G125" i="3"/>
</calcChain>
</file>

<file path=xl/sharedStrings.xml><?xml version="1.0" encoding="utf-8"?>
<sst xmlns="http://schemas.openxmlformats.org/spreadsheetml/2006/main" count="2433" uniqueCount="736">
  <si>
    <t>면접관</t>
  </si>
  <si>
    <t>홍석범</t>
  </si>
  <si>
    <t>백다은</t>
  </si>
  <si>
    <t>이규엽</t>
  </si>
  <si>
    <t>도우미</t>
  </si>
  <si>
    <t>이진진</t>
  </si>
  <si>
    <t>오소현</t>
  </si>
  <si>
    <t>스케줄표</t>
  </si>
  <si>
    <t>확정</t>
  </si>
  <si>
    <t>회신 대기</t>
  </si>
  <si>
    <t>기권</t>
  </si>
  <si>
    <t>신입회원</t>
  </si>
  <si>
    <t>면접 대상자</t>
  </si>
  <si>
    <t>날짜조율</t>
  </si>
  <si>
    <t>비대면</t>
  </si>
  <si>
    <t>합계</t>
  </si>
  <si>
    <t>3/19</t>
  </si>
  <si>
    <t>12:40~13:00</t>
  </si>
  <si>
    <t>장재연</t>
  </si>
  <si>
    <t>남</t>
  </si>
  <si>
    <t>&lt;면접 시 유의사항&gt;</t>
  </si>
  <si>
    <t>13:00~13:20</t>
  </si>
  <si>
    <t>박도연</t>
  </si>
  <si>
    <t>박성환</t>
  </si>
  <si>
    <t>여</t>
  </si>
  <si>
    <t xml:space="preserve"> ① 면접자의 답변에 적절한 호응을 해주며 너무 질의 응답만 이어지지 않게 유의</t>
  </si>
  <si>
    <t>13:20~13:40</t>
  </si>
  <si>
    <t>김세미</t>
  </si>
  <si>
    <t>권형민</t>
  </si>
  <si>
    <t xml:space="preserve"> ② 면접관 및 동아리 회원들의 신상정보 공개 금지 (이름, 직책, 나이, 출신학교 등)</t>
  </si>
  <si>
    <t>13:40~14:00</t>
  </si>
  <si>
    <t>임예지</t>
  </si>
  <si>
    <t>홍정우</t>
  </si>
  <si>
    <t>기존회원</t>
  </si>
  <si>
    <t>활동회원</t>
  </si>
  <si>
    <t>모집인원</t>
  </si>
  <si>
    <t>총합</t>
  </si>
  <si>
    <t xml:space="preserve"> ③ 여성 지원자들은 대부분 합격이다 등의 말들은 언급 금지 </t>
  </si>
  <si>
    <t>14:00~14:20</t>
  </si>
  <si>
    <t>김준용</t>
  </si>
  <si>
    <t>이은진</t>
  </si>
  <si>
    <t xml:space="preserve">     (남성 지원자에 비해 경쟁률은 낮지만 서류 탈락자도 있으며, 면접 이후 최종 불합격이 될 수 있음을 명시)</t>
  </si>
  <si>
    <t>14:20~14:40</t>
  </si>
  <si>
    <t>추승연</t>
  </si>
  <si>
    <t>문성현</t>
  </si>
  <si>
    <t>김채현</t>
  </si>
  <si>
    <t xml:space="preserve"> ④ 작성된 내용과 다른 점은 없는지 체크하면서 듣기 (복붙충 검거 목적)</t>
  </si>
  <si>
    <t>14:40~15:00</t>
  </si>
  <si>
    <t>박가연</t>
  </si>
  <si>
    <t>배환규</t>
  </si>
  <si>
    <t xml:space="preserve"> ⑤ 면접 마무리시에, 합격임을 암시하는 말들 언급 금지 (오리엔테이션 때 뵙겠습니다 등)</t>
  </si>
  <si>
    <t>15:00~15:20</t>
  </si>
  <si>
    <t>이향리</t>
  </si>
  <si>
    <t>이유곤</t>
  </si>
  <si>
    <t xml:space="preserve"> ⑥ 면접 대상자가 시야에서 사라지기 전까지는 면접 소감 언급 금지</t>
  </si>
  <si>
    <t>15:20~15:40</t>
  </si>
  <si>
    <t>양진영</t>
  </si>
  <si>
    <t>김솔비</t>
  </si>
  <si>
    <t>15:40~16:00</t>
  </si>
  <si>
    <t>명수민</t>
  </si>
  <si>
    <t>김량희</t>
  </si>
  <si>
    <t xml:space="preserve"> 1. 면접자 도착 전</t>
  </si>
  <si>
    <t>16:00~16:20</t>
  </si>
  <si>
    <t>장유화</t>
  </si>
  <si>
    <t>홍혜빈</t>
  </si>
  <si>
    <t xml:space="preserve"> - 해당 지원자의 지원서 반드시 다시 한 번 읽기</t>
  </si>
  <si>
    <t>16:20~16:40</t>
  </si>
  <si>
    <t>이지현</t>
  </si>
  <si>
    <t>오재민</t>
  </si>
  <si>
    <t xml:space="preserve"> - 지원서 내용 중 (양식 외에)추가로 질문할 것들 미리 상의해두기</t>
  </si>
  <si>
    <t>16:40~17:00</t>
  </si>
  <si>
    <t>한명선</t>
  </si>
  <si>
    <t>김정호</t>
  </si>
  <si>
    <t>17:00~17:20</t>
  </si>
  <si>
    <t>정하영</t>
  </si>
  <si>
    <t>곽지영</t>
  </si>
  <si>
    <t xml:space="preserve"> 2. 면접자 도착시</t>
  </si>
  <si>
    <t>17:20~17:40</t>
  </si>
  <si>
    <t>김보라</t>
  </si>
  <si>
    <t>권제인</t>
  </si>
  <si>
    <t xml:space="preserve"> - 친절하게 맞이해주고 준비하는 동안 가벼운 안부로 긴장 풀어주기</t>
  </si>
  <si>
    <t>17:40~18:00</t>
  </si>
  <si>
    <t>이동엽</t>
  </si>
  <si>
    <t xml:space="preserve"> - 동아리에 대해 간략히 소개한 후 면접 목적 및 공지사항에 대한 안내하기</t>
  </si>
  <si>
    <t>18:10~18:30</t>
  </si>
  <si>
    <t>이지원</t>
  </si>
  <si>
    <t xml:space="preserve"> 면접 시작 멘트 예시</t>
  </si>
  <si>
    <t>3/20</t>
  </si>
  <si>
    <t>18:00~18:20</t>
  </si>
  <si>
    <t>신혜원</t>
  </si>
  <si>
    <t xml:space="preserve"> 안녕하십니까. 저희는 20대 중후반을 위한 연합친목 동아리 꼰대라떼 입니다. 귀한 시간 내주셔서 감사드립니다.</t>
  </si>
  <si>
    <t>19:00~19:20</t>
  </si>
  <si>
    <t>김지우</t>
  </si>
  <si>
    <t>송정민</t>
  </si>
  <si>
    <t xml:space="preserve"> 오늘 이 자리를 마련한 이유는 ○○○님이 저희 단체의 일원이 되기 전의 마지막 준비 단계이기도 한만큼 동아리에</t>
  </si>
  <si>
    <t>이다영</t>
  </si>
  <si>
    <t>서보성</t>
  </si>
  <si>
    <t xml:space="preserve"> 대해 간단히 소개해드린 후에, 직접 대화를 통해 어떤 분인지 더 알고싶어서 준비하게 되었습니다. 그러니 부담갖지</t>
  </si>
  <si>
    <t xml:space="preserve"> 말고 편하게 답변해주시면 되겠습니다. (지원자가 많아 한 타임에 두 분이서 함께 면접이 진행되는 점 양해 부탁드립니다.)</t>
  </si>
  <si>
    <t xml:space="preserve"> 동아리 간략 소개 내용</t>
  </si>
  <si>
    <t xml:space="preserve"> • 어떤 활동을 하는지 예를 들며 소개 </t>
  </si>
  <si>
    <t xml:space="preserve"> • 매주 금요일 토요일 오후에 번갈아가면서 모임이 진행된다는 점 안내</t>
  </si>
  <si>
    <t xml:space="preserve"> • 모임 장소는 대부분 수도권 내 이며, 참여회원의 거주지에 따라 모임 지역이 유동적이라는 점 안내</t>
  </si>
  <si>
    <t xml:space="preserve"> • 정기모임뿐만 아니라 회원이 주최할 수 있는 번개도 참여할 수 있다는 점 안내</t>
  </si>
  <si>
    <t>3. 면접 진행 시 (질문 내용은 다음 시트에 첨부)</t>
  </si>
  <si>
    <t xml:space="preserve"> - 지원서 참고하여 듣기</t>
  </si>
  <si>
    <t xml:space="preserve"> - 특이사항 타이핑</t>
  </si>
  <si>
    <t xml:space="preserve"> 4. 질문 답변 시 참고사항 (회원들의 신상 및 동아리 상세 규정 등의 민감한 질문들은 답변 피하기)</t>
  </si>
  <si>
    <t xml:space="preserve"> Q. 주 활동 지역이 어디인가요?</t>
  </si>
  <si>
    <t xml:space="preserve"> A. 활동지역은 주로 수도권 내에서 진행될 예정. 하지만 활동유형 및 내용에 따라 변경될 수 있음. (MT, 여행 등)</t>
  </si>
  <si>
    <t xml:space="preserve"> Q. 활동 기간은 언제까지인가요?</t>
  </si>
  <si>
    <t xml:space="preserve"> A. 이번 기수 활동 기간은 2월말까지. 이후에 활동연장, 휴면 및 탈퇴 선택.</t>
  </si>
  <si>
    <t xml:space="preserve"> Q. 회비는 얼마인가요?</t>
  </si>
  <si>
    <t xml:space="preserve"> A. 회비는 가입비 20,000원과 활동보증금 10,000원을 합쳐 총 30,000원. </t>
  </si>
  <si>
    <t xml:space="preserve">     보증금은 정해진 참여점수 달성시에 반환되며 사용되지 않고 남은 전체 회비는 기수 종료 시에 균등하게 분배됨.</t>
  </si>
  <si>
    <t xml:space="preserve"> Q. 동아리 인원은 어느정도 되나요?</t>
  </si>
  <si>
    <t xml:space="preserve"> A. 현재 활동인원은 20명 내외이며 최대 40명까지 유지할 예정.</t>
  </si>
  <si>
    <t xml:space="preserve"> Q. 지원자 수는 얼마나 되나요?</t>
  </si>
  <si>
    <t xml:space="preserve"> A. 지원자는 총 50명 가까이 되고 오늘 면접 대상자는 30명 정도.</t>
  </si>
  <si>
    <t xml:space="preserve"> Q. 경쟁률은 얼마나 되나요?</t>
  </si>
  <si>
    <t xml:space="preserve"> A. 결원을 반드시 가득 채워서 선발하지는 않기 때문에 절대적인 수치로 안내드리긴 어려움. </t>
  </si>
  <si>
    <t xml:space="preserve">    지원자들의 역량에 따라 상대적으로 결정됨.</t>
  </si>
  <si>
    <t xml:space="preserve"> Q. 여자와 남자 지원자 수, 경쟁률?</t>
  </si>
  <si>
    <t xml:space="preserve"> A. 남자는 40명 이상, 여자는 20명 이상 지원. </t>
  </si>
  <si>
    <t xml:space="preserve">     여성은 남성 지원자에 비해 경쟁률은 낮지만 서류 탈락자도 있으며, 면접 이후 최종 불합격이 될 수 있음.</t>
  </si>
  <si>
    <t xml:space="preserve"> Q. 성비는 어떻게 되나요?</t>
  </si>
  <si>
    <t xml:space="preserve"> A. 현재는 남자가 조금 더 많은 정도이지만 이번 모집을 통해 1대 1에 가깝게 맞출 예정.</t>
  </si>
  <si>
    <t xml:space="preserve"> Q. 면접 선발 기준이 따로 있나요?</t>
  </si>
  <si>
    <t xml:space="preserve"> A. 정해둔 기준이 있으며 이에 따라 점수가 합산되어 결정. 형평성을 위해 상세한 안내는 어려움.</t>
  </si>
  <si>
    <t xml:space="preserve"> Q. 면접 점수 비중은 어떻게 결정되나요?</t>
  </si>
  <si>
    <t xml:space="preserve"> A. 지원서 30% + 면접 70% 로 결정될 예정.</t>
  </si>
  <si>
    <t xml:space="preserve"> 5. 마무리</t>
  </si>
  <si>
    <t xml:space="preserve"> 내일(월요일) 중으로 합격여부 통지.</t>
  </si>
  <si>
    <t xml:space="preserve"> 최종합격이 될 시에 문자메시지로 보내드리는 동아리 계좌로 회비 30,000원을 입금해야 단체 카톡방에 초대됨.</t>
  </si>
  <si>
    <t xml:space="preserve"> (활동비 20,000원 + 활동보증금 10,000원)</t>
  </si>
  <si>
    <t xml:space="preserve"> 회비 납부 후, 톡방에 초대되면 전반적인 동아리 공지 및 첫 모임에 대한 안내가 있을 예정. </t>
  </si>
  <si>
    <t xml:space="preserve"> 불합격이더라도 다음 모집이 있다면 다시 지원 가능.</t>
  </si>
  <si>
    <t>20:00~21:20</t>
  </si>
  <si>
    <t>20:30~20:50</t>
  </si>
  <si>
    <t xml:space="preserve">1. </t>
  </si>
  <si>
    <t xml:space="preserve"> 그럼 본격적인 면접을 시작하기에 앞서 간단히 자기소개를 부탁드려도 될까요?</t>
  </si>
  <si>
    <t xml:space="preserve">2. </t>
  </si>
  <si>
    <t xml:space="preserve"> 동아리를 알게된 경로가 어떻게 되시나요?  동아리 전용 인스타그램은 보신적이 있나요?</t>
  </si>
  <si>
    <t xml:space="preserve">3. </t>
  </si>
  <si>
    <t xml:space="preserve"> 에브리타임(또는 인스타그램)을 통해 저희 동아리에 지원해주셨다고 했는데요, 홍보게시판에 다른 동아리들도 많았을텐데 굳이 저희 동아리를</t>
  </si>
  <si>
    <t xml:space="preserve"> 선택해 주신 이유는 무엇인가요? 어떤 점에서 매력을 느끼게 되었나요? - 1번과 중복되면 패스</t>
  </si>
  <si>
    <t xml:space="preserve">4. </t>
  </si>
  <si>
    <t xml:space="preserve"> 동아리에 들어오게 된다면 가장 하고 싶은 활동과 이유를 말씀해 주세요. (지원서와 다른 점이 있는 지 체크) - 1, 3번과 중복되면 패스</t>
  </si>
  <si>
    <t xml:space="preserve">5. </t>
  </si>
  <si>
    <t xml:space="preserve"> 저희는 매주 금요일, 또는 토요일 저녁에 번갈아가면서 정기모임이 열리기 때문에 지원자들을 대상으로 금, 토요일 일정을 조사하고 있습니다. </t>
  </si>
  <si>
    <t xml:space="preserve"> 매주 금요일, 토요일에 스케줄이 어떻게 되시는지 알려주시면 감사하겠습니다.</t>
  </si>
  <si>
    <t>금</t>
  </si>
  <si>
    <t>토</t>
  </si>
  <si>
    <t xml:space="preserve">6. </t>
  </si>
  <si>
    <t xml:space="preserve"> 현재 하고있거나 이전에 하셨던 다른 동아리나 단체가 있나요? </t>
  </si>
  <si>
    <t xml:space="preserve">7. </t>
  </si>
  <si>
    <t xml:space="preserve"> 자신이 생각하는 장점과 단점에 대해 말씀해주세요.</t>
  </si>
  <si>
    <t xml:space="preserve">8. </t>
  </si>
  <si>
    <t xml:space="preserve"> 동아리나 단체 (또는 자신의 경험 중에서) 리더를 맡았던 경험이 있나요? </t>
  </si>
  <si>
    <t xml:space="preserve"> 만약, 그런 자리가 주어진다면 기꺼이 하는 받아들이는지, 아니면 어느정도는 부담을 느끼는 편인지 자유롭게 말씀해주세요.</t>
  </si>
  <si>
    <t>오티안내</t>
  </si>
  <si>
    <t xml:space="preserve"> 동아리에 가입하게 되면 첫 행사로 신입회원을 대상으로 오리엔테이션이 있을 예정입니다. 저희 식구가 된다면 동아리의 체제나, 운영되는 방식, </t>
  </si>
  <si>
    <t xml:space="preserve"> 그리고 내가 지불한 회비가 어떻게 사용되는지 정도는 알 권리가 있기 때문에 이 내용들을 짧게 교육하고 회원들과 친해지는 자리입니다.</t>
  </si>
  <si>
    <t xml:space="preserve"> 교육도 교육이지만 앞으로 함께 활동할 회원들의 얼굴들을 처음 보는 중요한 자리인만큼 가급적 참여를 권장해드립니다.</t>
  </si>
  <si>
    <t xml:space="preserve">9. </t>
  </si>
  <si>
    <t xml:space="preserve"> 이번 신입 오리엔테이션 같은 경우에는 3월 24일 금요일, 오후 7시에 진행될 예정입니다. 참여 가능하신가요?</t>
  </si>
  <si>
    <t xml:space="preserve"> </t>
  </si>
  <si>
    <t xml:space="preserve">10. </t>
  </si>
  <si>
    <t xml:space="preserve"> 동아리 활동을 하다보면 음주를 하는 경우가 많을텐데요, 실례가 안된다면 주량이 어떻게 되는 지 알고 싶습니다.</t>
  </si>
  <si>
    <t>답변 들은 후</t>
  </si>
  <si>
    <t xml:space="preserve">답변은 면접결과와 관련 없으며 좀더 신경쓰기 위해 확인하는 것이니 술자리에 부담을 느끼실 필요는 전혀 없습니다. </t>
  </si>
  <si>
    <t>동아리 내에 술 강요는 일절 없다는 것을 분명히 말씀드릴 수 있습니다.</t>
  </si>
  <si>
    <t xml:space="preserve">11. </t>
  </si>
  <si>
    <t xml:space="preserve"> 이번 질문이 마지막이 될 것 같은데요, 어려울 수도 있지만 시간을 넉넉히 드릴테니 충분히 생각하고 답해주셔도 괜찮습니다.</t>
  </si>
  <si>
    <t xml:space="preserve"> 본인을 한 단어로 표현한다면 어떤 것이 좋을까요? 사람, 동물, 사물 등 본인에 대해 가장 잘 나타내 수 있는 것이면 무엇이든 좋습니다.</t>
  </si>
  <si>
    <t xml:space="preserve">12. </t>
  </si>
  <si>
    <t xml:space="preserve"> 네 답변 잘 들었습니다. 여기까지가 저희가 준비한 공식질문이었고요. 그외에 저희 동아리에 대해 그동안 궁금한게 많으셨을텐데 지금 질문해주시면 </t>
  </si>
  <si>
    <t xml:space="preserve"> 친절히 답변해드리겠습니다. </t>
  </si>
  <si>
    <t>마무리</t>
  </si>
  <si>
    <t xml:space="preserve"> 질문이 더 없으시면 면접 마치도록 하겠습니다. 합격이든 불합격이든 문자메시지로 내일 통보가 될 예정입니다. </t>
  </si>
  <si>
    <t xml:space="preserve"> 회비는 활동비 20,000원과 보증금 10,000원을 합하여 30,000원이고, 안내해드리는 계좌로 입금해주시면 단체카톡방에 초대가 됩니다. </t>
  </si>
  <si>
    <t xml:space="preserve"> 초대가 된 이후에는 전반적인 동아리 공지와 함께 신입 오리엔테이션 참가 안내를 해드릴 예정이니 내용을 숙지하시고 잘 따라주시면 되겠습니다. </t>
  </si>
  <si>
    <t xml:space="preserve"> 또한, 불합격이 되시더라도 다음 모집기간 때 다시 지원할 수 있으니 너무 낙담하지 않으셔도 됩니다.</t>
  </si>
  <si>
    <t xml:space="preserve"> 오늘 바쁜 시간 내주셔서 감사드리고 좋은 모습으로 뵐 수 있길 바라겠습니다. 수고하셨습니다.</t>
  </si>
  <si>
    <t xml:space="preserve">평가 </t>
  </si>
  <si>
    <t>지원서</t>
  </si>
  <si>
    <t>면접</t>
  </si>
  <si>
    <t xml:space="preserve">24살 21학번 약학과 </t>
  </si>
  <si>
    <t>24 21학번 덕성여대 약학</t>
  </si>
  <si>
    <t>편입준비</t>
  </si>
  <si>
    <t>서강대 재학중</t>
  </si>
  <si>
    <t xml:space="preserve">서강대 27살 </t>
  </si>
  <si>
    <t>동아리 게시판 다양한 사람 만나고 싶어서</t>
  </si>
  <si>
    <t xml:space="preserve">캠퍼스픽 </t>
  </si>
  <si>
    <t>나이가 있어서 비슷한 나이대 사람 보고 싶어서</t>
  </si>
  <si>
    <t>테니스  배드민턴 스포츠 활동</t>
  </si>
  <si>
    <t>해녀 체험</t>
  </si>
  <si>
    <t>제주도 여행</t>
  </si>
  <si>
    <t>3시까지 학교 수업</t>
  </si>
  <si>
    <t xml:space="preserve">교대 아가테 의료봉사 동아리 MZ 여행 외국에서 온 친구를 위한 </t>
  </si>
  <si>
    <t xml:space="preserve">테니스 6년정도, 학회 </t>
  </si>
  <si>
    <t>많이 밝은 편이다 방방띰 발랄 그자체</t>
  </si>
  <si>
    <t>급방전됨</t>
  </si>
  <si>
    <t>잘어울리고 무더남</t>
  </si>
  <si>
    <t>빨리 친해지려다 보니까 편하게 대하려한다</t>
  </si>
  <si>
    <t>부담을 느끼는 편인데 리더가 정해지지 않았을 때 맡는거에 대한 큰 부담감은 없다</t>
  </si>
  <si>
    <t>훈련부장</t>
  </si>
  <si>
    <t>OT 안내</t>
  </si>
  <si>
    <t>가능</t>
  </si>
  <si>
    <t>소주 2병</t>
  </si>
  <si>
    <t>소주 3병</t>
  </si>
  <si>
    <t xml:space="preserve">난로 - 강렬하게 주도적으로 행동하진 않지만 ㄱ스며들어서 온기를 </t>
  </si>
  <si>
    <t>타버린 장작 - 불타올라서 요즘엔 인생가는대로 살자</t>
  </si>
  <si>
    <t>나이대 분포</t>
  </si>
  <si>
    <t>경쟁</t>
  </si>
  <si>
    <t>잘 맞는다는게?</t>
  </si>
  <si>
    <t xml:space="preserve">질문이 더 없으시면 면접 마치도록 하겠습니다. 합격이든 불합격이든 문자메시지로 내일 통보가 될 예정입니다. </t>
  </si>
  <si>
    <t xml:space="preserve">회비는 활동비 20,000원과 보증금 10,000원을 합하여 30,000원이고, 안내해드리는 계좌로 입금해주시면 단체카톡방에 초대가 됩니다. </t>
  </si>
  <si>
    <t xml:space="preserve">초대가 된 이후에는 전반적인 동아리 공지와 함께 신입 오리엔테이션 참가 안내를 해드릴 예정이니 내용을 숙지하시고 잘 따라주시면 되겠습니다. </t>
  </si>
  <si>
    <t>또한, 불합격이 되시더라도 다음 모집기간 때 다시 지원할 수 있으니 너무 낙담하지 않으셔도 됩니다.</t>
  </si>
  <si>
    <t>오늘 바쁜 시간 내주셔서 감사드리고 좋은 모습으로 뵐 수 있길 바라겠습니다. 수고하셨습니다.</t>
  </si>
  <si>
    <t xml:space="preserve">23살 김세미 대학 직장 병행 ㅐ학 1학년 직장 3년 </t>
  </si>
  <si>
    <t>isfj 어디든 잘 어울릴수있다</t>
  </si>
  <si>
    <t>시립대 경영학부 28살 _stp</t>
  </si>
  <si>
    <t>갈등 불화 싫엉</t>
  </si>
  <si>
    <t>에타</t>
  </si>
  <si>
    <t>인스타 찾아봤음</t>
  </si>
  <si>
    <t>시간대 맞아서 좋아 활동 재밌는거 해보고싶당</t>
  </si>
  <si>
    <t>나이대 동질감 소속감 느끼고 싶었다</t>
  </si>
  <si>
    <t>퇴근 6시</t>
  </si>
  <si>
    <t>수업 4시끝나서 이후에 가능</t>
  </si>
  <si>
    <t>활동에 지장 없음</t>
  </si>
  <si>
    <t>지장없음</t>
  </si>
  <si>
    <t>고딩때 동아리 해봄 대학되고나서는 처음</t>
  </si>
  <si>
    <t>과동아리 학회 밴드 동아리 영어회화 연합동아리 스탭</t>
  </si>
  <si>
    <t xml:space="preserve">성격이 밝은 편 어디든지 잘 어울림 </t>
  </si>
  <si>
    <t>걱정이 많은편 그래서 스트레스 받음</t>
  </si>
  <si>
    <t xml:space="preserve">낯을 크게 안가림 두루두루 친해지는데 좋은 역할 </t>
  </si>
  <si>
    <t xml:space="preserve">덤벙덤벙 짜잘한 실수함. </t>
  </si>
  <si>
    <t>동아리 단장 밴드부 단장</t>
  </si>
  <si>
    <t>이끌어갈려고 하려는 편</t>
  </si>
  <si>
    <t>영어회화동아리 진행강사 장</t>
  </si>
  <si>
    <t>자진해서 먼저 나서진않지만 필요하다면 기꺼이 함</t>
  </si>
  <si>
    <t>소주 1~2병</t>
  </si>
  <si>
    <t>뭐래? 못들음</t>
  </si>
  <si>
    <t>ㅂ</t>
  </si>
  <si>
    <t>불</t>
  </si>
  <si>
    <t xml:space="preserve">필요한 존재. 열정. </t>
  </si>
  <si>
    <t>개냥이</t>
  </si>
  <si>
    <t>가만히 있으면 차가워보임 말해보면 성격좋다 소리 자주 들음</t>
  </si>
  <si>
    <t>이대 26살</t>
  </si>
  <si>
    <t xml:space="preserve">삼수했음 </t>
  </si>
  <si>
    <t>여행가는거 좋아해서 알아보다가 함꼐하고 싶어서 지원함</t>
  </si>
  <si>
    <t xml:space="preserve">27살 연대 </t>
  </si>
  <si>
    <t>사람만나는거 좋아함 동아리 대외활동 다 좋음 그러다보니 성장함 but 현실핑계로 스스로 가스라이팅하면서 안하다가</t>
  </si>
  <si>
    <t>동아리 홍보글 보고 애써모른척했던 진심이 느껴져서 청춘을 위해 지원함</t>
  </si>
  <si>
    <t>내친소 기억남</t>
  </si>
  <si>
    <t>정우씨가 거의 대변하는 거 같아요..ㅠㅜ</t>
  </si>
  <si>
    <t xml:space="preserve">동아리 할 생각 없다가 우연하게 게시글 보고 20대중후반 인거보고 젊음 청춘 젊음을 즐기기위해 </t>
  </si>
  <si>
    <t>워터파크</t>
  </si>
  <si>
    <t xml:space="preserve">보드게임 전시회 </t>
  </si>
  <si>
    <t>전시회</t>
  </si>
  <si>
    <t>6시이후 가능</t>
  </si>
  <si>
    <t>일정 없다</t>
  </si>
  <si>
    <t>일정 무</t>
  </si>
  <si>
    <t>댄스동아리</t>
  </si>
  <si>
    <t>한국문화홍보동아리</t>
  </si>
  <si>
    <t>착하다</t>
  </si>
  <si>
    <t>친화력이 좋다</t>
  </si>
  <si>
    <t xml:space="preserve">걱정이 많아짐. 생각이 많아짐. </t>
  </si>
  <si>
    <t>댄동 부회장</t>
  </si>
  <si>
    <t>제의되면</t>
  </si>
  <si>
    <t>리더 경험 무</t>
  </si>
  <si>
    <t>부담되겠지만 그러한경험을 얻을수 있는 자리</t>
  </si>
  <si>
    <t>반병</t>
  </si>
  <si>
    <t>1병~1병반</t>
  </si>
  <si>
    <t>행복하고 즐겁게 살자</t>
  </si>
  <si>
    <t>도전자</t>
  </si>
  <si>
    <t>도전을 즐기는 편 도전이 좋음</t>
  </si>
  <si>
    <t>지난 기수는 언제 였는지</t>
  </si>
  <si>
    <t>커피잔 속의 식혜</t>
  </si>
  <si>
    <t>반전매력 가진 사람이고 반전을 주고 싶다</t>
  </si>
  <si>
    <t xml:space="preserve">얌전해보이지만 활발  힙합 좋아함 </t>
  </si>
  <si>
    <t>건대 대학원</t>
  </si>
  <si>
    <t>모두에게 편안함을 줄 수 있는 사람</t>
  </si>
  <si>
    <t>먼저 다가가는 그런 사람 소외되는 사람 없게끔 할거당</t>
  </si>
  <si>
    <t>인간관계 넓히고 싶다 마지막일지도 모르는 공유할수있는 장소</t>
  </si>
  <si>
    <t>에브리타임</t>
  </si>
  <si>
    <t>이름에 꽂혔당 나이가 있다보니 어린친구랑 안맞음</t>
  </si>
  <si>
    <t>공감대를 나눌수있는 사람 얻고싶었다</t>
  </si>
  <si>
    <t>동아리가 활성화 되어있는거 같다.</t>
  </si>
  <si>
    <t>한강에서 자전거</t>
  </si>
  <si>
    <t>자유로운 느낌 얻고 싶어서</t>
  </si>
  <si>
    <t>지원서 보면 거의 기획자임. 해볼만 할듯</t>
  </si>
  <si>
    <t>페스티벌</t>
  </si>
  <si>
    <t>배드민턴 모임 있음 격주에 한번정도 6시에</t>
  </si>
  <si>
    <t>일정 없음</t>
  </si>
  <si>
    <t>저녁에는 가능</t>
  </si>
  <si>
    <t>배드민턴 동아리. 이전에 여행, 사진 동아리.</t>
  </si>
  <si>
    <t>지금은 없고</t>
  </si>
  <si>
    <t>농구봉사동아리 해봄</t>
  </si>
  <si>
    <t>연합친목동아리 회장</t>
  </si>
  <si>
    <t>남의 의견을 잘 포용함</t>
  </si>
  <si>
    <t>실패에 대한 두려움이 크다. 도전보다는 회피를 한다</t>
  </si>
  <si>
    <t>융퉁성있다 무계획처럼 보이지만 틀 안에서 발휘를 한다</t>
  </si>
  <si>
    <t xml:space="preserve">완벽주의 성향이 강하게 있음 </t>
  </si>
  <si>
    <t>리더가 될 준비 되어있다. 내가 하기에 효율적이라면 함. 나보다 뛰어난 사람있으면 양보함</t>
  </si>
  <si>
    <t>외향적이고 주도적인 성격이다 보니 기꺼이 누군가를 돕기 위해서 함 의견에 대해 표용력이 좋다</t>
  </si>
  <si>
    <t>반병~1병</t>
  </si>
  <si>
    <t>자기소개에 있음</t>
  </si>
  <si>
    <t>짱구</t>
  </si>
  <si>
    <t xml:space="preserve">관심있어하는 것에 대해 자신의 벽이 낮아짐 </t>
  </si>
  <si>
    <t>장난기가 많다</t>
  </si>
  <si>
    <t>영화게임 다 좋아함</t>
  </si>
  <si>
    <t>여러 활동하고싶은데 사람들과 하고싶었다</t>
  </si>
  <si>
    <t>트러블 진짜 싫어함</t>
  </si>
  <si>
    <t>3학년 2학기 복학</t>
  </si>
  <si>
    <t>농구빼고 스포츠 좋아함 영화 좋아함 놀이기구 좋아한다.</t>
  </si>
  <si>
    <t>CPA준비하다 그만함.</t>
  </si>
  <si>
    <t>이렇게 대학생활을 마무리하는게 아쉬웠다.</t>
  </si>
  <si>
    <t>나이대 맞는 사람들과 이야기해보고 싶었다</t>
  </si>
  <si>
    <t xml:space="preserve">2가지 이유 </t>
  </si>
  <si>
    <t>1번쨰 복학을 4 5년만에 함. 리프레쉬 하고싶은데 동아리 알아보다가 딥한 활동은 싫어 알아봄. 나이대가 맞아서 지원</t>
  </si>
  <si>
    <t>서울 빵집 탐방</t>
  </si>
  <si>
    <t>푸파</t>
  </si>
  <si>
    <t>롯데월드</t>
  </si>
  <si>
    <t>비어있음</t>
  </si>
  <si>
    <t>유기견 봉사</t>
  </si>
  <si>
    <t>계획형 디테일하게 계획함. 체계적. 인간관계에서 화를 참는편</t>
  </si>
  <si>
    <t>술자리에서 빨리 친해질수 있따. 고민상담가&gt;&gt;신뢰감을 줄수있다</t>
  </si>
  <si>
    <t>고집이 세다</t>
  </si>
  <si>
    <t>굳이 나서진 않지만 할 순 있따.</t>
  </si>
  <si>
    <t>굳이 나서진 않지만 할순있다</t>
  </si>
  <si>
    <t>2병</t>
  </si>
  <si>
    <t>주사는 집에 감</t>
  </si>
  <si>
    <t>1병에서 왔다갔다</t>
  </si>
  <si>
    <t>플래너- 다양한 활동 및 자기계발을 위해 어떻게 해야 최대로 이득을 얻을지</t>
  </si>
  <si>
    <t>짐캐리</t>
  </si>
  <si>
    <t>긍정적임을 유지한다. 영화속의 짐캐리처럼 긍정적이다</t>
  </si>
  <si>
    <t>연령대</t>
  </si>
  <si>
    <t>정기모임 인원수</t>
  </si>
  <si>
    <t xml:space="preserve">컴공 조교 중 자격증 취업공부 </t>
  </si>
  <si>
    <t xml:space="preserve">친구와 일정 잡기 어렵기도 하고 확정된 일정으로 </t>
  </si>
  <si>
    <t>사람들과 만나면서 활동하고싶어 지원</t>
  </si>
  <si>
    <t>파티동아리도 함. 활발함.</t>
  </si>
  <si>
    <t>20대 후반 놀곳이 없으며 새로운 사람만나는 활동을 위해 지원함</t>
  </si>
  <si>
    <t>캠픽&gt;&gt;&gt;인스타</t>
  </si>
  <si>
    <t>20대 중후반이 가능한 동아리가 거의 없었다.</t>
  </si>
  <si>
    <t>20대 중후반이라는게 매력적.</t>
  </si>
  <si>
    <t>스케이트 롤러나 아이스</t>
  </si>
  <si>
    <t>트렘펄린.</t>
  </si>
  <si>
    <t>야구 직관.</t>
  </si>
  <si>
    <t>금욜 일찎끝나서 상관없음</t>
  </si>
  <si>
    <t>6시에 직장 끝나면 가능</t>
  </si>
  <si>
    <t>헬스장 피시방 다니지만 포기가능</t>
  </si>
  <si>
    <t>방송국 PD 영상 대본 제작. 만화 동아리.</t>
  </si>
  <si>
    <t>종교 동아리. 여행. 파티. 다양하게 함.</t>
  </si>
  <si>
    <t>봉사동아리. 봉사시간 200시간.</t>
  </si>
  <si>
    <t>만화동아리 임원. 방송국 PD 제작부장</t>
  </si>
  <si>
    <t>인수인계자에 따라 다르지만 할 생각은 있따.</t>
  </si>
  <si>
    <t>팀장역할X 따라가는 스타일</t>
  </si>
  <si>
    <t>하겠다만 천천히 테크를 타서 계단식 성장형 인재.</t>
  </si>
  <si>
    <t>흡연</t>
  </si>
  <si>
    <t>3잔</t>
  </si>
  <si>
    <t>술게임하면 16잔 까지 가능</t>
  </si>
  <si>
    <t>버스</t>
  </si>
  <si>
    <t>기니피그</t>
  </si>
  <si>
    <t>1. 기니피그 키워봄. 본인이 귀엽다함.(귀엽긴 함) 2. 마스코트가 될수도 있다.</t>
  </si>
  <si>
    <t>활동지역</t>
  </si>
  <si>
    <t>대화 활발한지</t>
  </si>
  <si>
    <t>중후반이라는 비슷한 또래들과 다양한 활동을 하고 싶어서 지원</t>
  </si>
  <si>
    <t>졸ㅇ</t>
  </si>
  <si>
    <t>주제적인 걸 위해 지원함</t>
  </si>
  <si>
    <t>20대초반 느낌으 액티비티활동을 해보고 싶다</t>
  </si>
  <si>
    <t>감정평가사</t>
  </si>
  <si>
    <t xml:space="preserve">또래를 사귀기 위해 </t>
  </si>
  <si>
    <t>자차 소유, 운전 가능</t>
  </si>
  <si>
    <t>무더난 성격임 아나운서 생활함.</t>
  </si>
  <si>
    <t>나이대</t>
  </si>
  <si>
    <t>경험이 많은 사람들 과 공유하고 기여하는게 매력적</t>
  </si>
  <si>
    <t>또래와 고민하는게 비슷할 거같다고 생각함.</t>
  </si>
  <si>
    <t>일일호프</t>
  </si>
  <si>
    <t>다수가 했을 떄 재밌을 만한 - 놀이공원, 서울 근교 드라이브</t>
  </si>
  <si>
    <t>세시반 이후 가능</t>
  </si>
  <si>
    <t>교육봉사동아리 부대표 현재진행중</t>
  </si>
  <si>
    <t>방송반 아나운서 부장</t>
  </si>
  <si>
    <t>힙합, 브랜드 마케팅 동아리, 도서 동아리</t>
  </si>
  <si>
    <t>긍정적이다 유쾌하다</t>
  </si>
  <si>
    <t>덜렁거린다</t>
  </si>
  <si>
    <t>친하지 않은 사람과 빠르게 친해질 수 있다. 첫만남에 좀 강하다</t>
  </si>
  <si>
    <t>자차, 집, 시간 많음</t>
  </si>
  <si>
    <t>직설적인 면이 있었으나(블랙코미디) 지금은 달라졌다는 평을 들음</t>
  </si>
  <si>
    <t>동아리 부대표</t>
  </si>
  <si>
    <t>리더 자리 선호함</t>
  </si>
  <si>
    <t>어떻게 더 이끌지 고민하면서 즐거움 느낌</t>
  </si>
  <si>
    <t>아나운서 부장. 대외활동 부장</t>
  </si>
  <si>
    <t>본인 외에 더 잘할거 같은 사람이 있으면 굳이 하지는 않음</t>
  </si>
  <si>
    <t>한 병 정도</t>
  </si>
  <si>
    <t>두병 정도</t>
  </si>
  <si>
    <t>산소-타인에게 산소처럼 꼭 필요한 존재가 되고싶고 그러기 위해 노력하고 있다</t>
  </si>
  <si>
    <t>그릇- 사람들과 많은 추억들을 쌓고 싶다</t>
  </si>
  <si>
    <t>오티 장소</t>
  </si>
  <si>
    <t>*</t>
  </si>
  <si>
    <t>대학생활 추억을 위해</t>
  </si>
  <si>
    <t>5년 직장생활 하다 23학번 새내기</t>
  </si>
  <si>
    <t>학번과 나이 가 제일 맞는다.</t>
  </si>
  <si>
    <t>나이대가 맞는 동아리</t>
  </si>
  <si>
    <t>여행가기</t>
  </si>
  <si>
    <t xml:space="preserve">야시장 </t>
  </si>
  <si>
    <t>공포방탈출</t>
  </si>
  <si>
    <t>맵찔이 탐방</t>
  </si>
  <si>
    <t>밴드 보컬.</t>
  </si>
  <si>
    <t>야구부 직관.</t>
  </si>
  <si>
    <t>잘웃고 잘어울린다.</t>
  </si>
  <si>
    <t>기회가 없으면 시작을 못한다.</t>
  </si>
  <si>
    <t>야물딱지다 똑부러진다.</t>
  </si>
  <si>
    <t xml:space="preserve">느긋하다. </t>
  </si>
  <si>
    <t>고딩 물리동아리 부장</t>
  </si>
  <si>
    <t xml:space="preserve">처음에는 부담없이 했지만 하다보니 부담을 느낌. </t>
  </si>
  <si>
    <t xml:space="preserve">5년 반장 </t>
  </si>
  <si>
    <t>잘 이끈다.</t>
  </si>
  <si>
    <t>한병</t>
  </si>
  <si>
    <t>infp</t>
  </si>
  <si>
    <t>계획은 없지만 즉흥적으로 잘 따라갈수있다. 공감능력 좋아요오오오오오옹</t>
  </si>
  <si>
    <t>istp 그자체</t>
  </si>
  <si>
    <t>내성적 현실적이고 공감능력 없음. 계획 따위 없다.</t>
  </si>
  <si>
    <t>이성적으로 판단가능하며 함꼐 놀수있다.</t>
  </si>
  <si>
    <t>회원 유지 가능?</t>
  </si>
  <si>
    <t>여러 나이대의 사람들과 만나고 싶었다.</t>
  </si>
  <si>
    <t xml:space="preserve">엠티 여행 </t>
  </si>
  <si>
    <t>디저트 탐방</t>
  </si>
  <si>
    <t>공강</t>
  </si>
  <si>
    <t>제약 없음</t>
  </si>
  <si>
    <t>봉사동아리 딱히 많이 해본적은 없다.</t>
  </si>
  <si>
    <t>밝다. 친화력이 좋다. 쉽게 친해짐</t>
  </si>
  <si>
    <t>신중하다. 생각이 많다.</t>
  </si>
  <si>
    <t>역량이 뛰어난 사람이 있으면 양보 팀을 위해</t>
  </si>
  <si>
    <t>일등 신부감!!!!!</t>
  </si>
  <si>
    <t>건전하게 살았다. 올바르게 산다. 어디서 꿀리지않는다.</t>
  </si>
  <si>
    <t xml:space="preserve">공익 휴학중 </t>
  </si>
  <si>
    <t>취미- 맛집탐방</t>
  </si>
  <si>
    <t>랩 잘함. 음악 쪽으로 공부했음.</t>
  </si>
  <si>
    <t>ESTJJJJJ</t>
  </si>
  <si>
    <t>에타글 추천받음.</t>
  </si>
  <si>
    <t>중후반 동아리 찾고 있었음</t>
  </si>
  <si>
    <t>캠퍼스 투어 학식투어.</t>
  </si>
  <si>
    <t xml:space="preserve">한강 롯데월드 등등 </t>
  </si>
  <si>
    <t>다양한 추억 만들고싶다.</t>
  </si>
  <si>
    <t>둘중하나는 가능</t>
  </si>
  <si>
    <t>힙합동아리</t>
  </si>
  <si>
    <t>성격 둥글둥글. 적응 잘함. 약속 잘지킴.</t>
  </si>
  <si>
    <t xml:space="preserve">동기부여 없으면 하려하지않음. </t>
  </si>
  <si>
    <t>주도적이진 않지만 남들이 하기 다꺼려하면 함</t>
  </si>
  <si>
    <t>1병반</t>
  </si>
  <si>
    <t>메타몽</t>
  </si>
  <si>
    <t>성격이 모난게 없어서 잘 적응가능</t>
  </si>
  <si>
    <t>엠티 날짜</t>
  </si>
  <si>
    <t>한의학과</t>
  </si>
  <si>
    <t>축구 취미 축구ㅗㅇ아리 주장</t>
  </si>
  <si>
    <t>스포츠 드라마보다는 단편적으로 하이라이트 볼 수 있다</t>
  </si>
  <si>
    <t xml:space="preserve">취미를 즐길 수 있다 </t>
  </si>
  <si>
    <t>f1 선수 스무명이서 레이싱 하는거 좋아한다</t>
  </si>
  <si>
    <t>동생이 03년생인데 신입생으로 들어와서 충격...</t>
  </si>
  <si>
    <t xml:space="preserve">20대 중후반이어서 끌렸다. </t>
  </si>
  <si>
    <t>동아리가 처음이다.</t>
  </si>
  <si>
    <t>중후반이 메리트가 느껴졌다.</t>
  </si>
  <si>
    <t>여행. 친구들이 다 공부중이라 날짜 잡기 어렵다. 그래서 같이 가면 좋겠다.</t>
  </si>
  <si>
    <t>직관</t>
  </si>
  <si>
    <t>직관 같이갈사람 있으면 좋겠다.</t>
  </si>
  <si>
    <t>한강! 드라이브.</t>
  </si>
  <si>
    <t>토요일 오전 한학기 4번 일정있음</t>
  </si>
  <si>
    <t>2시 이후 가능</t>
  </si>
  <si>
    <t>축구부</t>
  </si>
  <si>
    <t>봉사활동. 교육봉사</t>
  </si>
  <si>
    <t>자차 소유자이다.</t>
  </si>
  <si>
    <t>호불호가 강하다.</t>
  </si>
  <si>
    <t xml:space="preserve">다른사람 이야기 듣는 편. </t>
  </si>
  <si>
    <t>우유부단하다</t>
  </si>
  <si>
    <t>답답해서 내가 해버림.</t>
  </si>
  <si>
    <t>축구부 주장</t>
  </si>
  <si>
    <t>답답해서 내가 함.</t>
  </si>
  <si>
    <t>아무도 안하면 내가 하면 된다.</t>
  </si>
  <si>
    <t>1병</t>
  </si>
  <si>
    <t>열정맨!</t>
  </si>
  <si>
    <t>언니</t>
  </si>
  <si>
    <t>첫째 맏 이고 그런 이미지</t>
  </si>
  <si>
    <t>경잴률</t>
  </si>
  <si>
    <t>발표 언제</t>
  </si>
  <si>
    <t>평가</t>
  </si>
  <si>
    <t>학원강사 영어</t>
  </si>
  <si>
    <t xml:space="preserve">편입생으로 3학년 </t>
  </si>
  <si>
    <t>20대 중후반.</t>
  </si>
  <si>
    <t>20대 중후반 같은 나이대 자체에서 공감대 생김</t>
  </si>
  <si>
    <t>공감대가 형성될거라 생각.</t>
  </si>
  <si>
    <t>엠티</t>
  </si>
  <si>
    <t>한강 따릉이</t>
  </si>
  <si>
    <t>힙합보컬 동아리.</t>
  </si>
  <si>
    <t>동아리가 아예 첨</t>
  </si>
  <si>
    <t>책임감 성실</t>
  </si>
  <si>
    <t>일중독</t>
  </si>
  <si>
    <t>유하다. 유도리있다. 공감능력도 나쁘지않다.</t>
  </si>
  <si>
    <t>우유부단하다.</t>
  </si>
  <si>
    <t>리더를 보통 맞는거 같다.</t>
  </si>
  <si>
    <t>리더는 안맞고 주변에서 서포터 역할이 맞는다.</t>
  </si>
  <si>
    <t>주량 모름 무제한?!?!?!</t>
  </si>
  <si>
    <t>열심히</t>
  </si>
  <si>
    <t>뭐든 하던간에 열심히!!!!!!</t>
  </si>
  <si>
    <t>감수성</t>
  </si>
  <si>
    <t>감수성이 풍부하다. 내적열정 안에 타오르는 무언가가 있다.</t>
  </si>
  <si>
    <t>오티 시간</t>
  </si>
  <si>
    <t>\</t>
  </si>
  <si>
    <t>23학번</t>
  </si>
  <si>
    <t>새내기로</t>
  </si>
  <si>
    <t>막학기</t>
  </si>
  <si>
    <t>친구들 다 졸업해서 막학기 재미없어서 같이 즐겁게 보낼 분들 만나기 위해 지원함.</t>
  </si>
  <si>
    <t>맛집 탐방</t>
  </si>
  <si>
    <t>면허는 없지만 드라이브는 하고 싶다</t>
  </si>
  <si>
    <t>7시이후 가능</t>
  </si>
  <si>
    <t xml:space="preserve">4~10시 </t>
  </si>
  <si>
    <t>동아리 처음</t>
  </si>
  <si>
    <t>3년전 친목동아리</t>
  </si>
  <si>
    <t>넉살좋다.</t>
  </si>
  <si>
    <t>처음에 낯을가린다</t>
  </si>
  <si>
    <t>경청을 잘한다. 모나지 않은 성격</t>
  </si>
  <si>
    <t>가끔 말 안걸어주면 조용해진다.</t>
  </si>
  <si>
    <t>지원자 없으면 하게 되는.</t>
  </si>
  <si>
    <t>팀플 어린친구들과함꼐 하다 조장하게 됨</t>
  </si>
  <si>
    <t>좋은 경험이었다.</t>
  </si>
  <si>
    <t>반병~한병</t>
  </si>
  <si>
    <t>MZ</t>
  </si>
  <si>
    <t>MZ세대에 낄수도 있고 잘 어울리기도하고 잘 스며들음.</t>
  </si>
  <si>
    <t>밀크티</t>
  </si>
  <si>
    <t>깊은 차와 부드러움의 조화.</t>
  </si>
  <si>
    <t>ISFP : I과 E가 비슷하다</t>
  </si>
  <si>
    <t xml:space="preserve">당진 현대해철 다니는 건국대 공대 - 올해 1월부터 신입사원 졸업은 </t>
  </si>
  <si>
    <t xml:space="preserve">취미는 배드민턴, 아이패드 그림그리기 </t>
  </si>
  <si>
    <t>졸업생이다 보니 참여할 수 있는 곳이 좁지만 나이는 많지 않다</t>
  </si>
  <si>
    <t xml:space="preserve">여행 - 국내여행 가평 </t>
  </si>
  <si>
    <t xml:space="preserve">부모님이 베이킹을 좋아한다 학교 다닐때도 같이 반죽하고 스콘, </t>
  </si>
  <si>
    <t>저녁은 다 괜찮</t>
  </si>
  <si>
    <t>낮에는 가능</t>
  </si>
  <si>
    <t xml:space="preserve">연합동아리 - </t>
  </si>
  <si>
    <t>학술동아리 - 경제</t>
  </si>
  <si>
    <t>연극, 뮤지컬</t>
  </si>
  <si>
    <t>연극동아리 - 1년반</t>
  </si>
  <si>
    <t>성격이 둥글둥글 하다 주변사람과 불화가 없다</t>
  </si>
  <si>
    <t>할말을 해야될 때는 하지만 못할때도 있다.</t>
  </si>
  <si>
    <t>장점은 신중한 편이다 - 신중하다는게 말을 할 때 타인에 대해 다양한 배경을 갖고 있는데 사람이 어떤사람인지 모르는 상태에서 첫인상이 딱딱하다고 들을 수 있지만 그만큼 세심하다</t>
  </si>
  <si>
    <t>평소에 성격이고 술마시면 누그러진다</t>
  </si>
  <si>
    <t>나서서 하진 않지만 나이가 찰수록 역할을 도맡아서 한다</t>
  </si>
  <si>
    <t>회사가 워라벨은 좋다 위치가 위치다 보니까 월화수목 행사 기획같은건 할 수 있고 평일에 급하게 올 경우에는 힘들다</t>
  </si>
  <si>
    <t>1병정도</t>
  </si>
  <si>
    <t>평화주의자 화가 잘 풀리고 - 비둘기</t>
  </si>
  <si>
    <t xml:space="preserve">요정 - </t>
  </si>
  <si>
    <t>회원 수</t>
  </si>
  <si>
    <t xml:space="preserve">국제통상학과 김지우 - 노원 </t>
  </si>
  <si>
    <t xml:space="preserve">관악구에 살고 99년생 </t>
  </si>
  <si>
    <t xml:space="preserve">INFJ 3수를 했는데 </t>
  </si>
  <si>
    <t>올해 신입생</t>
  </si>
  <si>
    <t xml:space="preserve">가벼운 마음으로 - 새로운 동아리를 들어가면 애기들 일거같아서 </t>
  </si>
  <si>
    <t>나이제한</t>
  </si>
  <si>
    <t xml:space="preserve">향수공방 - </t>
  </si>
  <si>
    <t xml:space="preserve">한강 - </t>
  </si>
  <si>
    <t>6~10</t>
  </si>
  <si>
    <t>토 or 일 사진동아리</t>
  </si>
  <si>
    <t>기자단, 친목동아리</t>
  </si>
  <si>
    <t xml:space="preserve">네개를 하고 계신다 </t>
  </si>
  <si>
    <t xml:space="preserve">토론, 밴드, </t>
  </si>
  <si>
    <t>장점 - 낯을 가리지 않는다 ESTP, ESFP</t>
  </si>
  <si>
    <t xml:space="preserve">단점 - 너무 깊게 생각하지 않는다 그래서 상처도 안받고 </t>
  </si>
  <si>
    <t>장점 : 남들과 잘 맞춰준다 두루두루 잘 맞춘다 갈등 안좋아한다</t>
  </si>
  <si>
    <t>단점 : 바보같다는 소리를 들을 수 있다.</t>
  </si>
  <si>
    <t>부담은 있다 - 기자단 회장</t>
  </si>
  <si>
    <t>무조건 해야겠다는 아니지만 할사람이 없다면 책임감있게 한다.</t>
  </si>
  <si>
    <t>참여</t>
  </si>
  <si>
    <t xml:space="preserve">한병 </t>
  </si>
  <si>
    <t>두병</t>
  </si>
  <si>
    <t>지하철노선도 -  아이유</t>
  </si>
  <si>
    <t xml:space="preserve">우주속의 먼지 - 어릴때부터 인생에 대한 고민을 많이 했다. 그래서 수험생활이 길어졌다 </t>
  </si>
  <si>
    <t xml:space="preserve">경쟁률 - </t>
  </si>
  <si>
    <t>번개 참여 인원?</t>
  </si>
  <si>
    <t>우리 나이?</t>
  </si>
  <si>
    <t>감사합니다</t>
  </si>
  <si>
    <t>직장인 방송작가</t>
  </si>
  <si>
    <t>학번상으로는 고학번이다 다른 동아리 들어가기도 좀 그런데 그런 친구를 만나고 시펐고</t>
  </si>
  <si>
    <t xml:space="preserve">후배들을 </t>
  </si>
  <si>
    <t>뮤지컬 연극 감상</t>
  </si>
  <si>
    <t>같이 보러가면 좋을거 같다.</t>
  </si>
  <si>
    <t>한강 산책 피크닉</t>
  </si>
  <si>
    <t xml:space="preserve">코로나 살짝 낀 학번이다 보니까 친구들이랑 어디 놀러가는걸 </t>
  </si>
  <si>
    <t>당일마다 다름</t>
  </si>
  <si>
    <t>주말은 쉼</t>
  </si>
  <si>
    <t xml:space="preserve"> 대부분은 될것이여</t>
  </si>
  <si>
    <t>여행동아리 파티동아리.</t>
  </si>
  <si>
    <t>사람들과 잘 친해짐 사람들이 편하게 대함</t>
  </si>
  <si>
    <t>초반에 낯을 가린다.</t>
  </si>
  <si>
    <t>안하려고는 하는데 서포터역할을 함</t>
  </si>
  <si>
    <t xml:space="preserve">자신감이 있는 분야거나 그러면 </t>
  </si>
  <si>
    <t>잘몰라유 일정 봐야대유</t>
  </si>
  <si>
    <t>분수</t>
  </si>
  <si>
    <t>매력이 뿜뿜</t>
  </si>
  <si>
    <t>터져나온다 매력이</t>
  </si>
  <si>
    <t>개(강아지) - 쏘다니는거 좋아하고 이런저런 사람한테 치댄다 비글, 강아지</t>
  </si>
  <si>
    <t>참여인원</t>
  </si>
  <si>
    <t>성비</t>
  </si>
  <si>
    <t>엠티 장소</t>
  </si>
  <si>
    <t>순위</t>
  </si>
  <si>
    <t>이름</t>
  </si>
  <si>
    <t>점수</t>
  </si>
  <si>
    <t>10.00</t>
  </si>
  <si>
    <t>9.70</t>
  </si>
  <si>
    <t>9.30</t>
  </si>
  <si>
    <t>9.07</t>
  </si>
  <si>
    <t>7.83</t>
  </si>
  <si>
    <t>윤민식</t>
  </si>
  <si>
    <t>7.53</t>
  </si>
  <si>
    <t>A</t>
    <phoneticPr fontId="23" type="noConversion"/>
  </si>
  <si>
    <t>B</t>
    <phoneticPr fontId="23" type="noConversion"/>
  </si>
  <si>
    <t>모임 있음 격주에 한번정도 6시에</t>
    <phoneticPr fontId="23" type="noConversion"/>
  </si>
  <si>
    <t xml:space="preserve"> 재지원 가산점. 활발한 활동에 대한 강한 각오가 있음. 최대한 합격처리 권장.</t>
    <phoneticPr fontId="23" type="noConversion"/>
  </si>
  <si>
    <t xml:space="preserve"> 자기소개에 본인의 성격을 잘 드러냄. 지원동기 희망활동 명확.</t>
    <phoneticPr fontId="23" type="noConversion"/>
  </si>
  <si>
    <t>반전매력 가진 사람이고 반전을 주고 싶다</t>
    <phoneticPr fontId="23" type="noConversion"/>
  </si>
  <si>
    <r>
      <rPr>
        <sz val="11"/>
        <color theme="1"/>
        <rFont val="Malgun Gothic"/>
        <charset val="129"/>
      </rPr>
      <t>얌전해보이지만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Malgun Gothic"/>
        <charset val="129"/>
      </rPr>
      <t>활발</t>
    </r>
    <r>
      <rPr>
        <sz val="11"/>
        <color theme="1"/>
        <rFont val="Calibri"/>
        <scheme val="minor"/>
      </rPr>
      <t xml:space="preserve">  </t>
    </r>
    <r>
      <rPr>
        <sz val="11"/>
        <color theme="1"/>
        <rFont val="Malgun Gothic"/>
        <charset val="129"/>
      </rPr>
      <t>힙합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Malgun Gothic"/>
        <charset val="129"/>
      </rPr>
      <t>좋아함</t>
    </r>
    <r>
      <rPr>
        <sz val="11"/>
        <color theme="1"/>
        <rFont val="Calibri"/>
        <scheme val="minor"/>
      </rPr>
      <t xml:space="preserve"> </t>
    </r>
    <phoneticPr fontId="23" type="noConversion"/>
  </si>
  <si>
    <t>모두에게 편안함을 줄 수 있는 사람</t>
    <phoneticPr fontId="23" type="noConversion"/>
  </si>
  <si>
    <t>먼저 다가가는 그런 사람 소외되는 사람 없게끔 할거당</t>
    <phoneticPr fontId="23" type="noConversion"/>
  </si>
  <si>
    <t>인간관계 넓히고 싶다 마지막일지도 모르는 공유할수있는 장소</t>
    <phoneticPr fontId="23" type="noConversion"/>
  </si>
  <si>
    <t>동아리가 활성화 되어있는거 같다.</t>
    <phoneticPr fontId="23" type="noConversion"/>
  </si>
  <si>
    <t xml:space="preserve">완벽주의 성향이 강하게 있음 </t>
    <phoneticPr fontId="23" type="noConversion"/>
  </si>
  <si>
    <t>리더가 될 준비 되어있다. 내가 하기에 효율적이라면 함. 나보다 뛰어난 사람있으면 양보함</t>
    <phoneticPr fontId="23" type="noConversion"/>
  </si>
  <si>
    <t>경쟁률</t>
    <phoneticPr fontId="23" type="noConversion"/>
  </si>
  <si>
    <t>연령층</t>
    <phoneticPr fontId="23" type="noConversion"/>
  </si>
  <si>
    <t>오티 시간</t>
    <phoneticPr fontId="23" type="noConversion"/>
  </si>
  <si>
    <t>콜택시</t>
    <phoneticPr fontId="23" type="noConversion"/>
  </si>
  <si>
    <t>부르면 언제든 달려온다</t>
    <phoneticPr fontId="23" type="noConversion"/>
  </si>
  <si>
    <t>단톡방 대화 활발한지</t>
    <phoneticPr fontId="23" type="noConversion"/>
  </si>
  <si>
    <t>결과 발표 시간대</t>
    <phoneticPr fontId="23" type="noConversion"/>
  </si>
  <si>
    <t>?</t>
  </si>
  <si>
    <t>합</t>
  </si>
  <si>
    <t xml:space="preserve">최종 </t>
  </si>
  <si>
    <r>
      <rPr>
        <sz val="11"/>
        <color rgb="FF0000FF"/>
        <rFont val="Calibri"/>
        <family val="2"/>
      </rPr>
      <t>민시훈</t>
    </r>
  </si>
  <si>
    <t>o</t>
  </si>
  <si>
    <r>
      <rPr>
        <sz val="11"/>
        <color rgb="FFFF33CC"/>
        <rFont val="Calibri"/>
        <family val="2"/>
      </rPr>
      <t>명수민</t>
    </r>
  </si>
  <si>
    <r>
      <rPr>
        <sz val="11"/>
        <color rgb="FFFF33CC"/>
        <rFont val="Calibri"/>
        <family val="2"/>
      </rPr>
      <t>장재연</t>
    </r>
  </si>
  <si>
    <t>20일 점심 가능여부 문의</t>
  </si>
  <si>
    <r>
      <rPr>
        <sz val="11"/>
        <color rgb="FF0000FF"/>
        <rFont val="Calibri"/>
        <family val="2"/>
      </rPr>
      <t>배환규</t>
    </r>
  </si>
  <si>
    <r>
      <rPr>
        <sz val="11"/>
        <color rgb="FFFF33CC"/>
        <rFont val="Calibri"/>
        <family val="2"/>
      </rPr>
      <t>한나연</t>
    </r>
  </si>
  <si>
    <r>
      <rPr>
        <sz val="11"/>
        <color rgb="FF0000FF"/>
        <rFont val="Calibri"/>
        <family val="2"/>
      </rPr>
      <t>문성현</t>
    </r>
  </si>
  <si>
    <r>
      <rPr>
        <sz val="11"/>
        <color rgb="FF0000FF"/>
        <rFont val="Calibri"/>
        <family val="2"/>
      </rPr>
      <t>김정호</t>
    </r>
  </si>
  <si>
    <r>
      <rPr>
        <sz val="11"/>
        <color rgb="FF0000FF"/>
        <rFont val="Calibri"/>
        <family val="2"/>
      </rPr>
      <t>박동혁</t>
    </r>
  </si>
  <si>
    <r>
      <rPr>
        <sz val="11"/>
        <color rgb="FF0000FF"/>
        <rFont val="Calibri"/>
        <family val="2"/>
      </rPr>
      <t>황정우</t>
    </r>
  </si>
  <si>
    <r>
      <rPr>
        <sz val="11"/>
        <color rgb="FF0000FF"/>
        <rFont val="Calibri"/>
        <family val="2"/>
      </rPr>
      <t>박진영</t>
    </r>
  </si>
  <si>
    <r>
      <rPr>
        <sz val="11"/>
        <color rgb="FF0000FF"/>
        <rFont val="Calibri"/>
        <family val="2"/>
      </rPr>
      <t>최원우</t>
    </r>
  </si>
  <si>
    <t>19일 밤9시 or 20일 가능 문의</t>
  </si>
  <si>
    <r>
      <rPr>
        <sz val="11"/>
        <color rgb="FF0000FF"/>
        <rFont val="Calibri"/>
        <family val="2"/>
      </rPr>
      <t>이상진</t>
    </r>
  </si>
  <si>
    <r>
      <rPr>
        <sz val="11"/>
        <color rgb="FF0000FF"/>
        <rFont val="Calibri"/>
        <family val="2"/>
      </rPr>
      <t>김준용</t>
    </r>
  </si>
  <si>
    <r>
      <rPr>
        <sz val="11"/>
        <color rgb="FF0000FF"/>
        <rFont val="Calibri"/>
        <family val="2"/>
      </rPr>
      <t>윤형진</t>
    </r>
  </si>
  <si>
    <r>
      <rPr>
        <sz val="11"/>
        <color rgb="FF0000FF"/>
        <rFont val="Calibri"/>
        <family val="2"/>
      </rPr>
      <t>공형곤</t>
    </r>
  </si>
  <si>
    <r>
      <rPr>
        <sz val="11"/>
        <color rgb="FFFF33CC"/>
        <rFont val="Calibri"/>
        <family val="2"/>
      </rPr>
      <t>황지원</t>
    </r>
  </si>
  <si>
    <r>
      <rPr>
        <sz val="11"/>
        <color rgb="FF0000FF"/>
        <rFont val="Calibri"/>
        <family val="2"/>
      </rPr>
      <t>염선협</t>
    </r>
  </si>
  <si>
    <r>
      <rPr>
        <sz val="11"/>
        <color rgb="FFFF33CC"/>
        <rFont val="Calibri"/>
        <family val="2"/>
      </rPr>
      <t>김량희</t>
    </r>
  </si>
  <si>
    <r>
      <rPr>
        <sz val="11"/>
        <color rgb="FF0000FF"/>
        <rFont val="Calibri"/>
        <family val="2"/>
      </rPr>
      <t>신재환</t>
    </r>
  </si>
  <si>
    <r>
      <rPr>
        <sz val="11"/>
        <color rgb="FF0000FF"/>
        <rFont val="Calibri"/>
        <family val="2"/>
      </rPr>
      <t>함태윤</t>
    </r>
  </si>
  <si>
    <r>
      <rPr>
        <sz val="11"/>
        <color rgb="FF0000FF"/>
        <rFont val="Calibri"/>
        <family val="2"/>
      </rPr>
      <t>김정수</t>
    </r>
  </si>
  <si>
    <r>
      <rPr>
        <sz val="11"/>
        <color rgb="FFFF33CC"/>
        <rFont val="Calibri"/>
        <family val="2"/>
      </rPr>
      <t>김세미</t>
    </r>
  </si>
  <si>
    <r>
      <rPr>
        <sz val="11"/>
        <color rgb="FFFF33CC"/>
        <rFont val="Calibri"/>
        <family val="2"/>
      </rPr>
      <t>남희은</t>
    </r>
  </si>
  <si>
    <r>
      <rPr>
        <sz val="11"/>
        <color rgb="FF0000FF"/>
        <rFont val="Calibri"/>
        <family val="2"/>
      </rPr>
      <t>정원채</t>
    </r>
  </si>
  <si>
    <r>
      <rPr>
        <sz val="11"/>
        <color rgb="FF0000FF"/>
        <rFont val="Calibri"/>
        <family val="2"/>
      </rPr>
      <t>고성우</t>
    </r>
  </si>
  <si>
    <r>
      <rPr>
        <sz val="11"/>
        <color rgb="FF0000FF"/>
        <rFont val="Calibri"/>
        <family val="2"/>
      </rPr>
      <t>고준혁</t>
    </r>
  </si>
  <si>
    <r>
      <rPr>
        <sz val="11"/>
        <color rgb="FF0000FF"/>
        <rFont val="Calibri"/>
        <family val="2"/>
      </rPr>
      <t>김영준</t>
    </r>
  </si>
  <si>
    <t>18일(비대면) 19일(비대면) 20일(비대면)</t>
  </si>
  <si>
    <r>
      <rPr>
        <sz val="11"/>
        <color rgb="FF0000FF"/>
        <rFont val="Calibri"/>
        <family val="2"/>
      </rPr>
      <t>여진혁</t>
    </r>
  </si>
  <si>
    <r>
      <rPr>
        <sz val="11"/>
        <color rgb="FFFF33CC"/>
        <rFont val="Calibri"/>
        <family val="2"/>
      </rPr>
      <t>김보라</t>
    </r>
  </si>
  <si>
    <r>
      <rPr>
        <sz val="11"/>
        <color rgb="FF0000FF"/>
        <rFont val="Calibri"/>
        <family val="2"/>
      </rPr>
      <t>유성종</t>
    </r>
  </si>
  <si>
    <r>
      <rPr>
        <sz val="11"/>
        <color rgb="FF0000FF"/>
        <rFont val="Calibri"/>
        <family val="2"/>
      </rPr>
      <t>이시율</t>
    </r>
  </si>
  <si>
    <r>
      <rPr>
        <sz val="11"/>
        <color rgb="FF0000FF"/>
        <rFont val="Calibri"/>
        <family val="2"/>
      </rPr>
      <t>최준석</t>
    </r>
  </si>
  <si>
    <t>추합</t>
    <phoneticPr fontId="23" type="noConversion"/>
  </si>
  <si>
    <r>
      <rPr>
        <sz val="11"/>
        <color rgb="FFFF33CC"/>
        <rFont val="Calibri"/>
        <family val="2"/>
      </rPr>
      <t>홍혜빈</t>
    </r>
  </si>
  <si>
    <t>알바가 일욜이라 최대한 빠른시간 희망</t>
  </si>
  <si>
    <r>
      <rPr>
        <sz val="11"/>
        <color rgb="FF0000FF"/>
        <rFont val="Calibri"/>
        <family val="2"/>
      </rPr>
      <t>박승혁</t>
    </r>
  </si>
  <si>
    <r>
      <rPr>
        <sz val="11"/>
        <color rgb="FFFF33CC"/>
        <rFont val="Calibri"/>
        <family val="2"/>
      </rPr>
      <t>권제인</t>
    </r>
  </si>
  <si>
    <r>
      <rPr>
        <sz val="11"/>
        <color rgb="FF0000FF"/>
        <rFont val="Calibri"/>
        <family val="2"/>
      </rPr>
      <t>이희태</t>
    </r>
  </si>
  <si>
    <r>
      <rPr>
        <sz val="11"/>
        <color rgb="FF0000FF"/>
        <rFont val="Calibri"/>
        <family val="2"/>
      </rPr>
      <t>홍현우</t>
    </r>
  </si>
  <si>
    <r>
      <rPr>
        <sz val="11"/>
        <color rgb="FF0000FF"/>
        <rFont val="Calibri"/>
        <family val="2"/>
      </rPr>
      <t>장진화</t>
    </r>
  </si>
  <si>
    <r>
      <rPr>
        <sz val="11"/>
        <color rgb="FF0000FF"/>
        <rFont val="Calibri"/>
        <family val="2"/>
      </rPr>
      <t>정진우</t>
    </r>
  </si>
  <si>
    <r>
      <rPr>
        <sz val="11"/>
        <color rgb="FF0000FF"/>
        <rFont val="Calibri"/>
        <family val="2"/>
      </rPr>
      <t>김재혁</t>
    </r>
  </si>
  <si>
    <t>19일 12시 이전 or 18시30분 이후 희망</t>
  </si>
  <si>
    <r>
      <rPr>
        <sz val="11"/>
        <color rgb="FFFF33CC"/>
        <rFont val="Calibri"/>
        <family val="2"/>
      </rPr>
      <t>이은진</t>
    </r>
  </si>
  <si>
    <r>
      <rPr>
        <sz val="11"/>
        <color rgb="FF0000FF"/>
        <rFont val="Calibri"/>
        <family val="2"/>
      </rPr>
      <t>김재원</t>
    </r>
  </si>
  <si>
    <t>17일 오후 3시이후 or 조율가능</t>
  </si>
  <si>
    <r>
      <rPr>
        <sz val="11"/>
        <color rgb="FFFF33CC"/>
        <rFont val="Calibri"/>
        <family val="2"/>
      </rPr>
      <t>김채현</t>
    </r>
  </si>
  <si>
    <r>
      <rPr>
        <sz val="11"/>
        <color rgb="FF0000FF"/>
        <rFont val="Calibri"/>
        <family val="2"/>
      </rPr>
      <t>박성근</t>
    </r>
  </si>
  <si>
    <r>
      <rPr>
        <sz val="11"/>
        <color rgb="FF0000FF"/>
        <rFont val="Calibri"/>
        <family val="2"/>
      </rPr>
      <t>조희재</t>
    </r>
  </si>
  <si>
    <r>
      <rPr>
        <sz val="11"/>
        <color rgb="FF0000FF"/>
        <rFont val="Calibri"/>
        <family val="2"/>
      </rPr>
      <t>김정환</t>
    </r>
  </si>
  <si>
    <r>
      <rPr>
        <sz val="11"/>
        <color rgb="FF0000FF"/>
        <rFont val="Calibri"/>
        <family val="2"/>
      </rPr>
      <t>김강욱</t>
    </r>
  </si>
  <si>
    <r>
      <rPr>
        <sz val="11"/>
        <color rgb="FF0000FF"/>
        <rFont val="Calibri"/>
        <family val="2"/>
      </rPr>
      <t>이동엽</t>
    </r>
  </si>
  <si>
    <r>
      <rPr>
        <sz val="11"/>
        <color rgb="FF0000FF"/>
        <rFont val="Calibri"/>
        <family val="2"/>
      </rPr>
      <t>배제훈</t>
    </r>
  </si>
  <si>
    <r>
      <rPr>
        <sz val="11"/>
        <color rgb="FF0000FF"/>
        <rFont val="Calibri"/>
        <family val="2"/>
      </rPr>
      <t>오재민</t>
    </r>
  </si>
  <si>
    <r>
      <rPr>
        <sz val="11"/>
        <color rgb="FF0000FF"/>
        <rFont val="Calibri"/>
        <family val="2"/>
      </rPr>
      <t>모규복</t>
    </r>
  </si>
  <si>
    <r>
      <rPr>
        <sz val="11"/>
        <color rgb="FF0000FF"/>
        <rFont val="Calibri"/>
        <family val="2"/>
      </rPr>
      <t>김재흔</t>
    </r>
  </si>
  <si>
    <r>
      <rPr>
        <sz val="11"/>
        <color rgb="FF0000FF"/>
        <rFont val="Calibri"/>
        <family val="2"/>
      </rPr>
      <t>나찬웅</t>
    </r>
  </si>
  <si>
    <r>
      <rPr>
        <sz val="11"/>
        <color rgb="FF0000FF"/>
        <rFont val="Calibri"/>
        <family val="2"/>
      </rPr>
      <t>김민완</t>
    </r>
  </si>
  <si>
    <r>
      <rPr>
        <sz val="11"/>
        <color rgb="FF0000FF"/>
        <rFont val="Calibri"/>
        <family val="2"/>
      </rPr>
      <t>황찬욱</t>
    </r>
  </si>
  <si>
    <r>
      <rPr>
        <sz val="11"/>
        <color rgb="FFFF33CC"/>
        <rFont val="Calibri"/>
        <family val="2"/>
      </rPr>
      <t>김솔비</t>
    </r>
  </si>
  <si>
    <r>
      <rPr>
        <sz val="11"/>
        <color rgb="FF0000FF"/>
        <rFont val="Calibri"/>
        <family val="2"/>
      </rPr>
      <t>황승민</t>
    </r>
  </si>
  <si>
    <r>
      <rPr>
        <sz val="11"/>
        <color rgb="FFFF33CC"/>
        <rFont val="Calibri"/>
        <family val="2"/>
      </rPr>
      <t>한진영</t>
    </r>
  </si>
  <si>
    <r>
      <rPr>
        <sz val="11"/>
        <color rgb="FFFF33CC"/>
        <rFont val="Calibri"/>
        <family val="2"/>
      </rPr>
      <t>이하연</t>
    </r>
  </si>
  <si>
    <r>
      <rPr>
        <sz val="11"/>
        <color rgb="FF0000FF"/>
        <rFont val="Calibri"/>
        <family val="2"/>
      </rPr>
      <t>안호근</t>
    </r>
  </si>
  <si>
    <r>
      <rPr>
        <sz val="11"/>
        <color rgb="FF0000FF"/>
        <rFont val="Calibri"/>
        <family val="2"/>
      </rPr>
      <t>차성현</t>
    </r>
  </si>
  <si>
    <r>
      <rPr>
        <sz val="11"/>
        <color rgb="FF0000FF"/>
        <rFont val="Calibri"/>
        <family val="2"/>
      </rPr>
      <t>이성희</t>
    </r>
  </si>
  <si>
    <r>
      <rPr>
        <sz val="11"/>
        <color rgb="FFFF33CC"/>
        <rFont val="Calibri"/>
        <family val="2"/>
      </rPr>
      <t>손석희</t>
    </r>
  </si>
  <si>
    <t>합불</t>
  </si>
  <si>
    <t>총점</t>
  </si>
  <si>
    <t>C</t>
    <phoneticPr fontId="23" type="noConversion"/>
  </si>
  <si>
    <t>D</t>
    <phoneticPr fontId="23" type="noConversion"/>
  </si>
  <si>
    <t>E</t>
    <phoneticPr fontId="23" type="noConversion"/>
  </si>
  <si>
    <t>F</t>
    <phoneticPr fontId="23" type="noConversion"/>
  </si>
  <si>
    <t>G</t>
    <phoneticPr fontId="23" type="noConversion"/>
  </si>
  <si>
    <t>H</t>
    <phoneticPr fontId="23" type="noConversion"/>
  </si>
  <si>
    <t>I</t>
    <phoneticPr fontId="23" type="noConversion"/>
  </si>
  <si>
    <t>J</t>
    <phoneticPr fontId="23" type="noConversion"/>
  </si>
  <si>
    <t>K</t>
    <phoneticPr fontId="23" type="noConversion"/>
  </si>
  <si>
    <t>L</t>
    <phoneticPr fontId="23" type="noConversion"/>
  </si>
  <si>
    <t>M</t>
    <phoneticPr fontId="23" type="noConversion"/>
  </si>
  <si>
    <t>N</t>
    <phoneticPr fontId="23" type="noConversion"/>
  </si>
  <si>
    <t>O</t>
    <phoneticPr fontId="23" type="noConversion"/>
  </si>
  <si>
    <t>P</t>
    <phoneticPr fontId="23" type="noConversion"/>
  </si>
  <si>
    <t>Q</t>
    <phoneticPr fontId="23" type="noConversion"/>
  </si>
  <si>
    <t>R</t>
    <phoneticPr fontId="23" type="noConversion"/>
  </si>
  <si>
    <t>S</t>
    <phoneticPr fontId="23" type="noConversion"/>
  </si>
  <si>
    <t>T</t>
    <phoneticPr fontId="23" type="noConversion"/>
  </si>
  <si>
    <t>U</t>
    <phoneticPr fontId="23" type="noConversion"/>
  </si>
  <si>
    <t>V</t>
    <phoneticPr fontId="23" type="noConversion"/>
  </si>
  <si>
    <t>W</t>
    <phoneticPr fontId="23" type="noConversion"/>
  </si>
  <si>
    <t>9.30</t>
    <phoneticPr fontId="23" type="noConversion"/>
  </si>
  <si>
    <t>9.40</t>
    <phoneticPr fontId="23" type="noConversion"/>
  </si>
  <si>
    <r>
      <rPr>
        <sz val="11"/>
        <color theme="1"/>
        <rFont val="Malgun Gothic"/>
        <charset val="129"/>
      </rPr>
      <t>총합</t>
    </r>
    <r>
      <rPr>
        <sz val="11"/>
        <color theme="1"/>
        <rFont val="Calibri"/>
        <scheme val="minor"/>
      </rPr>
      <t xml:space="preserve"> 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</si>
</sst>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0_ "/>
  </numFmts>
  <fonts count="31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3F3FEF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rgb="FFFF66FF"/>
      <name val="Malgun Gothic"/>
      <family val="3"/>
      <charset val="129"/>
    </font>
    <font>
      <sz val="11"/>
      <color rgb="FF0070C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rgb="FFFD55E5"/>
      <name val="Malgun Gothic"/>
      <family val="3"/>
      <charset val="129"/>
    </font>
    <font>
      <sz val="11"/>
      <color rgb="FFBFBFBF"/>
      <name val="Malgun Gothic"/>
      <family val="3"/>
      <charset val="129"/>
    </font>
    <font>
      <sz val="11"/>
      <color rgb="FFBFBFBF"/>
      <name val="Calibri"/>
      <family val="2"/>
    </font>
    <font>
      <sz val="11"/>
      <color rgb="FFFF66FF"/>
      <name val="Calibri"/>
      <family val="2"/>
    </font>
    <font>
      <b/>
      <sz val="11"/>
      <color rgb="FFFF66FF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sz val="11"/>
      <color rgb="FF00B050"/>
      <name val="Calibri"/>
      <family val="2"/>
    </font>
    <font>
      <b/>
      <sz val="11"/>
      <color rgb="FFFF66FF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Malgun Gothic"/>
      <family val="3"/>
      <charset val="129"/>
    </font>
    <font>
      <sz val="11"/>
      <color rgb="FF0000FF"/>
      <name val="Calibri"/>
      <family val="2"/>
    </font>
    <font>
      <sz val="11"/>
      <color rgb="FF99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Malgun Gothic"/>
      <charset val="129"/>
    </font>
    <font>
      <sz val="9"/>
      <color rgb="FF000000"/>
      <name val="&quot;Google Sans Mono&quot;"/>
    </font>
    <font>
      <sz val="11"/>
      <color rgb="FFFF33CC"/>
      <name val="Calibri"/>
      <family val="2"/>
    </font>
    <font>
      <b/>
      <sz val="11"/>
      <color rgb="FFFF33CC"/>
      <name val="Calibri"/>
      <family val="2"/>
    </font>
    <font>
      <b/>
      <sz val="11"/>
      <color rgb="FF0000FF"/>
      <name val="Calibri"/>
      <family val="2"/>
    </font>
    <font>
      <sz val="11"/>
      <color theme="1"/>
      <name val="맑은 고딕"/>
      <family val="3"/>
      <charset val="129"/>
    </font>
    <font>
      <b/>
      <sz val="11"/>
      <color theme="1"/>
      <name val="Gulim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E6CDFF"/>
        <bgColor rgb="FFE6CDFF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vertical="center"/>
    </xf>
    <xf numFmtId="0" fontId="1" fillId="3" borderId="34" xfId="0" applyFont="1" applyFill="1" applyBorder="1" applyAlignment="1">
      <alignment vertical="center"/>
    </xf>
    <xf numFmtId="0" fontId="1" fillId="3" borderId="3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" fillId="3" borderId="38" xfId="0" applyFont="1" applyFill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3" borderId="40" xfId="0" applyFont="1" applyFill="1" applyBorder="1" applyAlignment="1">
      <alignment vertical="center"/>
    </xf>
    <xf numFmtId="0" fontId="1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1" fillId="3" borderId="46" xfId="0" applyFont="1" applyFill="1" applyBorder="1" applyAlignment="1">
      <alignment vertical="center"/>
    </xf>
    <xf numFmtId="0" fontId="1" fillId="3" borderId="47" xfId="0" applyFont="1" applyFill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3" borderId="48" xfId="0" applyFont="1" applyFill="1" applyBorder="1" applyAlignment="1">
      <alignment vertical="center"/>
    </xf>
    <xf numFmtId="0" fontId="1" fillId="3" borderId="49" xfId="0" applyFont="1" applyFill="1" applyBorder="1" applyAlignment="1">
      <alignment vertical="center"/>
    </xf>
    <xf numFmtId="0" fontId="1" fillId="3" borderId="5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4" borderId="51" xfId="0" applyFont="1" applyFill="1" applyBorder="1" applyAlignment="1">
      <alignment vertical="center"/>
    </xf>
    <xf numFmtId="0" fontId="1" fillId="4" borderId="46" xfId="0" applyFont="1" applyFill="1" applyBorder="1" applyAlignment="1">
      <alignment vertical="center"/>
    </xf>
    <xf numFmtId="0" fontId="1" fillId="4" borderId="52" xfId="0" applyFont="1" applyFill="1" applyBorder="1" applyAlignment="1">
      <alignment vertical="center"/>
    </xf>
    <xf numFmtId="0" fontId="1" fillId="4" borderId="53" xfId="0" quotePrefix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41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54" xfId="0" applyFont="1" applyFill="1" applyBorder="1" applyAlignment="1">
      <alignment vertical="center"/>
    </xf>
    <xf numFmtId="0" fontId="1" fillId="4" borderId="55" xfId="0" quotePrefix="1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vertical="center"/>
    </xf>
    <xf numFmtId="0" fontId="1" fillId="4" borderId="56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5" borderId="51" xfId="0" applyFont="1" applyFill="1" applyBorder="1" applyAlignment="1">
      <alignment horizontal="left" vertical="center"/>
    </xf>
    <xf numFmtId="0" fontId="1" fillId="5" borderId="46" xfId="0" applyFont="1" applyFill="1" applyBorder="1" applyAlignment="1">
      <alignment vertical="center"/>
    </xf>
    <xf numFmtId="0" fontId="1" fillId="5" borderId="52" xfId="0" applyFont="1" applyFill="1" applyBorder="1" applyAlignment="1">
      <alignment vertical="center"/>
    </xf>
    <xf numFmtId="0" fontId="1" fillId="5" borderId="53" xfId="0" quotePrefix="1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4" xfId="0" applyFont="1" applyFill="1" applyBorder="1" applyAlignment="1">
      <alignment vertical="center"/>
    </xf>
    <xf numFmtId="0" fontId="1" fillId="5" borderId="55" xfId="0" quotePrefix="1" applyFont="1" applyFill="1" applyBorder="1" applyAlignment="1">
      <alignment vertical="center"/>
    </xf>
    <xf numFmtId="0" fontId="1" fillId="5" borderId="37" xfId="0" applyFont="1" applyFill="1" applyBorder="1" applyAlignment="1">
      <alignment vertical="center"/>
    </xf>
    <xf numFmtId="0" fontId="1" fillId="5" borderId="56" xfId="0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5" borderId="58" xfId="0" applyFont="1" applyFill="1" applyBorder="1" applyAlignment="1">
      <alignment vertical="center"/>
    </xf>
    <xf numFmtId="0" fontId="2" fillId="5" borderId="59" xfId="0" applyFont="1" applyFill="1" applyBorder="1" applyAlignment="1">
      <alignment vertical="center"/>
    </xf>
    <xf numFmtId="0" fontId="2" fillId="5" borderId="60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" fillId="5" borderId="53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54" xfId="0" applyFont="1" applyFill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5" borderId="55" xfId="0" applyFont="1" applyFill="1" applyBorder="1" applyAlignment="1">
      <alignment vertical="center"/>
    </xf>
    <xf numFmtId="0" fontId="2" fillId="5" borderId="37" xfId="0" applyFont="1" applyFill="1" applyBorder="1" applyAlignment="1">
      <alignment vertical="center"/>
    </xf>
    <xf numFmtId="0" fontId="2" fillId="5" borderId="56" xfId="0" applyFont="1" applyFill="1" applyBorder="1" applyAlignment="1">
      <alignment vertical="center"/>
    </xf>
    <xf numFmtId="0" fontId="8" fillId="5" borderId="58" xfId="0" applyFont="1" applyFill="1" applyBorder="1" applyAlignment="1">
      <alignment vertical="center"/>
    </xf>
    <xf numFmtId="0" fontId="8" fillId="5" borderId="61" xfId="0" applyFont="1" applyFill="1" applyBorder="1" applyAlignment="1">
      <alignment vertical="center"/>
    </xf>
    <xf numFmtId="0" fontId="8" fillId="5" borderId="62" xfId="0" applyFont="1" applyFill="1" applyBorder="1" applyAlignment="1">
      <alignment vertical="center"/>
    </xf>
    <xf numFmtId="0" fontId="8" fillId="5" borderId="53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5" borderId="54" xfId="0" applyFont="1" applyFill="1" applyBorder="1" applyAlignment="1">
      <alignment vertical="center"/>
    </xf>
    <xf numFmtId="0" fontId="8" fillId="5" borderId="55" xfId="0" applyFont="1" applyFill="1" applyBorder="1" applyAlignment="1">
      <alignment vertical="center"/>
    </xf>
    <xf numFmtId="0" fontId="8" fillId="5" borderId="37" xfId="0" applyFont="1" applyFill="1" applyBorder="1" applyAlignment="1">
      <alignment vertical="center"/>
    </xf>
    <xf numFmtId="0" fontId="8" fillId="5" borderId="56" xfId="0" applyFont="1" applyFill="1" applyBorder="1" applyAlignment="1">
      <alignment vertical="center"/>
    </xf>
    <xf numFmtId="0" fontId="6" fillId="6" borderId="51" xfId="0" applyFont="1" applyFill="1" applyBorder="1" applyAlignment="1">
      <alignment horizontal="left" vertical="center"/>
    </xf>
    <xf numFmtId="0" fontId="1" fillId="6" borderId="46" xfId="0" applyFont="1" applyFill="1" applyBorder="1" applyAlignment="1">
      <alignment vertical="center"/>
    </xf>
    <xf numFmtId="0" fontId="1" fillId="6" borderId="52" xfId="0" applyFont="1" applyFill="1" applyBorder="1" applyAlignment="1">
      <alignment vertical="center"/>
    </xf>
    <xf numFmtId="0" fontId="1" fillId="6" borderId="63" xfId="0" quotePrefix="1" applyFont="1" applyFill="1" applyBorder="1" applyAlignment="1">
      <alignment vertical="center"/>
    </xf>
    <xf numFmtId="0" fontId="1" fillId="6" borderId="41" xfId="0" applyFont="1" applyFill="1" applyBorder="1" applyAlignment="1">
      <alignment vertical="center"/>
    </xf>
    <xf numFmtId="0" fontId="1" fillId="6" borderId="64" xfId="0" applyFont="1" applyFill="1" applyBorder="1" applyAlignment="1">
      <alignment vertical="center"/>
    </xf>
    <xf numFmtId="0" fontId="1" fillId="6" borderId="55" xfId="0" quotePrefix="1" applyFont="1" applyFill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1" fillId="6" borderId="56" xfId="0" applyFont="1" applyFill="1" applyBorder="1" applyAlignment="1">
      <alignment vertical="center"/>
    </xf>
    <xf numFmtId="0" fontId="6" fillId="7" borderId="51" xfId="0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7" borderId="52" xfId="0" applyFont="1" applyFill="1" applyBorder="1" applyAlignment="1">
      <alignment vertical="center"/>
    </xf>
    <xf numFmtId="0" fontId="1" fillId="7" borderId="63" xfId="0" applyFont="1" applyFill="1" applyBorder="1" applyAlignment="1">
      <alignment vertical="center"/>
    </xf>
    <xf numFmtId="0" fontId="1" fillId="7" borderId="41" xfId="0" applyFont="1" applyFill="1" applyBorder="1" applyAlignment="1">
      <alignment vertical="center"/>
    </xf>
    <xf numFmtId="0" fontId="1" fillId="7" borderId="64" xfId="0" applyFont="1" applyFill="1" applyBorder="1" applyAlignment="1">
      <alignment vertical="center"/>
    </xf>
    <xf numFmtId="0" fontId="2" fillId="7" borderId="55" xfId="0" applyFont="1" applyFill="1" applyBorder="1" applyAlignment="1">
      <alignment vertical="center"/>
    </xf>
    <xf numFmtId="0" fontId="1" fillId="7" borderId="37" xfId="0" applyFont="1" applyFill="1" applyBorder="1" applyAlignment="1">
      <alignment vertical="center"/>
    </xf>
    <xf numFmtId="0" fontId="1" fillId="7" borderId="56" xfId="0" applyFont="1" applyFill="1" applyBorder="1" applyAlignment="1">
      <alignment vertical="center"/>
    </xf>
    <xf numFmtId="0" fontId="2" fillId="7" borderId="53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54" xfId="0" applyFont="1" applyFill="1" applyBorder="1" applyAlignment="1">
      <alignment vertical="center"/>
    </xf>
    <xf numFmtId="0" fontId="1" fillId="7" borderId="53" xfId="0" applyFont="1" applyFill="1" applyBorder="1" applyAlignment="1">
      <alignment vertical="center"/>
    </xf>
    <xf numFmtId="0" fontId="6" fillId="8" borderId="63" xfId="0" applyFont="1" applyFill="1" applyBorder="1" applyAlignment="1">
      <alignment vertical="center"/>
    </xf>
    <xf numFmtId="0" fontId="1" fillId="8" borderId="41" xfId="0" applyFont="1" applyFill="1" applyBorder="1" applyAlignment="1">
      <alignment vertical="center"/>
    </xf>
    <xf numFmtId="0" fontId="1" fillId="8" borderId="64" xfId="0" applyFont="1" applyFill="1" applyBorder="1" applyAlignment="1">
      <alignment vertical="center"/>
    </xf>
    <xf numFmtId="0" fontId="1" fillId="8" borderId="51" xfId="0" applyFont="1" applyFill="1" applyBorder="1" applyAlignment="1">
      <alignment vertical="center"/>
    </xf>
    <xf numFmtId="0" fontId="1" fillId="8" borderId="46" xfId="0" applyFont="1" applyFill="1" applyBorder="1" applyAlignment="1">
      <alignment vertical="center"/>
    </xf>
    <xf numFmtId="0" fontId="1" fillId="8" borderId="52" xfId="0" applyFont="1" applyFill="1" applyBorder="1" applyAlignment="1">
      <alignment vertical="center"/>
    </xf>
    <xf numFmtId="0" fontId="1" fillId="8" borderId="63" xfId="0" applyFont="1" applyFill="1" applyBorder="1" applyAlignment="1">
      <alignment vertical="center"/>
    </xf>
    <xf numFmtId="0" fontId="1" fillId="8" borderId="53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8" borderId="54" xfId="0" applyFont="1" applyFill="1" applyBorder="1" applyAlignment="1">
      <alignment vertical="center"/>
    </xf>
    <xf numFmtId="0" fontId="1" fillId="8" borderId="55" xfId="0" applyFont="1" applyFill="1" applyBorder="1" applyAlignment="1">
      <alignment vertical="center"/>
    </xf>
    <xf numFmtId="0" fontId="1" fillId="8" borderId="37" xfId="0" applyFont="1" applyFill="1" applyBorder="1" applyAlignment="1">
      <alignment vertical="center"/>
    </xf>
    <xf numFmtId="0" fontId="1" fillId="8" borderId="56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20" fontId="14" fillId="0" borderId="2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9" borderId="5" xfId="0" applyFont="1" applyFill="1" applyBorder="1" applyAlignment="1">
      <alignment vertical="center"/>
    </xf>
    <xf numFmtId="0" fontId="6" fillId="0" borderId="76" xfId="0" quotePrefix="1" applyFont="1" applyBorder="1" applyAlignment="1">
      <alignment horizontal="right" vertical="center"/>
    </xf>
    <xf numFmtId="0" fontId="6" fillId="2" borderId="77" xfId="0" applyFont="1" applyFill="1" applyBorder="1" applyAlignment="1">
      <alignment horizontal="left" vertical="center"/>
    </xf>
    <xf numFmtId="0" fontId="6" fillId="2" borderId="78" xfId="0" applyFont="1" applyFill="1" applyBorder="1" applyAlignment="1">
      <alignment horizontal="left" vertical="center"/>
    </xf>
    <xf numFmtId="0" fontId="6" fillId="2" borderId="79" xfId="0" applyFont="1" applyFill="1" applyBorder="1" applyAlignment="1">
      <alignment horizontal="left" vertical="center"/>
    </xf>
    <xf numFmtId="0" fontId="6" fillId="2" borderId="97" xfId="0" quotePrefix="1" applyFont="1" applyFill="1" applyBorder="1" applyAlignment="1">
      <alignment horizontal="right" vertical="center"/>
    </xf>
    <xf numFmtId="0" fontId="6" fillId="2" borderId="80" xfId="0" applyFont="1" applyFill="1" applyBorder="1" applyAlignment="1">
      <alignment horizontal="left" vertical="center"/>
    </xf>
    <xf numFmtId="0" fontId="6" fillId="2" borderId="98" xfId="0" applyFont="1" applyFill="1" applyBorder="1" applyAlignment="1">
      <alignment vertical="center"/>
    </xf>
    <xf numFmtId="0" fontId="6" fillId="2" borderId="101" xfId="0" applyFont="1" applyFill="1" applyBorder="1" applyAlignment="1">
      <alignment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102" xfId="0" applyFont="1" applyFill="1" applyBorder="1" applyAlignment="1">
      <alignment horizontal="center" vertical="center"/>
    </xf>
    <xf numFmtId="0" fontId="1" fillId="10" borderId="106" xfId="0" applyFont="1" applyFill="1" applyBorder="1" applyAlignment="1">
      <alignment horizontal="center" vertical="center"/>
    </xf>
    <xf numFmtId="0" fontId="1" fillId="10" borderId="107" xfId="0" applyFont="1" applyFill="1" applyBorder="1" applyAlignment="1">
      <alignment horizontal="center" vertical="center"/>
    </xf>
    <xf numFmtId="0" fontId="1" fillId="2" borderId="98" xfId="0" applyFont="1" applyFill="1" applyBorder="1" applyAlignment="1">
      <alignment vertical="center"/>
    </xf>
    <xf numFmtId="0" fontId="6" fillId="2" borderId="111" xfId="0" applyFont="1" applyFill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6" fillId="0" borderId="70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1" fillId="0" borderId="86" xfId="0" applyFont="1" applyBorder="1" applyAlignment="1">
      <alignment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112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12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6" fillId="3" borderId="15" xfId="0" applyFont="1" applyFill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176" fontId="1" fillId="0" borderId="14" xfId="0" quotePrefix="1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4" borderId="87" xfId="0" applyFont="1" applyFill="1" applyBorder="1" applyAlignment="1">
      <alignment horizontal="left" vertical="center"/>
    </xf>
    <xf numFmtId="0" fontId="4" fillId="0" borderId="88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1" fillId="10" borderId="90" xfId="0" applyFont="1" applyFill="1" applyBorder="1" applyAlignment="1">
      <alignment horizontal="left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1" fillId="10" borderId="83" xfId="0" applyFont="1" applyFill="1" applyBorder="1" applyAlignment="1">
      <alignment horizontal="left" vertical="center"/>
    </xf>
    <xf numFmtId="0" fontId="4" fillId="0" borderId="84" xfId="0" applyFont="1" applyBorder="1" applyAlignment="1">
      <alignment vertical="center"/>
    </xf>
    <xf numFmtId="0" fontId="4" fillId="0" borderId="85" xfId="0" applyFont="1" applyBorder="1" applyAlignment="1">
      <alignment vertical="center"/>
    </xf>
    <xf numFmtId="0" fontId="1" fillId="10" borderId="93" xfId="0" applyFont="1" applyFill="1" applyBorder="1" applyAlignment="1">
      <alignment horizontal="left" vertical="center"/>
    </xf>
    <xf numFmtId="0" fontId="4" fillId="0" borderId="94" xfId="0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6" fillId="2" borderId="99" xfId="0" applyFont="1" applyFill="1" applyBorder="1" applyAlignment="1">
      <alignment horizontal="left" vertical="center"/>
    </xf>
    <xf numFmtId="0" fontId="4" fillId="0" borderId="10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" fillId="4" borderId="90" xfId="0" applyFont="1" applyFill="1" applyBorder="1" applyAlignment="1">
      <alignment horizontal="left" vertical="center"/>
    </xf>
    <xf numFmtId="0" fontId="1" fillId="4" borderId="83" xfId="0" applyFont="1" applyFill="1" applyBorder="1" applyAlignment="1">
      <alignment horizontal="left" vertical="center"/>
    </xf>
    <xf numFmtId="0" fontId="6" fillId="2" borderId="80" xfId="0" applyFont="1" applyFill="1" applyBorder="1" applyAlignment="1">
      <alignment horizontal="left" vertical="center"/>
    </xf>
    <xf numFmtId="0" fontId="4" fillId="0" borderId="81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0" fontId="6" fillId="2" borderId="93" xfId="0" applyFont="1" applyFill="1" applyBorder="1" applyAlignment="1">
      <alignment horizontal="left" vertical="center"/>
    </xf>
    <xf numFmtId="0" fontId="1" fillId="4" borderId="99" xfId="0" applyFont="1" applyFill="1" applyBorder="1" applyAlignment="1">
      <alignment horizontal="left" vertical="center"/>
    </xf>
    <xf numFmtId="0" fontId="1" fillId="4" borderId="76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1" fillId="10" borderId="72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" fillId="4" borderId="66" xfId="0" applyFont="1" applyFill="1" applyBorder="1" applyAlignment="1">
      <alignment horizontal="center" vertical="center"/>
    </xf>
    <xf numFmtId="0" fontId="4" fillId="0" borderId="68" xfId="0" applyFont="1" applyBorder="1" applyAlignment="1">
      <alignment vertical="center"/>
    </xf>
    <xf numFmtId="0" fontId="1" fillId="4" borderId="72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0" borderId="22" xfId="0" quotePrefix="1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1" fillId="10" borderId="120" xfId="0" applyFont="1" applyFill="1" applyBorder="1" applyAlignment="1">
      <alignment horizontal="center" vertical="center"/>
    </xf>
    <xf numFmtId="0" fontId="4" fillId="0" borderId="125" xfId="0" applyFont="1" applyBorder="1" applyAlignment="1">
      <alignment vertical="center"/>
    </xf>
    <xf numFmtId="0" fontId="19" fillId="2" borderId="7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9" fillId="2" borderId="80" xfId="0" applyFont="1" applyFill="1" applyBorder="1" applyAlignment="1">
      <alignment horizontal="left" vertical="center"/>
    </xf>
    <xf numFmtId="0" fontId="19" fillId="2" borderId="83" xfId="0" applyFont="1" applyFill="1" applyBorder="1" applyAlignment="1">
      <alignment horizontal="left" vertical="center"/>
    </xf>
    <xf numFmtId="0" fontId="19" fillId="2" borderId="93" xfId="0" applyFont="1" applyFill="1" applyBorder="1" applyAlignment="1">
      <alignment horizontal="left" vertical="center"/>
    </xf>
    <xf numFmtId="0" fontId="6" fillId="2" borderId="96" xfId="0" applyFont="1" applyFill="1" applyBorder="1" applyAlignment="1">
      <alignment horizontal="left" vertical="center"/>
    </xf>
    <xf numFmtId="0" fontId="1" fillId="4" borderId="103" xfId="0" applyFont="1" applyFill="1" applyBorder="1" applyAlignment="1">
      <alignment horizontal="left" vertical="center"/>
    </xf>
    <xf numFmtId="0" fontId="4" fillId="0" borderId="104" xfId="0" applyFont="1" applyBorder="1" applyAlignment="1">
      <alignment vertical="center"/>
    </xf>
    <xf numFmtId="0" fontId="4" fillId="0" borderId="105" xfId="0" applyFont="1" applyBorder="1" applyAlignment="1">
      <alignment vertical="center"/>
    </xf>
    <xf numFmtId="0" fontId="1" fillId="10" borderId="103" xfId="0" applyFont="1" applyFill="1" applyBorder="1" applyAlignment="1">
      <alignment horizontal="left" vertical="center"/>
    </xf>
    <xf numFmtId="0" fontId="1" fillId="10" borderId="108" xfId="0" applyFont="1" applyFill="1" applyBorder="1" applyAlignment="1">
      <alignment horizontal="center" vertical="center"/>
    </xf>
    <xf numFmtId="0" fontId="4" fillId="0" borderId="109" xfId="0" applyFont="1" applyBorder="1" applyAlignment="1">
      <alignment vertical="center"/>
    </xf>
    <xf numFmtId="0" fontId="4" fillId="0" borderId="110" xfId="0" applyFont="1" applyBorder="1" applyAlignment="1">
      <alignment vertical="center"/>
    </xf>
    <xf numFmtId="0" fontId="1" fillId="10" borderId="87" xfId="0" applyFont="1" applyFill="1" applyBorder="1" applyAlignment="1">
      <alignment horizontal="left" vertical="center"/>
    </xf>
    <xf numFmtId="0" fontId="6" fillId="2" borderId="90" xfId="0" applyFont="1" applyFill="1" applyBorder="1" applyAlignment="1">
      <alignment horizontal="left" vertical="center"/>
    </xf>
    <xf numFmtId="0" fontId="6" fillId="2" borderId="111" xfId="0" applyFont="1" applyFill="1" applyBorder="1" applyAlignment="1">
      <alignment horizontal="left" vertical="center"/>
    </xf>
    <xf numFmtId="0" fontId="6" fillId="2" borderId="87" xfId="0" applyFont="1" applyFill="1" applyBorder="1" applyAlignment="1">
      <alignment horizontal="left" vertical="center"/>
    </xf>
    <xf numFmtId="0" fontId="1" fillId="4" borderId="80" xfId="0" applyFont="1" applyFill="1" applyBorder="1" applyAlignment="1">
      <alignment horizontal="left" vertical="center"/>
    </xf>
    <xf numFmtId="0" fontId="1" fillId="2" borderId="80" xfId="0" applyFont="1" applyFill="1" applyBorder="1" applyAlignment="1">
      <alignment horizontal="left" vertical="center"/>
    </xf>
    <xf numFmtId="0" fontId="1" fillId="2" borderId="83" xfId="0" applyFont="1" applyFill="1" applyBorder="1" applyAlignment="1">
      <alignment horizontal="left" vertical="center"/>
    </xf>
    <xf numFmtId="0" fontId="1" fillId="4" borderId="115" xfId="0" applyFont="1" applyFill="1" applyBorder="1" applyAlignment="1">
      <alignment horizontal="center" vertical="center"/>
    </xf>
    <xf numFmtId="0" fontId="4" fillId="0" borderId="119" xfId="0" applyFont="1" applyBorder="1" applyAlignment="1">
      <alignment vertical="center"/>
    </xf>
    <xf numFmtId="0" fontId="1" fillId="4" borderId="14" xfId="0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1" fillId="10" borderId="121" xfId="0" applyFont="1" applyFill="1" applyBorder="1" applyAlignment="1">
      <alignment horizontal="center" vertical="center"/>
    </xf>
    <xf numFmtId="0" fontId="1" fillId="10" borderId="122" xfId="0" applyFont="1" applyFill="1" applyBorder="1" applyAlignment="1">
      <alignment horizontal="center" vertical="center"/>
    </xf>
    <xf numFmtId="0" fontId="4" fillId="0" borderId="126" xfId="0" applyFont="1" applyBorder="1" applyAlignment="1">
      <alignment vertical="center"/>
    </xf>
    <xf numFmtId="0" fontId="1" fillId="10" borderId="123" xfId="0" applyFont="1" applyFill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1" fillId="10" borderId="1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1" fillId="2" borderId="9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4" borderId="113" xfId="0" applyFont="1" applyFill="1" applyBorder="1" applyAlignment="1">
      <alignment horizontal="center" vertical="center"/>
    </xf>
    <xf numFmtId="0" fontId="4" fillId="0" borderId="117" xfId="0" applyFont="1" applyBorder="1" applyAlignment="1">
      <alignment vertical="center"/>
    </xf>
    <xf numFmtId="0" fontId="1" fillId="4" borderId="114" xfId="0" applyFont="1" applyFill="1" applyBorder="1" applyAlignment="1">
      <alignment horizontal="center" vertical="center"/>
    </xf>
    <xf numFmtId="0" fontId="4" fillId="0" borderId="118" xfId="0" applyFont="1" applyBorder="1" applyAlignment="1">
      <alignment vertical="center"/>
    </xf>
    <xf numFmtId="0" fontId="1" fillId="4" borderId="67" xfId="0" applyFont="1" applyFill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1" fillId="10" borderId="73" xfId="0" applyFont="1" applyFill="1" applyBorder="1" applyAlignment="1">
      <alignment horizontal="left" vertical="center"/>
    </xf>
    <xf numFmtId="0" fontId="4" fillId="0" borderId="74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1" fillId="10" borderId="108" xfId="0" applyFont="1" applyFill="1" applyBorder="1" applyAlignment="1">
      <alignment horizontal="left" vertical="center"/>
    </xf>
    <xf numFmtId="0" fontId="1" fillId="4" borderId="67" xfId="0" applyFont="1" applyFill="1" applyBorder="1" applyAlignment="1">
      <alignment horizontal="center" vertical="center"/>
    </xf>
    <xf numFmtId="0" fontId="1" fillId="10" borderId="73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6" fillId="0" borderId="97" xfId="0" quotePrefix="1" applyFont="1" applyBorder="1" applyAlignment="1">
      <alignment horizontal="right" vertical="center"/>
    </xf>
    <xf numFmtId="0" fontId="6" fillId="2" borderId="82" xfId="0" applyFont="1" applyFill="1" applyBorder="1" applyAlignment="1">
      <alignment horizontal="left" vertical="center"/>
    </xf>
    <xf numFmtId="0" fontId="1" fillId="4" borderId="128" xfId="0" applyFont="1" applyFill="1" applyBorder="1" applyAlignment="1">
      <alignment horizontal="center" vertical="center"/>
    </xf>
    <xf numFmtId="0" fontId="1" fillId="4" borderId="129" xfId="0" applyFont="1" applyFill="1" applyBorder="1" applyAlignment="1">
      <alignment horizontal="left" vertical="center"/>
    </xf>
    <xf numFmtId="0" fontId="4" fillId="0" borderId="132" xfId="0" applyFont="1" applyBorder="1" applyAlignment="1">
      <alignment vertical="center"/>
    </xf>
    <xf numFmtId="0" fontId="0" fillId="11" borderId="84" xfId="0" applyFill="1" applyBorder="1" applyAlignment="1">
      <alignment vertical="center"/>
    </xf>
    <xf numFmtId="0" fontId="0" fillId="11" borderId="133" xfId="0" applyFill="1" applyBorder="1" applyAlignment="1">
      <alignment vertical="center"/>
    </xf>
    <xf numFmtId="0" fontId="1" fillId="4" borderId="127" xfId="0" applyFont="1" applyFill="1" applyBorder="1" applyAlignment="1">
      <alignment horizontal="left" vertical="center"/>
    </xf>
    <xf numFmtId="0" fontId="4" fillId="0" borderId="133" xfId="0" applyFont="1" applyBorder="1" applyAlignment="1">
      <alignment vertical="center"/>
    </xf>
    <xf numFmtId="0" fontId="4" fillId="0" borderId="134" xfId="0" applyFont="1" applyBorder="1" applyAlignment="1">
      <alignment vertical="center"/>
    </xf>
    <xf numFmtId="0" fontId="4" fillId="0" borderId="135" xfId="0" applyFont="1" applyBorder="1" applyAlignment="1">
      <alignment vertical="center"/>
    </xf>
    <xf numFmtId="0" fontId="1" fillId="10" borderId="136" xfId="0" applyFont="1" applyFill="1" applyBorder="1" applyAlignment="1">
      <alignment horizontal="center" vertical="center"/>
    </xf>
    <xf numFmtId="0" fontId="1" fillId="10" borderId="127" xfId="0" applyFont="1" applyFill="1" applyBorder="1" applyAlignment="1">
      <alignment horizontal="left" vertical="center"/>
    </xf>
    <xf numFmtId="0" fontId="4" fillId="0" borderId="138" xfId="0" applyFont="1" applyBorder="1" applyAlignment="1">
      <alignment vertical="center"/>
    </xf>
    <xf numFmtId="0" fontId="1" fillId="10" borderId="139" xfId="0" applyFont="1" applyFill="1" applyBorder="1" applyAlignment="1">
      <alignment horizontal="left" vertical="center"/>
    </xf>
    <xf numFmtId="0" fontId="4" fillId="0" borderId="140" xfId="0" applyFont="1" applyBorder="1" applyAlignment="1">
      <alignment vertical="center"/>
    </xf>
    <xf numFmtId="0" fontId="4" fillId="0" borderId="141" xfId="0" applyFont="1" applyBorder="1" applyAlignment="1">
      <alignment vertical="center"/>
    </xf>
    <xf numFmtId="0" fontId="1" fillId="10" borderId="84" xfId="0" applyFont="1" applyFill="1" applyBorder="1" applyAlignment="1">
      <alignment horizontal="left" vertical="center"/>
    </xf>
    <xf numFmtId="0" fontId="1" fillId="10" borderId="133" xfId="0" applyFont="1" applyFill="1" applyBorder="1" applyAlignment="1">
      <alignment horizontal="left" vertical="center"/>
    </xf>
    <xf numFmtId="0" fontId="1" fillId="10" borderId="91" xfId="0" applyFont="1" applyFill="1" applyBorder="1" applyAlignment="1">
      <alignment horizontal="left" vertical="center"/>
    </xf>
    <xf numFmtId="0" fontId="1" fillId="10" borderId="137" xfId="0" applyFont="1" applyFill="1" applyBorder="1" applyAlignment="1">
      <alignment horizontal="left" vertical="center"/>
    </xf>
    <xf numFmtId="0" fontId="1" fillId="4" borderId="130" xfId="0" applyFont="1" applyFill="1" applyBorder="1" applyAlignment="1">
      <alignment horizontal="left" vertical="center"/>
    </xf>
    <xf numFmtId="0" fontId="1" fillId="4" borderId="131" xfId="0" applyFont="1" applyFill="1" applyBorder="1" applyAlignment="1">
      <alignment horizontal="left" vertical="center"/>
    </xf>
    <xf numFmtId="0" fontId="22" fillId="11" borderId="8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85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85" xfId="0" applyFont="1" applyFill="1" applyBorder="1" applyAlignment="1">
      <alignment horizontal="center" vertical="center"/>
    </xf>
    <xf numFmtId="0" fontId="5" fillId="5" borderId="8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27" fillId="5" borderId="25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5" fillId="0" borderId="85" xfId="0" applyFont="1" applyBorder="1" applyAlignment="1">
      <alignment vertical="center"/>
    </xf>
    <xf numFmtId="0" fontId="28" fillId="5" borderId="25" xfId="0" applyFont="1" applyFill="1" applyBorder="1" applyAlignment="1">
      <alignment horizontal="center" vertical="center"/>
    </xf>
    <xf numFmtId="0" fontId="29" fillId="0" borderId="85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20" fontId="5" fillId="0" borderId="79" xfId="0" applyNumberFormat="1" applyFont="1" applyBorder="1" applyAlignment="1">
      <alignment horizontal="center" vertical="center"/>
    </xf>
    <xf numFmtId="20" fontId="5" fillId="0" borderId="78" xfId="0" applyNumberFormat="1" applyFont="1" applyBorder="1" applyAlignment="1">
      <alignment horizontal="center" vertical="center"/>
    </xf>
    <xf numFmtId="20" fontId="5" fillId="0" borderId="15" xfId="0" applyNumberFormat="1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30" fillId="0" borderId="111" xfId="0" applyFont="1" applyBorder="1" applyAlignment="1">
      <alignment horizontal="center" vertical="center"/>
    </xf>
    <xf numFmtId="0" fontId="9" fillId="0" borderId="142" xfId="0" applyFont="1" applyBorder="1" applyAlignment="1">
      <alignment horizontal="center" vertical="center"/>
    </xf>
    <xf numFmtId="0" fontId="9" fillId="0" borderId="131" xfId="0" quotePrefix="1" applyFont="1" applyBorder="1" applyAlignment="1">
      <alignment horizontal="center" vertical="center"/>
    </xf>
    <xf numFmtId="0" fontId="9" fillId="0" borderId="143" xfId="0" applyFont="1" applyBorder="1" applyAlignment="1">
      <alignment horizontal="center" vertical="center"/>
    </xf>
    <xf numFmtId="0" fontId="9" fillId="0" borderId="133" xfId="0" quotePrefix="1" applyFont="1" applyBorder="1" applyAlignment="1">
      <alignment horizontal="center" vertical="center"/>
    </xf>
    <xf numFmtId="0" fontId="21" fillId="0" borderId="143" xfId="0" applyFont="1" applyBorder="1" applyAlignment="1">
      <alignment horizontal="center" vertical="center"/>
    </xf>
    <xf numFmtId="0" fontId="0" fillId="0" borderId="84" xfId="0" applyBorder="1" applyAlignment="1">
      <alignment vertical="center"/>
    </xf>
    <xf numFmtId="0" fontId="21" fillId="0" borderId="144" xfId="0" applyFont="1" applyBorder="1" applyAlignment="1">
      <alignment horizontal="center" vertical="center"/>
    </xf>
    <xf numFmtId="0" fontId="21" fillId="0" borderId="133" xfId="0" quotePrefix="1" applyFont="1" applyBorder="1" applyAlignment="1">
      <alignment horizontal="center" vertical="center"/>
    </xf>
    <xf numFmtId="0" fontId="21" fillId="0" borderId="141" xfId="0" quotePrefix="1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4" fillId="0" borderId="146" xfId="0" applyFont="1" applyBorder="1" applyAlignment="1">
      <alignment vertical="center"/>
    </xf>
    <xf numFmtId="0" fontId="4" fillId="0" borderId="143" xfId="0" applyFont="1" applyBorder="1" applyAlignment="1">
      <alignment vertical="center"/>
    </xf>
    <xf numFmtId="0" fontId="1" fillId="0" borderId="84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0" fontId="1" fillId="0" borderId="143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148" xfId="0" applyFont="1" applyBorder="1" applyAlignment="1">
      <alignment horizontal="center" vertical="center"/>
    </xf>
    <xf numFmtId="177" fontId="9" fillId="0" borderId="133" xfId="0" applyNumberFormat="1" applyFont="1" applyBorder="1" applyAlignment="1">
      <alignment horizontal="center" vertical="center"/>
    </xf>
    <xf numFmtId="0" fontId="9" fillId="0" borderId="133" xfId="0" applyFont="1" applyBorder="1" applyAlignment="1">
      <alignment horizontal="center" vertical="center"/>
    </xf>
    <xf numFmtId="177" fontId="9" fillId="0" borderId="143" xfId="0" applyNumberFormat="1" applyFont="1" applyBorder="1" applyAlignment="1">
      <alignment horizontal="center" vertical="center"/>
    </xf>
    <xf numFmtId="0" fontId="9" fillId="0" borderId="149" xfId="0" applyFont="1" applyBorder="1" applyAlignment="1">
      <alignment horizontal="center" vertical="center"/>
    </xf>
    <xf numFmtId="0" fontId="9" fillId="0" borderId="150" xfId="0" quotePrefix="1" applyFont="1" applyBorder="1" applyAlignment="1">
      <alignment horizontal="center" vertical="center"/>
    </xf>
    <xf numFmtId="177" fontId="9" fillId="0" borderId="149" xfId="0" applyNumberFormat="1" applyFont="1" applyBorder="1" applyAlignment="1">
      <alignment horizontal="center" vertical="center"/>
    </xf>
    <xf numFmtId="177" fontId="9" fillId="0" borderId="150" xfId="0" applyNumberFormat="1" applyFont="1" applyBorder="1" applyAlignment="1">
      <alignment horizontal="center" vertical="center"/>
    </xf>
    <xf numFmtId="0" fontId="2" fillId="0" borderId="143" xfId="0" applyFont="1" applyBorder="1" applyAlignment="1">
      <alignment horizontal="center" vertical="center"/>
    </xf>
    <xf numFmtId="0" fontId="2" fillId="0" borderId="133" xfId="0" quotePrefix="1" applyFont="1" applyBorder="1" applyAlignment="1">
      <alignment horizontal="center" vertical="center"/>
    </xf>
    <xf numFmtId="0" fontId="2" fillId="0" borderId="133" xfId="0" applyFont="1" applyBorder="1" applyAlignment="1">
      <alignment horizontal="center" vertical="center"/>
    </xf>
    <xf numFmtId="177" fontId="2" fillId="0" borderId="143" xfId="0" applyNumberFormat="1" applyFont="1" applyBorder="1" applyAlignment="1">
      <alignment horizontal="center" vertical="center"/>
    </xf>
    <xf numFmtId="177" fontId="2" fillId="0" borderId="133" xfId="0" applyNumberFormat="1" applyFont="1" applyBorder="1" applyAlignment="1">
      <alignment horizontal="center" vertical="center"/>
    </xf>
    <xf numFmtId="177" fontId="2" fillId="0" borderId="144" xfId="0" applyNumberFormat="1" applyFont="1" applyBorder="1" applyAlignment="1">
      <alignment horizontal="center" vertical="center"/>
    </xf>
    <xf numFmtId="177" fontId="2" fillId="0" borderId="141" xfId="0" applyNumberFormat="1" applyFont="1" applyBorder="1" applyAlignment="1">
      <alignment horizontal="center" vertical="center"/>
    </xf>
    <xf numFmtId="0" fontId="0" fillId="0" borderId="141" xfId="0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1" fillId="0" borderId="154" xfId="0" applyFont="1" applyBorder="1" applyAlignment="1">
      <alignment horizontal="center" vertical="center"/>
    </xf>
    <xf numFmtId="0" fontId="22" fillId="0" borderId="155" xfId="0" applyFont="1" applyBorder="1" applyAlignment="1">
      <alignment horizontal="center" vertical="center"/>
    </xf>
    <xf numFmtId="0" fontId="0" fillId="0" borderId="15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9FAA-3A97-4407-ACD8-EA9B39B49F53}">
  <sheetPr>
    <tabColor theme="5" tint="0.79998168889431442"/>
  </sheetPr>
  <dimension ref="A1:AA1000"/>
  <sheetViews>
    <sheetView tabSelected="1" workbookViewId="0">
      <selection activeCell="Q11" sqref="Q11"/>
    </sheetView>
  </sheetViews>
  <sheetFormatPr defaultColWidth="14.42578125" defaultRowHeight="15" customHeight="1"/>
  <cols>
    <col min="1" max="1" width="4" customWidth="1"/>
    <col min="2" max="2" width="9.140625" customWidth="1"/>
    <col min="3" max="26" width="8.7109375" customWidth="1"/>
    <col min="27" max="27" width="42.140625" customWidth="1"/>
  </cols>
  <sheetData>
    <row r="1" spans="1:27" ht="15" customHeight="1" thickBot="1">
      <c r="A1" s="338"/>
      <c r="B1" s="345"/>
      <c r="C1" s="370" t="s">
        <v>5</v>
      </c>
      <c r="D1" s="370" t="s">
        <v>1</v>
      </c>
      <c r="E1" s="370" t="s">
        <v>6</v>
      </c>
      <c r="F1" s="370" t="s">
        <v>3</v>
      </c>
      <c r="G1" s="370" t="s">
        <v>2</v>
      </c>
      <c r="H1" s="370" t="s">
        <v>614</v>
      </c>
      <c r="I1" s="113" t="s">
        <v>711</v>
      </c>
      <c r="J1" s="369" t="s">
        <v>710</v>
      </c>
      <c r="L1" s="368">
        <v>0.54166666666666663</v>
      </c>
      <c r="M1" s="367">
        <v>0.55555555555555558</v>
      </c>
      <c r="N1" s="367">
        <v>0.56944444444444442</v>
      </c>
      <c r="O1" s="367">
        <v>0.58333333333333337</v>
      </c>
      <c r="P1" s="367">
        <v>0.59722222222222221</v>
      </c>
      <c r="Q1" s="367">
        <v>0.61111111111111116</v>
      </c>
      <c r="R1" s="367">
        <v>0.625</v>
      </c>
      <c r="S1" s="367">
        <v>0.63888888888888884</v>
      </c>
      <c r="T1" s="367">
        <v>0.65277777777777779</v>
      </c>
      <c r="U1" s="367">
        <v>0.66666666666666663</v>
      </c>
      <c r="V1" s="367">
        <v>0.68055555555555558</v>
      </c>
      <c r="W1" s="367">
        <v>0.69444444444444442</v>
      </c>
      <c r="X1" s="367">
        <v>0.70833333333333337</v>
      </c>
      <c r="Y1" s="367">
        <v>0.72222222222222221</v>
      </c>
      <c r="Z1" s="366">
        <v>0.73611111111111116</v>
      </c>
      <c r="AA1" s="338"/>
    </row>
    <row r="2" spans="1:27">
      <c r="A2" s="365">
        <v>1</v>
      </c>
      <c r="B2" s="364" t="s">
        <v>709</v>
      </c>
      <c r="C2" s="340"/>
      <c r="D2" s="363"/>
      <c r="E2" s="363"/>
      <c r="F2" s="363"/>
      <c r="G2" s="363"/>
      <c r="H2" s="362"/>
      <c r="I2" s="57"/>
      <c r="J2" s="345"/>
      <c r="L2" s="215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45"/>
      <c r="AA2" s="338"/>
    </row>
    <row r="3" spans="1:27">
      <c r="A3" s="57">
        <v>2</v>
      </c>
      <c r="B3" s="358" t="s">
        <v>708</v>
      </c>
      <c r="C3" s="215"/>
      <c r="D3" s="338"/>
      <c r="E3" s="338"/>
      <c r="F3" s="338"/>
      <c r="G3" s="338"/>
      <c r="H3" s="345"/>
      <c r="I3" s="57"/>
      <c r="J3" s="345"/>
      <c r="L3" s="215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45"/>
      <c r="AA3" s="338"/>
    </row>
    <row r="4" spans="1:27">
      <c r="A4" s="57">
        <v>3</v>
      </c>
      <c r="B4" s="358" t="s">
        <v>707</v>
      </c>
      <c r="C4" s="215"/>
      <c r="D4" s="338"/>
      <c r="E4" s="338"/>
      <c r="F4" s="338"/>
      <c r="G4" s="338"/>
      <c r="H4" s="345"/>
      <c r="I4" s="57"/>
      <c r="J4" s="345"/>
      <c r="L4" s="215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45"/>
      <c r="AA4" s="338"/>
    </row>
    <row r="5" spans="1:27">
      <c r="A5" s="57">
        <v>4</v>
      </c>
      <c r="B5" s="358" t="s">
        <v>706</v>
      </c>
      <c r="C5" s="215"/>
      <c r="D5" s="338"/>
      <c r="E5" s="338"/>
      <c r="F5" s="338"/>
      <c r="G5" s="338"/>
      <c r="H5" s="345"/>
      <c r="I5" s="57"/>
      <c r="J5" s="345"/>
      <c r="L5" s="215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45"/>
      <c r="AA5" s="338"/>
    </row>
    <row r="6" spans="1:27">
      <c r="A6" s="57">
        <v>5</v>
      </c>
      <c r="B6" s="351" t="s">
        <v>705</v>
      </c>
      <c r="C6" s="215"/>
      <c r="D6" s="338"/>
      <c r="E6" s="338"/>
      <c r="F6" s="338"/>
      <c r="G6" s="338"/>
      <c r="H6" s="345"/>
      <c r="I6" s="57"/>
      <c r="J6" s="345"/>
      <c r="L6" s="215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45"/>
      <c r="AA6" s="338"/>
    </row>
    <row r="7" spans="1:27">
      <c r="A7" s="57">
        <v>6</v>
      </c>
      <c r="B7" s="351" t="s">
        <v>704</v>
      </c>
      <c r="C7" s="215"/>
      <c r="D7" s="338"/>
      <c r="E7" s="338"/>
      <c r="F7" s="338"/>
      <c r="G7" s="338"/>
      <c r="H7" s="345"/>
      <c r="I7" s="57"/>
      <c r="J7" s="345"/>
      <c r="L7" s="215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45"/>
      <c r="AA7" s="338"/>
    </row>
    <row r="8" spans="1:27">
      <c r="A8" s="57">
        <v>7</v>
      </c>
      <c r="B8" s="358" t="s">
        <v>703</v>
      </c>
      <c r="C8" s="215"/>
      <c r="D8" s="338"/>
      <c r="E8" s="338"/>
      <c r="F8" s="338"/>
      <c r="G8" s="338"/>
      <c r="H8" s="345"/>
      <c r="I8" s="57"/>
      <c r="J8" s="345"/>
      <c r="L8" s="215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45"/>
      <c r="AA8" s="338"/>
    </row>
    <row r="9" spans="1:27" ht="15" customHeight="1">
      <c r="A9" s="57">
        <v>8</v>
      </c>
      <c r="B9" s="351" t="s">
        <v>702</v>
      </c>
      <c r="C9" s="215">
        <v>0</v>
      </c>
      <c r="D9" s="338"/>
      <c r="E9" s="338"/>
      <c r="F9" s="338">
        <v>0</v>
      </c>
      <c r="G9" s="338"/>
      <c r="H9" s="345">
        <v>0</v>
      </c>
      <c r="I9" s="57">
        <f>COUNTIF(C9:H9,0)</f>
        <v>3</v>
      </c>
      <c r="J9" s="361" t="s">
        <v>675</v>
      </c>
      <c r="L9" s="215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45"/>
      <c r="AA9" s="338"/>
    </row>
    <row r="10" spans="1:27">
      <c r="A10" s="352">
        <v>9</v>
      </c>
      <c r="B10" s="356" t="s">
        <v>56</v>
      </c>
      <c r="C10" s="355">
        <v>0</v>
      </c>
      <c r="D10" s="354">
        <v>0</v>
      </c>
      <c r="E10" s="354"/>
      <c r="F10" s="354">
        <v>0</v>
      </c>
      <c r="G10" s="354">
        <v>0</v>
      </c>
      <c r="H10" s="353">
        <v>0</v>
      </c>
      <c r="I10" s="352">
        <f>COUNTIF(C10:H10,0)</f>
        <v>5</v>
      </c>
      <c r="J10" s="345" t="s">
        <v>637</v>
      </c>
      <c r="L10" s="215"/>
      <c r="M10" s="338"/>
      <c r="N10" s="338"/>
      <c r="O10" s="338"/>
      <c r="P10" s="338"/>
      <c r="Q10" s="338"/>
      <c r="R10" s="338" t="s">
        <v>640</v>
      </c>
      <c r="S10" s="338" t="s">
        <v>640</v>
      </c>
      <c r="T10" s="338" t="s">
        <v>640</v>
      </c>
      <c r="U10" s="338" t="s">
        <v>640</v>
      </c>
      <c r="V10" s="338" t="s">
        <v>640</v>
      </c>
      <c r="W10" s="338" t="s">
        <v>640</v>
      </c>
      <c r="X10" s="338" t="s">
        <v>640</v>
      </c>
      <c r="Y10" s="338"/>
      <c r="Z10" s="345"/>
      <c r="AA10" s="338"/>
    </row>
    <row r="11" spans="1:27">
      <c r="A11" s="352">
        <v>10</v>
      </c>
      <c r="B11" s="360" t="s">
        <v>43</v>
      </c>
      <c r="C11" s="355">
        <v>0</v>
      </c>
      <c r="D11" s="354">
        <v>0</v>
      </c>
      <c r="E11" s="354"/>
      <c r="F11" s="354">
        <v>0</v>
      </c>
      <c r="G11" s="354">
        <v>0</v>
      </c>
      <c r="H11" s="353">
        <v>0</v>
      </c>
      <c r="I11" s="352">
        <f>COUNTIF(C11:H11,0)</f>
        <v>5</v>
      </c>
      <c r="J11" s="345" t="s">
        <v>637</v>
      </c>
      <c r="L11" s="215"/>
      <c r="M11" s="338"/>
      <c r="N11" s="338"/>
      <c r="O11" s="338"/>
      <c r="P11" s="338"/>
      <c r="Q11" s="338"/>
      <c r="R11" s="338"/>
      <c r="S11" s="338"/>
      <c r="T11" s="338"/>
      <c r="U11" s="338" t="s">
        <v>640</v>
      </c>
      <c r="V11" s="338" t="s">
        <v>640</v>
      </c>
      <c r="W11" s="338" t="s">
        <v>640</v>
      </c>
      <c r="X11" s="338" t="s">
        <v>640</v>
      </c>
      <c r="Y11" s="338" t="s">
        <v>640</v>
      </c>
      <c r="Z11" s="345" t="s">
        <v>640</v>
      </c>
      <c r="AA11" s="338"/>
    </row>
    <row r="12" spans="1:27">
      <c r="A12" s="57">
        <v>11</v>
      </c>
      <c r="B12" s="358" t="s">
        <v>701</v>
      </c>
      <c r="C12" s="215"/>
      <c r="D12" s="338"/>
      <c r="E12" s="338"/>
      <c r="F12" s="338"/>
      <c r="G12" s="338"/>
      <c r="H12" s="345"/>
      <c r="I12" s="57">
        <f>COUNTIF(C12:H12,0)</f>
        <v>0</v>
      </c>
      <c r="J12" s="345"/>
      <c r="L12" s="215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45"/>
      <c r="AA12" s="338"/>
    </row>
    <row r="13" spans="1:27">
      <c r="A13" s="57">
        <v>12</v>
      </c>
      <c r="B13" s="358" t="s">
        <v>700</v>
      </c>
      <c r="C13" s="215"/>
      <c r="D13" s="338"/>
      <c r="E13" s="338"/>
      <c r="F13" s="338"/>
      <c r="G13" s="338">
        <v>0</v>
      </c>
      <c r="H13" s="345"/>
      <c r="I13" s="57">
        <f>COUNTIF(C13:H13,0)</f>
        <v>1</v>
      </c>
      <c r="J13" s="345"/>
      <c r="L13" s="215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45"/>
      <c r="AA13" s="338"/>
    </row>
    <row r="14" spans="1:27">
      <c r="A14" s="57">
        <v>13</v>
      </c>
      <c r="B14" s="358" t="s">
        <v>699</v>
      </c>
      <c r="C14" s="215"/>
      <c r="D14" s="338"/>
      <c r="E14" s="338"/>
      <c r="F14" s="338"/>
      <c r="G14" s="338"/>
      <c r="H14" s="345"/>
      <c r="I14" s="57">
        <f>COUNTIF(C14:H14,0)</f>
        <v>0</v>
      </c>
      <c r="J14" s="345"/>
      <c r="L14" s="215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45"/>
      <c r="AA14" s="338"/>
    </row>
    <row r="15" spans="1:27">
      <c r="A15" s="57">
        <v>14</v>
      </c>
      <c r="B15" s="358" t="s">
        <v>698</v>
      </c>
      <c r="C15" s="215"/>
      <c r="D15" s="338"/>
      <c r="E15" s="338"/>
      <c r="F15" s="338"/>
      <c r="G15" s="338"/>
      <c r="H15" s="345"/>
      <c r="I15" s="57">
        <f>COUNTIF(C15:H15,0)</f>
        <v>0</v>
      </c>
      <c r="J15" s="345"/>
      <c r="L15" s="215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45"/>
      <c r="AA15" s="338"/>
    </row>
    <row r="16" spans="1:27">
      <c r="A16" s="57">
        <v>15</v>
      </c>
      <c r="B16" s="358" t="s">
        <v>697</v>
      </c>
      <c r="C16" s="215"/>
      <c r="D16" s="338"/>
      <c r="E16" s="338"/>
      <c r="F16" s="338"/>
      <c r="G16" s="338"/>
      <c r="H16" s="345">
        <v>0</v>
      </c>
      <c r="I16" s="57">
        <f>COUNTIF(C16:H16,0)</f>
        <v>1</v>
      </c>
      <c r="J16" s="345"/>
      <c r="L16" s="215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45"/>
      <c r="AA16" s="338"/>
    </row>
    <row r="17" spans="1:27">
      <c r="A17" s="346">
        <v>16</v>
      </c>
      <c r="B17" s="357" t="s">
        <v>696</v>
      </c>
      <c r="C17" s="349">
        <v>0</v>
      </c>
      <c r="D17" s="348">
        <v>0</v>
      </c>
      <c r="E17" s="348"/>
      <c r="F17" s="348">
        <v>0</v>
      </c>
      <c r="G17" s="348">
        <v>0</v>
      </c>
      <c r="H17" s="347"/>
      <c r="I17" s="346">
        <f>COUNTIF(C17:H17,0)</f>
        <v>4</v>
      </c>
      <c r="J17" s="345" t="s">
        <v>637</v>
      </c>
      <c r="L17" s="215"/>
      <c r="M17" s="338"/>
      <c r="N17" s="338"/>
      <c r="O17" s="338"/>
      <c r="P17" s="338"/>
      <c r="Q17" s="338"/>
      <c r="R17" s="338"/>
      <c r="S17" s="338"/>
      <c r="T17" s="338"/>
      <c r="U17" s="338" t="s">
        <v>640</v>
      </c>
      <c r="V17" s="338" t="s">
        <v>640</v>
      </c>
      <c r="W17" s="338"/>
      <c r="X17" s="338"/>
      <c r="Y17" s="338"/>
      <c r="Z17" s="345"/>
      <c r="AA17" s="338"/>
    </row>
    <row r="18" spans="1:27">
      <c r="A18" s="57">
        <v>17</v>
      </c>
      <c r="B18" s="358" t="s">
        <v>695</v>
      </c>
      <c r="C18" s="215"/>
      <c r="D18" s="338"/>
      <c r="E18" s="338"/>
      <c r="F18" s="338"/>
      <c r="G18" s="338"/>
      <c r="H18" s="345">
        <v>0</v>
      </c>
      <c r="I18" s="57">
        <f>COUNTIF(C18:H18,0)</f>
        <v>1</v>
      </c>
      <c r="J18" s="345"/>
      <c r="L18" s="215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45"/>
      <c r="AA18" s="338"/>
    </row>
    <row r="19" spans="1:27">
      <c r="A19" s="346">
        <v>18</v>
      </c>
      <c r="B19" s="357" t="s">
        <v>694</v>
      </c>
      <c r="C19" s="349">
        <v>0</v>
      </c>
      <c r="D19" s="348">
        <v>0</v>
      </c>
      <c r="E19" s="348"/>
      <c r="F19" s="348">
        <v>0</v>
      </c>
      <c r="G19" s="348">
        <v>0</v>
      </c>
      <c r="H19" s="347"/>
      <c r="I19" s="346">
        <f>COUNTIF(C19:H19,0)</f>
        <v>4</v>
      </c>
      <c r="J19" s="345" t="s">
        <v>637</v>
      </c>
      <c r="L19" s="215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45" t="s">
        <v>640</v>
      </c>
      <c r="AA19" s="338"/>
    </row>
    <row r="20" spans="1:27">
      <c r="A20" s="57">
        <v>19</v>
      </c>
      <c r="B20" s="358" t="s">
        <v>693</v>
      </c>
      <c r="C20" s="215"/>
      <c r="D20" s="338"/>
      <c r="E20" s="338"/>
      <c r="F20" s="338"/>
      <c r="G20" s="338"/>
      <c r="H20" s="345"/>
      <c r="I20" s="57">
        <f>COUNTIF(C20:H20,0)</f>
        <v>0</v>
      </c>
      <c r="J20" s="345"/>
      <c r="L20" s="215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45"/>
      <c r="AA20" s="338"/>
    </row>
    <row r="21" spans="1:27" ht="15" customHeight="1">
      <c r="A21" s="57">
        <v>20</v>
      </c>
      <c r="B21" s="358" t="s">
        <v>692</v>
      </c>
      <c r="C21" s="215"/>
      <c r="D21" s="338"/>
      <c r="E21" s="338"/>
      <c r="F21" s="338"/>
      <c r="G21" s="338"/>
      <c r="H21" s="345"/>
      <c r="I21" s="57">
        <f>COUNTIF(C21:H21,0)</f>
        <v>0</v>
      </c>
      <c r="J21" s="345"/>
      <c r="L21" s="215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45"/>
      <c r="AA21" s="338"/>
    </row>
    <row r="22" spans="1:27" ht="15" customHeight="1">
      <c r="A22" s="57">
        <v>21</v>
      </c>
      <c r="B22" s="358" t="s">
        <v>691</v>
      </c>
      <c r="C22" s="215"/>
      <c r="D22" s="338"/>
      <c r="E22" s="338"/>
      <c r="F22" s="338"/>
      <c r="G22" s="338"/>
      <c r="H22" s="345"/>
      <c r="I22" s="57">
        <f>COUNTIF(C22:H22,0)</f>
        <v>0</v>
      </c>
      <c r="J22" s="345"/>
      <c r="L22" s="215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45"/>
      <c r="AA22" s="338"/>
    </row>
    <row r="23" spans="1:27" ht="15" customHeight="1">
      <c r="A23" s="352">
        <v>22</v>
      </c>
      <c r="B23" s="356" t="s">
        <v>85</v>
      </c>
      <c r="C23" s="355">
        <v>0</v>
      </c>
      <c r="D23" s="354">
        <v>0</v>
      </c>
      <c r="E23" s="354"/>
      <c r="F23" s="354">
        <v>0</v>
      </c>
      <c r="G23" s="354">
        <v>0</v>
      </c>
      <c r="H23" s="353">
        <v>0</v>
      </c>
      <c r="I23" s="352">
        <f>COUNTIF(C23:H23,0)</f>
        <v>5</v>
      </c>
      <c r="J23" s="345" t="s">
        <v>637</v>
      </c>
      <c r="L23" s="215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45" t="s">
        <v>640</v>
      </c>
      <c r="AA23" s="338"/>
    </row>
    <row r="24" spans="1:27" ht="15" customHeight="1">
      <c r="A24" s="57">
        <v>23</v>
      </c>
      <c r="B24" s="358" t="s">
        <v>690</v>
      </c>
      <c r="C24" s="215">
        <v>0</v>
      </c>
      <c r="D24" s="338"/>
      <c r="E24" s="338"/>
      <c r="F24" s="338"/>
      <c r="G24" s="338"/>
      <c r="H24" s="345"/>
      <c r="I24" s="57">
        <f>COUNTIF(C24:H24,0)</f>
        <v>1</v>
      </c>
      <c r="J24" s="345"/>
      <c r="L24" s="215"/>
      <c r="M24" s="338"/>
      <c r="N24" s="338"/>
      <c r="O24" s="338"/>
      <c r="P24" s="338"/>
      <c r="Q24" s="338"/>
      <c r="R24" s="338"/>
      <c r="S24" s="338"/>
      <c r="T24" s="338"/>
      <c r="U24" s="338"/>
      <c r="V24" s="338"/>
      <c r="W24" s="338"/>
      <c r="X24" s="338"/>
      <c r="Y24" s="338"/>
      <c r="Z24" s="345"/>
      <c r="AA24" s="338"/>
    </row>
    <row r="25" spans="1:27" ht="15" customHeight="1">
      <c r="A25" s="57">
        <v>24</v>
      </c>
      <c r="B25" s="351" t="s">
        <v>689</v>
      </c>
      <c r="C25" s="215">
        <v>0</v>
      </c>
      <c r="D25" s="338"/>
      <c r="E25" s="338"/>
      <c r="F25" s="338"/>
      <c r="G25" s="338"/>
      <c r="H25" s="345"/>
      <c r="I25" s="57">
        <f>COUNTIF(C25:H25,0)</f>
        <v>1</v>
      </c>
      <c r="J25" s="361" t="s">
        <v>675</v>
      </c>
      <c r="L25" s="215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45"/>
      <c r="AA25" s="338"/>
    </row>
    <row r="26" spans="1:27" ht="15" customHeight="1">
      <c r="A26" s="352">
        <v>25</v>
      </c>
      <c r="B26" s="360" t="s">
        <v>93</v>
      </c>
      <c r="C26" s="355">
        <v>0</v>
      </c>
      <c r="D26" s="354">
        <v>0</v>
      </c>
      <c r="E26" s="354"/>
      <c r="F26" s="354">
        <v>0</v>
      </c>
      <c r="G26" s="354">
        <v>0</v>
      </c>
      <c r="H26" s="353">
        <v>0</v>
      </c>
      <c r="I26" s="352">
        <f>COUNTIF(C26:H26,0)</f>
        <v>5</v>
      </c>
      <c r="J26" s="345" t="s">
        <v>637</v>
      </c>
      <c r="L26" s="215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45" t="s">
        <v>640</v>
      </c>
      <c r="AA26" s="338" t="s">
        <v>688</v>
      </c>
    </row>
    <row r="27" spans="1:27" ht="15" customHeight="1">
      <c r="A27" s="352">
        <v>26</v>
      </c>
      <c r="B27" s="356" t="s">
        <v>48</v>
      </c>
      <c r="C27" s="355">
        <v>0</v>
      </c>
      <c r="D27" s="354">
        <v>0</v>
      </c>
      <c r="E27" s="354"/>
      <c r="F27" s="354">
        <v>0</v>
      </c>
      <c r="G27" s="354">
        <v>0</v>
      </c>
      <c r="H27" s="353">
        <v>0</v>
      </c>
      <c r="I27" s="352">
        <f>COUNTIF(C27:H27,0)</f>
        <v>5</v>
      </c>
      <c r="J27" s="345" t="s">
        <v>637</v>
      </c>
      <c r="L27" s="215" t="s">
        <v>640</v>
      </c>
      <c r="M27" s="338" t="s">
        <v>640</v>
      </c>
      <c r="N27" s="338" t="s">
        <v>640</v>
      </c>
      <c r="O27" s="338" t="s">
        <v>640</v>
      </c>
      <c r="P27" s="338" t="s">
        <v>640</v>
      </c>
      <c r="Q27" s="338" t="s">
        <v>640</v>
      </c>
      <c r="R27" s="338"/>
      <c r="S27" s="338"/>
      <c r="T27" s="338"/>
      <c r="U27" s="338"/>
      <c r="V27" s="338"/>
      <c r="W27" s="338"/>
      <c r="X27" s="338"/>
      <c r="Y27" s="338"/>
      <c r="Z27" s="345"/>
      <c r="AA27" s="338"/>
    </row>
    <row r="28" spans="1:27" ht="15" customHeight="1">
      <c r="A28" s="352">
        <v>27</v>
      </c>
      <c r="B28" s="360" t="s">
        <v>23</v>
      </c>
      <c r="C28" s="355">
        <v>0</v>
      </c>
      <c r="D28" s="354">
        <v>0</v>
      </c>
      <c r="E28" s="354"/>
      <c r="F28" s="354">
        <v>0</v>
      </c>
      <c r="G28" s="354">
        <v>0</v>
      </c>
      <c r="H28" s="353">
        <v>0</v>
      </c>
      <c r="I28" s="352">
        <f>COUNTIF(C28:H28,0)</f>
        <v>5</v>
      </c>
      <c r="J28" s="345" t="s">
        <v>637</v>
      </c>
      <c r="L28" s="215" t="s">
        <v>640</v>
      </c>
      <c r="M28" s="338" t="s">
        <v>640</v>
      </c>
      <c r="N28" s="338" t="s">
        <v>640</v>
      </c>
      <c r="O28" s="338" t="s">
        <v>640</v>
      </c>
      <c r="P28" s="338" t="s">
        <v>640</v>
      </c>
      <c r="Q28" s="338" t="s">
        <v>640</v>
      </c>
      <c r="R28" s="338" t="s">
        <v>640</v>
      </c>
      <c r="S28" s="338" t="s">
        <v>640</v>
      </c>
      <c r="T28" s="338" t="s">
        <v>640</v>
      </c>
      <c r="U28" s="338" t="s">
        <v>640</v>
      </c>
      <c r="V28" s="338" t="s">
        <v>640</v>
      </c>
      <c r="W28" s="338" t="s">
        <v>640</v>
      </c>
      <c r="X28" s="338" t="s">
        <v>640</v>
      </c>
      <c r="Y28" s="338" t="s">
        <v>640</v>
      </c>
      <c r="Z28" s="345" t="s">
        <v>640</v>
      </c>
      <c r="AA28" s="338"/>
    </row>
    <row r="29" spans="1:27" ht="15" customHeight="1">
      <c r="A29" s="352">
        <v>28</v>
      </c>
      <c r="B29" s="356" t="s">
        <v>52</v>
      </c>
      <c r="C29" s="355">
        <v>0</v>
      </c>
      <c r="D29" s="354">
        <v>0</v>
      </c>
      <c r="E29" s="354"/>
      <c r="F29" s="354">
        <v>0</v>
      </c>
      <c r="G29" s="354">
        <v>0</v>
      </c>
      <c r="H29" s="353">
        <v>0</v>
      </c>
      <c r="I29" s="352">
        <f>COUNTIF(C29:H29,0)</f>
        <v>5</v>
      </c>
      <c r="J29" s="345" t="s">
        <v>637</v>
      </c>
      <c r="L29" s="215" t="s">
        <v>640</v>
      </c>
      <c r="M29" s="338" t="s">
        <v>640</v>
      </c>
      <c r="N29" s="338" t="s">
        <v>640</v>
      </c>
      <c r="O29" s="338" t="s">
        <v>640</v>
      </c>
      <c r="P29" s="338" t="s">
        <v>640</v>
      </c>
      <c r="Q29" s="338"/>
      <c r="R29" s="338" t="s">
        <v>640</v>
      </c>
      <c r="S29" s="338"/>
      <c r="T29" s="338"/>
      <c r="U29" s="338"/>
      <c r="V29" s="338"/>
      <c r="W29" s="338"/>
      <c r="X29" s="338"/>
      <c r="Y29" s="338"/>
      <c r="Z29" s="345"/>
      <c r="AA29" s="338"/>
    </row>
    <row r="30" spans="1:27" ht="15" customHeight="1">
      <c r="A30" s="57">
        <v>29</v>
      </c>
      <c r="B30" s="358" t="s">
        <v>687</v>
      </c>
      <c r="C30" s="215">
        <v>0</v>
      </c>
      <c r="D30" s="338"/>
      <c r="E30" s="338"/>
      <c r="F30" s="338"/>
      <c r="G30" s="338"/>
      <c r="H30" s="345"/>
      <c r="I30" s="57">
        <f>COUNTIF(C30:H30,0)</f>
        <v>1</v>
      </c>
      <c r="J30" s="345"/>
      <c r="L30" s="215"/>
      <c r="M30" s="338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45"/>
      <c r="AA30" s="338"/>
    </row>
    <row r="31" spans="1:27" ht="15" customHeight="1">
      <c r="A31" s="346">
        <v>30</v>
      </c>
      <c r="B31" s="350" t="s">
        <v>686</v>
      </c>
      <c r="C31" s="349">
        <v>0</v>
      </c>
      <c r="D31" s="348">
        <v>0</v>
      </c>
      <c r="E31" s="348"/>
      <c r="F31" s="348">
        <v>0</v>
      </c>
      <c r="G31" s="348"/>
      <c r="H31" s="347">
        <v>0</v>
      </c>
      <c r="I31" s="346">
        <f>COUNTIF(C31:H31,0)</f>
        <v>4</v>
      </c>
      <c r="J31" s="345" t="s">
        <v>637</v>
      </c>
      <c r="L31" s="215"/>
      <c r="M31" s="338"/>
      <c r="N31" s="338"/>
      <c r="O31" s="338" t="s">
        <v>640</v>
      </c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45"/>
      <c r="AA31" s="338"/>
    </row>
    <row r="32" spans="1:27" ht="15" customHeight="1">
      <c r="A32" s="352">
        <v>31</v>
      </c>
      <c r="B32" s="356" t="s">
        <v>95</v>
      </c>
      <c r="C32" s="355">
        <v>0</v>
      </c>
      <c r="D32" s="354">
        <v>0</v>
      </c>
      <c r="E32" s="354"/>
      <c r="F32" s="354">
        <v>0</v>
      </c>
      <c r="G32" s="354">
        <v>0</v>
      </c>
      <c r="H32" s="353">
        <v>0</v>
      </c>
      <c r="I32" s="352">
        <f>COUNTIF(C32:H32,0)</f>
        <v>5</v>
      </c>
      <c r="J32" s="345" t="s">
        <v>637</v>
      </c>
      <c r="L32" s="215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45"/>
      <c r="AA32" s="338" t="s">
        <v>685</v>
      </c>
    </row>
    <row r="33" spans="1:27" ht="15" customHeight="1">
      <c r="A33" s="57">
        <v>32</v>
      </c>
      <c r="B33" s="358" t="s">
        <v>684</v>
      </c>
      <c r="C33" s="215"/>
      <c r="D33" s="338"/>
      <c r="E33" s="338"/>
      <c r="F33" s="338"/>
      <c r="G33" s="338"/>
      <c r="H33" s="345">
        <v>0</v>
      </c>
      <c r="I33" s="57">
        <f>COUNTIF(C33:H33,0)</f>
        <v>1</v>
      </c>
      <c r="J33" s="345"/>
      <c r="L33" s="215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45"/>
      <c r="AA33" s="338"/>
    </row>
    <row r="34" spans="1:27" ht="15" customHeight="1">
      <c r="A34" s="57">
        <v>33</v>
      </c>
      <c r="B34" s="358" t="s">
        <v>683</v>
      </c>
      <c r="C34" s="215"/>
      <c r="D34" s="338"/>
      <c r="E34" s="338"/>
      <c r="F34" s="338"/>
      <c r="G34" s="338"/>
      <c r="H34" s="345"/>
      <c r="I34" s="57">
        <f>COUNTIF(C34:H34,0)</f>
        <v>0</v>
      </c>
      <c r="J34" s="345"/>
      <c r="L34" s="215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45"/>
      <c r="AA34" s="338"/>
    </row>
    <row r="35" spans="1:27" ht="15" customHeight="1">
      <c r="A35" s="352">
        <v>34</v>
      </c>
      <c r="B35" s="356" t="s">
        <v>67</v>
      </c>
      <c r="C35" s="355">
        <v>0</v>
      </c>
      <c r="D35" s="354">
        <v>0</v>
      </c>
      <c r="E35" s="354"/>
      <c r="F35" s="354">
        <v>0</v>
      </c>
      <c r="G35" s="354">
        <v>0</v>
      </c>
      <c r="H35" s="353">
        <v>0</v>
      </c>
      <c r="I35" s="352">
        <f>COUNTIF(C35:H35,0)</f>
        <v>5</v>
      </c>
      <c r="J35" s="345" t="s">
        <v>637</v>
      </c>
      <c r="L35" s="215"/>
      <c r="M35" s="338"/>
      <c r="N35" s="338"/>
      <c r="O35" s="338"/>
      <c r="P35" s="338"/>
      <c r="Q35" s="338"/>
      <c r="R35" s="338"/>
      <c r="S35" s="338"/>
      <c r="T35" s="338"/>
      <c r="U35" s="338" t="s">
        <v>640</v>
      </c>
      <c r="V35" s="338"/>
      <c r="W35" s="338"/>
      <c r="X35" s="338"/>
      <c r="Y35" s="338"/>
      <c r="Z35" s="345"/>
      <c r="AA35" s="338"/>
    </row>
    <row r="36" spans="1:27" ht="15" customHeight="1">
      <c r="A36" s="57">
        <v>35</v>
      </c>
      <c r="B36" s="358" t="s">
        <v>682</v>
      </c>
      <c r="C36" s="215"/>
      <c r="D36" s="338"/>
      <c r="E36" s="338"/>
      <c r="F36" s="338"/>
      <c r="G36" s="338"/>
      <c r="H36" s="345"/>
      <c r="I36" s="57">
        <f>COUNTIF(C36:H36,0)</f>
        <v>0</v>
      </c>
      <c r="J36" s="345"/>
      <c r="L36" s="215"/>
      <c r="M36" s="338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  <c r="Z36" s="345"/>
      <c r="AA36" s="338"/>
    </row>
    <row r="37" spans="1:27" ht="15" customHeight="1">
      <c r="A37" s="57">
        <v>36</v>
      </c>
      <c r="B37" s="358" t="s">
        <v>681</v>
      </c>
      <c r="C37" s="215"/>
      <c r="D37" s="338"/>
      <c r="E37" s="338"/>
      <c r="F37" s="338"/>
      <c r="G37" s="338"/>
      <c r="H37" s="345"/>
      <c r="I37" s="57">
        <f>COUNTIF(C37:H37,0)</f>
        <v>0</v>
      </c>
      <c r="J37" s="345"/>
      <c r="L37" s="215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45"/>
      <c r="AA37" s="338"/>
    </row>
    <row r="38" spans="1:27" ht="15" customHeight="1">
      <c r="A38" s="57">
        <v>37</v>
      </c>
      <c r="B38" s="358" t="s">
        <v>680</v>
      </c>
      <c r="C38" s="215"/>
      <c r="D38" s="338"/>
      <c r="E38" s="338"/>
      <c r="F38" s="338"/>
      <c r="G38" s="338"/>
      <c r="H38" s="345"/>
      <c r="I38" s="57">
        <f>COUNTIF(C38:H38,0)</f>
        <v>0</v>
      </c>
      <c r="J38" s="345"/>
      <c r="L38" s="215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45"/>
      <c r="AA38" s="338"/>
    </row>
    <row r="39" spans="1:27" ht="15" customHeight="1">
      <c r="A39" s="57">
        <v>38</v>
      </c>
      <c r="B39" s="351" t="s">
        <v>679</v>
      </c>
      <c r="C39" s="215">
        <v>0</v>
      </c>
      <c r="D39" s="338"/>
      <c r="E39" s="338"/>
      <c r="F39" s="338">
        <v>0</v>
      </c>
      <c r="G39" s="338"/>
      <c r="H39" s="345">
        <v>0</v>
      </c>
      <c r="I39" s="57">
        <f>COUNTIF(C39:H39,0)</f>
        <v>3</v>
      </c>
      <c r="J39" s="361" t="s">
        <v>675</v>
      </c>
      <c r="L39" s="215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45"/>
      <c r="AA39" s="338"/>
    </row>
    <row r="40" spans="1:27" ht="15" customHeight="1">
      <c r="A40" s="57">
        <v>39</v>
      </c>
      <c r="B40" s="358" t="s">
        <v>678</v>
      </c>
      <c r="C40" s="215"/>
      <c r="D40" s="338"/>
      <c r="E40" s="338"/>
      <c r="F40" s="338"/>
      <c r="G40" s="338"/>
      <c r="H40" s="345"/>
      <c r="I40" s="57">
        <f>COUNTIF(C40:H40,0)</f>
        <v>0</v>
      </c>
      <c r="J40" s="345"/>
      <c r="L40" s="215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45"/>
      <c r="AA40" s="338"/>
    </row>
    <row r="41" spans="1:27" ht="15" customHeight="1">
      <c r="A41" s="352">
        <v>40</v>
      </c>
      <c r="B41" s="356" t="s">
        <v>22</v>
      </c>
      <c r="C41" s="355">
        <v>0</v>
      </c>
      <c r="D41" s="354">
        <v>0</v>
      </c>
      <c r="E41" s="354"/>
      <c r="F41" s="354">
        <v>0</v>
      </c>
      <c r="G41" s="354">
        <v>0</v>
      </c>
      <c r="H41" s="353">
        <v>0</v>
      </c>
      <c r="I41" s="352">
        <f>COUNTIF(C41:H41,0)</f>
        <v>5</v>
      </c>
      <c r="J41" s="345" t="s">
        <v>637</v>
      </c>
      <c r="L41" s="215" t="s">
        <v>640</v>
      </c>
      <c r="M41" s="338" t="s">
        <v>640</v>
      </c>
      <c r="N41" s="338" t="s">
        <v>640</v>
      </c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45"/>
      <c r="AA41" s="338"/>
    </row>
    <row r="42" spans="1:27" ht="15" customHeight="1">
      <c r="A42" s="352">
        <v>41</v>
      </c>
      <c r="B42" s="356" t="s">
        <v>92</v>
      </c>
      <c r="C42" s="355">
        <v>0</v>
      </c>
      <c r="D42" s="354">
        <v>0</v>
      </c>
      <c r="E42" s="354"/>
      <c r="F42" s="354">
        <v>0</v>
      </c>
      <c r="G42" s="354">
        <v>0</v>
      </c>
      <c r="H42" s="353">
        <v>0</v>
      </c>
      <c r="I42" s="352">
        <f>COUNTIF(C42:H42,0)</f>
        <v>5</v>
      </c>
      <c r="J42" s="345" t="s">
        <v>637</v>
      </c>
      <c r="L42" s="215" t="s">
        <v>640</v>
      </c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45"/>
      <c r="AA42" s="338" t="s">
        <v>677</v>
      </c>
    </row>
    <row r="43" spans="1:27" ht="15" customHeight="1">
      <c r="A43" s="57">
        <v>42</v>
      </c>
      <c r="B43" s="351" t="s">
        <v>676</v>
      </c>
      <c r="C43" s="215"/>
      <c r="D43" s="338"/>
      <c r="E43" s="338"/>
      <c r="F43" s="338">
        <v>0</v>
      </c>
      <c r="G43" s="338"/>
      <c r="H43" s="345">
        <v>0</v>
      </c>
      <c r="I43" s="57">
        <f>COUNTIF(C43:H43,0)</f>
        <v>2</v>
      </c>
      <c r="J43" s="361" t="s">
        <v>675</v>
      </c>
      <c r="L43" s="215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45"/>
      <c r="AA43" s="338"/>
    </row>
    <row r="44" spans="1:27" ht="15" customHeight="1">
      <c r="A44" s="57">
        <v>43</v>
      </c>
      <c r="B44" s="358" t="s">
        <v>674</v>
      </c>
      <c r="C44" s="215"/>
      <c r="D44" s="338"/>
      <c r="E44" s="338"/>
      <c r="F44" s="338"/>
      <c r="G44" s="338"/>
      <c r="H44" s="345"/>
      <c r="I44" s="57">
        <f>COUNTIF(C44:H44,0)</f>
        <v>0</v>
      </c>
      <c r="J44" s="345"/>
      <c r="L44" s="215"/>
      <c r="M44" s="338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45"/>
      <c r="AA44" s="338"/>
    </row>
    <row r="45" spans="1:27" ht="15" customHeight="1">
      <c r="A45" s="57">
        <v>44</v>
      </c>
      <c r="B45" s="358" t="s">
        <v>673</v>
      </c>
      <c r="C45" s="215"/>
      <c r="D45" s="338"/>
      <c r="E45" s="338"/>
      <c r="F45" s="338"/>
      <c r="G45" s="338"/>
      <c r="H45" s="345"/>
      <c r="I45" s="57">
        <f>COUNTIF(C45:H45,0)</f>
        <v>0</v>
      </c>
      <c r="J45" s="345"/>
      <c r="L45" s="215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45"/>
      <c r="AA45" s="338"/>
    </row>
    <row r="46" spans="1:27" ht="15" customHeight="1">
      <c r="A46" s="352">
        <v>45</v>
      </c>
      <c r="B46" s="356" t="s">
        <v>71</v>
      </c>
      <c r="C46" s="355">
        <v>0</v>
      </c>
      <c r="D46" s="354">
        <v>0</v>
      </c>
      <c r="E46" s="354"/>
      <c r="F46" s="354">
        <v>0</v>
      </c>
      <c r="G46" s="354">
        <v>0</v>
      </c>
      <c r="H46" s="353">
        <v>0</v>
      </c>
      <c r="I46" s="352">
        <f>COUNTIF(C46:H46,0)</f>
        <v>5</v>
      </c>
      <c r="J46" s="345" t="s">
        <v>637</v>
      </c>
      <c r="L46" s="215"/>
      <c r="M46" s="338"/>
      <c r="N46" s="338"/>
      <c r="O46" s="338"/>
      <c r="P46" s="338"/>
      <c r="Q46" s="338"/>
      <c r="R46" s="338"/>
      <c r="S46" s="338"/>
      <c r="T46" s="338"/>
      <c r="U46" s="338" t="s">
        <v>640</v>
      </c>
      <c r="V46" s="338" t="s">
        <v>640</v>
      </c>
      <c r="W46" s="338" t="s">
        <v>640</v>
      </c>
      <c r="X46" s="338" t="s">
        <v>640</v>
      </c>
      <c r="Y46" s="338" t="s">
        <v>640</v>
      </c>
      <c r="Z46" s="345" t="s">
        <v>640</v>
      </c>
      <c r="AA46" s="338"/>
    </row>
    <row r="47" spans="1:27" ht="15" customHeight="1">
      <c r="A47" s="57">
        <v>46</v>
      </c>
      <c r="B47" s="358" t="s">
        <v>672</v>
      </c>
      <c r="C47" s="215"/>
      <c r="D47" s="338"/>
      <c r="E47" s="338"/>
      <c r="F47" s="338"/>
      <c r="G47" s="338"/>
      <c r="H47" s="345">
        <v>0</v>
      </c>
      <c r="I47" s="57">
        <f>COUNTIF(C47:H47,0)</f>
        <v>1</v>
      </c>
      <c r="J47" s="345"/>
      <c r="L47" s="215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45"/>
      <c r="AA47" s="338"/>
    </row>
    <row r="48" spans="1:27" ht="15" customHeight="1">
      <c r="A48" s="57">
        <v>47</v>
      </c>
      <c r="B48" s="351" t="s">
        <v>671</v>
      </c>
      <c r="C48" s="215">
        <v>0</v>
      </c>
      <c r="D48" s="338"/>
      <c r="E48" s="338"/>
      <c r="F48" s="338">
        <v>0</v>
      </c>
      <c r="G48" s="338"/>
      <c r="H48" s="345">
        <v>0</v>
      </c>
      <c r="I48" s="57">
        <f>COUNTIF(C48:H48,0)</f>
        <v>3</v>
      </c>
      <c r="J48" s="345"/>
      <c r="L48" s="215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45"/>
      <c r="AA48" s="338"/>
    </row>
    <row r="49" spans="1:27" ht="15" customHeight="1">
      <c r="A49" s="57">
        <v>48</v>
      </c>
      <c r="B49" s="358" t="s">
        <v>670</v>
      </c>
      <c r="C49" s="215"/>
      <c r="D49" s="338"/>
      <c r="E49" s="338"/>
      <c r="F49" s="338"/>
      <c r="G49" s="338"/>
      <c r="H49" s="345"/>
      <c r="I49" s="57">
        <f>COUNTIF(C49:H49,0)</f>
        <v>0</v>
      </c>
      <c r="J49" s="345"/>
      <c r="L49" s="215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45"/>
      <c r="AA49" s="338"/>
    </row>
    <row r="50" spans="1:27" ht="15" customHeight="1">
      <c r="A50" s="352">
        <v>49</v>
      </c>
      <c r="B50" s="360" t="s">
        <v>96</v>
      </c>
      <c r="C50" s="355">
        <v>0</v>
      </c>
      <c r="D50" s="354">
        <v>0</v>
      </c>
      <c r="E50" s="354"/>
      <c r="F50" s="354">
        <v>0</v>
      </c>
      <c r="G50" s="354">
        <v>0</v>
      </c>
      <c r="H50" s="353">
        <v>0</v>
      </c>
      <c r="I50" s="352">
        <f>COUNTIF(C50:H50,0)</f>
        <v>5</v>
      </c>
      <c r="J50" s="345" t="s">
        <v>637</v>
      </c>
      <c r="L50" s="215"/>
      <c r="M50" s="338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45"/>
      <c r="AA50" s="338" t="s">
        <v>669</v>
      </c>
    </row>
    <row r="51" spans="1:27" ht="15" customHeight="1">
      <c r="A51" s="352">
        <v>50</v>
      </c>
      <c r="B51" s="360" t="s">
        <v>28</v>
      </c>
      <c r="C51" s="355">
        <v>0</v>
      </c>
      <c r="D51" s="354">
        <v>0</v>
      </c>
      <c r="E51" s="354"/>
      <c r="F51" s="354">
        <v>0</v>
      </c>
      <c r="G51" s="354">
        <v>0</v>
      </c>
      <c r="H51" s="353">
        <v>0</v>
      </c>
      <c r="I51" s="352">
        <f>COUNTIF(C51:H51,0)</f>
        <v>5</v>
      </c>
      <c r="J51" s="345" t="s">
        <v>637</v>
      </c>
      <c r="L51" s="215" t="s">
        <v>640</v>
      </c>
      <c r="M51" s="338" t="s">
        <v>640</v>
      </c>
      <c r="N51" s="338" t="s">
        <v>640</v>
      </c>
      <c r="O51" s="338" t="s">
        <v>640</v>
      </c>
      <c r="P51" s="338" t="s">
        <v>640</v>
      </c>
      <c r="Q51" s="338" t="s">
        <v>640</v>
      </c>
      <c r="R51" s="338" t="s">
        <v>640</v>
      </c>
      <c r="S51" s="338" t="s">
        <v>640</v>
      </c>
      <c r="T51" s="338" t="s">
        <v>640</v>
      </c>
      <c r="U51" s="338" t="s">
        <v>640</v>
      </c>
      <c r="V51" s="338" t="s">
        <v>640</v>
      </c>
      <c r="W51" s="338" t="s">
        <v>640</v>
      </c>
      <c r="X51" s="338" t="s">
        <v>640</v>
      </c>
      <c r="Y51" s="338" t="s">
        <v>640</v>
      </c>
      <c r="Z51" s="345" t="s">
        <v>640</v>
      </c>
      <c r="AA51" s="338"/>
    </row>
    <row r="52" spans="1:27" ht="15" customHeight="1">
      <c r="A52" s="57">
        <v>51</v>
      </c>
      <c r="B52" s="358" t="s">
        <v>668</v>
      </c>
      <c r="C52" s="215"/>
      <c r="D52" s="338"/>
      <c r="E52" s="338"/>
      <c r="F52" s="338"/>
      <c r="G52" s="338"/>
      <c r="H52" s="345"/>
      <c r="I52" s="57">
        <f>COUNTIF(C52:H52,0)</f>
        <v>0</v>
      </c>
      <c r="J52" s="345"/>
      <c r="L52" s="215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45"/>
      <c r="AA52" s="338"/>
    </row>
    <row r="53" spans="1:27" ht="15" customHeight="1">
      <c r="A53" s="57">
        <v>52</v>
      </c>
      <c r="B53" s="358" t="s">
        <v>667</v>
      </c>
      <c r="C53" s="215"/>
      <c r="D53" s="338"/>
      <c r="E53" s="338"/>
      <c r="F53" s="338"/>
      <c r="G53" s="338"/>
      <c r="H53" s="345"/>
      <c r="I53" s="57">
        <f>COUNTIF(C53:H53,0)</f>
        <v>0</v>
      </c>
      <c r="J53" s="345"/>
      <c r="L53" s="215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45"/>
      <c r="AA53" s="338"/>
    </row>
    <row r="54" spans="1:27" ht="15" customHeight="1">
      <c r="A54" s="352">
        <v>53</v>
      </c>
      <c r="B54" s="356" t="s">
        <v>63</v>
      </c>
      <c r="C54" s="355">
        <v>0</v>
      </c>
      <c r="D54" s="354">
        <v>0</v>
      </c>
      <c r="E54" s="354"/>
      <c r="F54" s="354">
        <v>0</v>
      </c>
      <c r="G54" s="354">
        <v>0</v>
      </c>
      <c r="H54" s="353">
        <v>0</v>
      </c>
      <c r="I54" s="352">
        <f>COUNTIF(C54:H54,0)</f>
        <v>5</v>
      </c>
      <c r="J54" s="345" t="s">
        <v>637</v>
      </c>
      <c r="L54" s="215"/>
      <c r="M54" s="338"/>
      <c r="N54" s="338"/>
      <c r="O54" s="338"/>
      <c r="P54" s="338"/>
      <c r="Q54" s="338"/>
      <c r="R54" s="338"/>
      <c r="S54" s="338"/>
      <c r="T54" s="338"/>
      <c r="U54" s="338" t="s">
        <v>640</v>
      </c>
      <c r="V54" s="338" t="s">
        <v>640</v>
      </c>
      <c r="W54" s="338" t="s">
        <v>640</v>
      </c>
      <c r="X54" s="338"/>
      <c r="Y54" s="338"/>
      <c r="Z54" s="345"/>
      <c r="AA54" s="338"/>
    </row>
    <row r="55" spans="1:27" ht="15" customHeight="1">
      <c r="A55" s="57">
        <v>54</v>
      </c>
      <c r="B55" s="358" t="s">
        <v>666</v>
      </c>
      <c r="C55" s="215"/>
      <c r="D55" s="338"/>
      <c r="E55" s="338"/>
      <c r="F55" s="338"/>
      <c r="G55" s="338"/>
      <c r="H55" s="345"/>
      <c r="I55" s="57">
        <f>COUNTIF(C55:H55,0)</f>
        <v>0</v>
      </c>
      <c r="J55" s="345"/>
      <c r="L55" s="215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45"/>
      <c r="AA55" s="338"/>
    </row>
    <row r="56" spans="1:27" ht="15" customHeight="1">
      <c r="A56" s="57">
        <v>55</v>
      </c>
      <c r="B56" s="358" t="s">
        <v>665</v>
      </c>
      <c r="C56" s="215"/>
      <c r="D56" s="338"/>
      <c r="E56" s="338"/>
      <c r="F56" s="338"/>
      <c r="G56" s="338"/>
      <c r="H56" s="345"/>
      <c r="I56" s="57">
        <f>COUNTIF(C56:H56,0)</f>
        <v>0</v>
      </c>
      <c r="J56" s="345"/>
      <c r="L56" s="215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45"/>
      <c r="AA56" s="338"/>
    </row>
    <row r="57" spans="1:27" ht="15" customHeight="1">
      <c r="A57" s="352">
        <v>56</v>
      </c>
      <c r="B57" s="356" t="s">
        <v>74</v>
      </c>
      <c r="C57" s="355">
        <v>0</v>
      </c>
      <c r="D57" s="354">
        <v>0</v>
      </c>
      <c r="E57" s="354"/>
      <c r="F57" s="354">
        <v>0</v>
      </c>
      <c r="G57" s="354">
        <v>0</v>
      </c>
      <c r="H57" s="353">
        <v>0</v>
      </c>
      <c r="I57" s="352">
        <f>COUNTIF(C57:H57,0)</f>
        <v>5</v>
      </c>
      <c r="J57" s="345" t="s">
        <v>637</v>
      </c>
      <c r="L57" s="215" t="s">
        <v>640</v>
      </c>
      <c r="M57" s="338" t="s">
        <v>640</v>
      </c>
      <c r="N57" s="338" t="s">
        <v>640</v>
      </c>
      <c r="O57" s="338" t="s">
        <v>640</v>
      </c>
      <c r="P57" s="338" t="s">
        <v>640</v>
      </c>
      <c r="Q57" s="338" t="s">
        <v>640</v>
      </c>
      <c r="R57" s="338" t="s">
        <v>640</v>
      </c>
      <c r="S57" s="338" t="s">
        <v>640</v>
      </c>
      <c r="T57" s="338" t="s">
        <v>640</v>
      </c>
      <c r="U57" s="338" t="s">
        <v>640</v>
      </c>
      <c r="V57" s="338" t="s">
        <v>640</v>
      </c>
      <c r="W57" s="338" t="s">
        <v>640</v>
      </c>
      <c r="X57" s="338" t="s">
        <v>640</v>
      </c>
      <c r="Y57" s="338" t="s">
        <v>640</v>
      </c>
      <c r="Z57" s="345" t="s">
        <v>640</v>
      </c>
      <c r="AA57" s="338"/>
    </row>
    <row r="58" spans="1:27" ht="15" customHeight="1">
      <c r="A58" s="57">
        <v>57</v>
      </c>
      <c r="B58" s="351" t="s">
        <v>664</v>
      </c>
      <c r="C58" s="215"/>
      <c r="D58" s="338"/>
      <c r="E58" s="338"/>
      <c r="F58" s="338"/>
      <c r="G58" s="338"/>
      <c r="H58" s="345"/>
      <c r="I58" s="57">
        <f>COUNTIF(C58:H58,0)</f>
        <v>0</v>
      </c>
      <c r="J58" s="345"/>
      <c r="L58" s="215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45"/>
      <c r="AA58" s="338"/>
    </row>
    <row r="59" spans="1:27" ht="15" customHeight="1">
      <c r="A59" s="346">
        <v>58</v>
      </c>
      <c r="B59" s="350" t="s">
        <v>663</v>
      </c>
      <c r="C59" s="349">
        <v>0</v>
      </c>
      <c r="D59" s="348"/>
      <c r="E59" s="348"/>
      <c r="F59" s="348">
        <v>0</v>
      </c>
      <c r="G59" s="348">
        <v>0</v>
      </c>
      <c r="H59" s="347">
        <v>0</v>
      </c>
      <c r="I59" s="346">
        <f>COUNTIF(C59:H59,0)</f>
        <v>4</v>
      </c>
      <c r="J59" s="345" t="s">
        <v>637</v>
      </c>
      <c r="L59" s="215"/>
      <c r="M59" s="338" t="s">
        <v>640</v>
      </c>
      <c r="N59" s="338" t="s">
        <v>640</v>
      </c>
      <c r="O59" s="338" t="s">
        <v>640</v>
      </c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45"/>
      <c r="AA59" s="338"/>
    </row>
    <row r="60" spans="1:27" ht="15" customHeight="1">
      <c r="A60" s="352">
        <v>59</v>
      </c>
      <c r="B60" s="360" t="s">
        <v>53</v>
      </c>
      <c r="C60" s="355">
        <v>0</v>
      </c>
      <c r="D60" s="354">
        <v>0</v>
      </c>
      <c r="E60" s="354"/>
      <c r="F60" s="354">
        <v>0</v>
      </c>
      <c r="G60" s="354">
        <v>0</v>
      </c>
      <c r="H60" s="353">
        <v>0</v>
      </c>
      <c r="I60" s="352">
        <f>COUNTIF(C60:H60,0)</f>
        <v>5</v>
      </c>
      <c r="J60" s="345" t="s">
        <v>637</v>
      </c>
      <c r="L60" s="215"/>
      <c r="M60" s="338"/>
      <c r="N60" s="338"/>
      <c r="O60" s="338"/>
      <c r="P60" s="338"/>
      <c r="Q60" s="338"/>
      <c r="R60" s="338" t="s">
        <v>640</v>
      </c>
      <c r="S60" s="338" t="s">
        <v>640</v>
      </c>
      <c r="T60" s="338" t="s">
        <v>640</v>
      </c>
      <c r="U60" s="338" t="s">
        <v>640</v>
      </c>
      <c r="V60" s="338" t="s">
        <v>640</v>
      </c>
      <c r="W60" s="338" t="s">
        <v>640</v>
      </c>
      <c r="X60" s="338" t="s">
        <v>640</v>
      </c>
      <c r="Y60" s="338"/>
      <c r="Z60" s="345"/>
      <c r="AA60" s="338"/>
    </row>
    <row r="61" spans="1:27" ht="15" customHeight="1">
      <c r="A61" s="57">
        <v>60</v>
      </c>
      <c r="B61" s="358" t="s">
        <v>662</v>
      </c>
      <c r="C61" s="215"/>
      <c r="D61" s="338"/>
      <c r="E61" s="338"/>
      <c r="F61" s="338">
        <v>0</v>
      </c>
      <c r="G61" s="338"/>
      <c r="H61" s="345"/>
      <c r="I61" s="57">
        <f>COUNTIF(C61:H61,0)</f>
        <v>1</v>
      </c>
      <c r="J61" s="345"/>
      <c r="L61" s="215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45"/>
      <c r="AA61" s="338"/>
    </row>
    <row r="62" spans="1:27" ht="15" customHeight="1">
      <c r="A62" s="57">
        <v>61</v>
      </c>
      <c r="B62" s="358" t="s">
        <v>661</v>
      </c>
      <c r="C62" s="215"/>
      <c r="D62" s="338"/>
      <c r="E62" s="338"/>
      <c r="F62" s="338"/>
      <c r="G62" s="338"/>
      <c r="H62" s="345"/>
      <c r="I62" s="57">
        <f>COUNTIF(C62:H62,0)</f>
        <v>0</v>
      </c>
      <c r="J62" s="345"/>
      <c r="L62" s="215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45"/>
      <c r="AA62" s="338"/>
    </row>
    <row r="63" spans="1:27" ht="15" customHeight="1">
      <c r="A63" s="57">
        <v>62</v>
      </c>
      <c r="B63" s="358" t="s">
        <v>660</v>
      </c>
      <c r="C63" s="215">
        <v>0</v>
      </c>
      <c r="D63" s="338"/>
      <c r="E63" s="338"/>
      <c r="F63" s="338"/>
      <c r="G63" s="338">
        <v>0</v>
      </c>
      <c r="H63" s="345"/>
      <c r="I63" s="57">
        <f>COUNTIF(C63:H63,0)</f>
        <v>2</v>
      </c>
      <c r="J63" s="345"/>
      <c r="L63" s="215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45"/>
      <c r="AA63" s="338"/>
    </row>
    <row r="64" spans="1:27" ht="15" customHeight="1">
      <c r="A64" s="57">
        <v>63</v>
      </c>
      <c r="B64" s="351" t="s">
        <v>659</v>
      </c>
      <c r="C64" s="215">
        <v>0</v>
      </c>
      <c r="D64" s="338"/>
      <c r="E64" s="338"/>
      <c r="F64" s="338"/>
      <c r="G64" s="338"/>
      <c r="H64" s="345"/>
      <c r="I64" s="57">
        <f>COUNTIF(C64:H64,0)</f>
        <v>1</v>
      </c>
      <c r="J64" s="345"/>
      <c r="L64" s="215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45"/>
      <c r="AA64" s="338"/>
    </row>
    <row r="65" spans="1:27" ht="15" customHeight="1">
      <c r="A65" s="352">
        <v>64</v>
      </c>
      <c r="B65" s="360" t="s">
        <v>32</v>
      </c>
      <c r="C65" s="355">
        <v>0</v>
      </c>
      <c r="D65" s="354">
        <v>0</v>
      </c>
      <c r="E65" s="354"/>
      <c r="F65" s="354">
        <v>0</v>
      </c>
      <c r="G65" s="354">
        <v>0</v>
      </c>
      <c r="H65" s="353">
        <v>0</v>
      </c>
      <c r="I65" s="352">
        <f>COUNTIF(C65:H65,0)</f>
        <v>5</v>
      </c>
      <c r="J65" s="345" t="s">
        <v>637</v>
      </c>
      <c r="L65" s="215" t="s">
        <v>640</v>
      </c>
      <c r="M65" s="338" t="s">
        <v>640</v>
      </c>
      <c r="N65" s="338" t="s">
        <v>640</v>
      </c>
      <c r="O65" s="338" t="s">
        <v>640</v>
      </c>
      <c r="P65" s="338" t="s">
        <v>640</v>
      </c>
      <c r="Q65" s="338" t="s">
        <v>640</v>
      </c>
      <c r="R65" s="338" t="s">
        <v>640</v>
      </c>
      <c r="S65" s="338" t="s">
        <v>640</v>
      </c>
      <c r="T65" s="338" t="s">
        <v>640</v>
      </c>
      <c r="U65" s="338" t="s">
        <v>640</v>
      </c>
      <c r="V65" s="338" t="s">
        <v>640</v>
      </c>
      <c r="W65" s="338" t="s">
        <v>640</v>
      </c>
      <c r="X65" s="338" t="s">
        <v>640</v>
      </c>
      <c r="Y65" s="338" t="s">
        <v>640</v>
      </c>
      <c r="Z65" s="345" t="s">
        <v>640</v>
      </c>
      <c r="AA65" s="338"/>
    </row>
    <row r="66" spans="1:27" ht="15" customHeight="1">
      <c r="A66" s="57">
        <v>65</v>
      </c>
      <c r="B66" s="358" t="s">
        <v>658</v>
      </c>
      <c r="C66" s="215"/>
      <c r="D66" s="338"/>
      <c r="E66" s="338"/>
      <c r="F66" s="338"/>
      <c r="G66" s="338"/>
      <c r="H66" s="345"/>
      <c r="I66" s="57">
        <f>COUNTIF(C66:H66,0)</f>
        <v>0</v>
      </c>
      <c r="J66" s="345"/>
      <c r="L66" s="215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45"/>
      <c r="AA66" s="338"/>
    </row>
    <row r="67" spans="1:27" ht="15" customHeight="1">
      <c r="A67" s="352">
        <v>66</v>
      </c>
      <c r="B67" s="356" t="s">
        <v>31</v>
      </c>
      <c r="C67" s="355">
        <v>0</v>
      </c>
      <c r="D67" s="354">
        <v>0</v>
      </c>
      <c r="E67" s="354"/>
      <c r="F67" s="354">
        <v>0</v>
      </c>
      <c r="G67" s="354">
        <v>0</v>
      </c>
      <c r="H67" s="353">
        <v>0</v>
      </c>
      <c r="I67" s="352">
        <f>COUNTIF(C67:H67,0)</f>
        <v>5</v>
      </c>
      <c r="J67" s="345" t="s">
        <v>637</v>
      </c>
      <c r="L67" s="215"/>
      <c r="M67" s="338"/>
      <c r="N67" s="338" t="s">
        <v>640</v>
      </c>
      <c r="O67" s="338" t="s">
        <v>640</v>
      </c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45"/>
      <c r="AA67" s="338"/>
    </row>
    <row r="68" spans="1:27" ht="15" customHeight="1">
      <c r="A68" s="57">
        <v>67</v>
      </c>
      <c r="B68" s="351" t="s">
        <v>657</v>
      </c>
      <c r="C68" s="215">
        <v>0</v>
      </c>
      <c r="D68" s="338"/>
      <c r="E68" s="338"/>
      <c r="F68" s="338"/>
      <c r="G68" s="338"/>
      <c r="H68" s="345">
        <v>0</v>
      </c>
      <c r="I68" s="57">
        <f>COUNTIF(C68:H68,0)</f>
        <v>2</v>
      </c>
      <c r="J68" s="345"/>
      <c r="L68" s="215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45"/>
      <c r="AA68" s="338"/>
    </row>
    <row r="69" spans="1:27" ht="15" customHeight="1">
      <c r="A69" s="57">
        <v>68</v>
      </c>
      <c r="B69" s="358" t="s">
        <v>656</v>
      </c>
      <c r="C69" s="215"/>
      <c r="D69" s="338"/>
      <c r="E69" s="338"/>
      <c r="F69" s="338"/>
      <c r="G69" s="338"/>
      <c r="H69" s="345"/>
      <c r="I69" s="57">
        <f>COUNTIF(C69:H69,0)</f>
        <v>0</v>
      </c>
      <c r="J69" s="345"/>
      <c r="L69" s="215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45"/>
      <c r="AA69" s="338"/>
    </row>
    <row r="70" spans="1:27" ht="15" customHeight="1">
      <c r="A70" s="352">
        <v>69</v>
      </c>
      <c r="B70" s="360" t="s">
        <v>72</v>
      </c>
      <c r="C70" s="355">
        <v>0</v>
      </c>
      <c r="D70" s="354">
        <v>0</v>
      </c>
      <c r="E70" s="354"/>
      <c r="F70" s="354">
        <v>0</v>
      </c>
      <c r="G70" s="354">
        <v>0</v>
      </c>
      <c r="H70" s="353">
        <v>0</v>
      </c>
      <c r="I70" s="352">
        <f>COUNTIF(C70:H70,0)</f>
        <v>5</v>
      </c>
      <c r="J70" s="345" t="s">
        <v>637</v>
      </c>
      <c r="L70" s="215"/>
      <c r="M70" s="338"/>
      <c r="N70" s="338"/>
      <c r="O70" s="338"/>
      <c r="P70" s="338"/>
      <c r="Q70" s="338"/>
      <c r="R70" s="338"/>
      <c r="S70" s="338"/>
      <c r="T70" s="338"/>
      <c r="U70" s="338" t="s">
        <v>640</v>
      </c>
      <c r="V70" s="338" t="s">
        <v>640</v>
      </c>
      <c r="W70" s="338" t="s">
        <v>640</v>
      </c>
      <c r="X70" s="338" t="s">
        <v>640</v>
      </c>
      <c r="Y70" s="338" t="s">
        <v>640</v>
      </c>
      <c r="Z70" s="345" t="s">
        <v>640</v>
      </c>
      <c r="AA70" s="338"/>
    </row>
    <row r="71" spans="1:27" ht="15" customHeight="1">
      <c r="A71" s="57">
        <v>70</v>
      </c>
      <c r="B71" s="358" t="s">
        <v>655</v>
      </c>
      <c r="C71" s="215"/>
      <c r="D71" s="338"/>
      <c r="E71" s="338"/>
      <c r="F71" s="338"/>
      <c r="G71" s="338"/>
      <c r="H71" s="345"/>
      <c r="I71" s="57">
        <f>COUNTIF(C71:H71,0)</f>
        <v>0</v>
      </c>
      <c r="J71" s="345"/>
      <c r="L71" s="215"/>
      <c r="M71" s="338"/>
      <c r="N71" s="338"/>
      <c r="O71" s="338"/>
      <c r="P71" s="338"/>
      <c r="Q71" s="338"/>
      <c r="R71" s="338"/>
      <c r="S71" s="338"/>
      <c r="T71" s="338"/>
      <c r="U71" s="35"/>
      <c r="V71" s="35"/>
      <c r="W71" s="35"/>
      <c r="X71" s="35"/>
      <c r="Y71" s="35"/>
      <c r="Z71" s="359"/>
      <c r="AA71" s="338"/>
    </row>
    <row r="72" spans="1:27" ht="15" customHeight="1">
      <c r="A72" s="57">
        <v>71</v>
      </c>
      <c r="B72" s="358" t="s">
        <v>654</v>
      </c>
      <c r="C72" s="215">
        <v>0</v>
      </c>
      <c r="D72" s="338">
        <v>0</v>
      </c>
      <c r="E72" s="338"/>
      <c r="F72" s="338"/>
      <c r="G72" s="338">
        <v>0</v>
      </c>
      <c r="H72" s="345"/>
      <c r="I72" s="57">
        <f>COUNTIF(C72:H72,0)</f>
        <v>3</v>
      </c>
      <c r="J72" s="345" t="s">
        <v>637</v>
      </c>
      <c r="L72" s="215"/>
      <c r="M72" s="338"/>
      <c r="N72" s="338"/>
      <c r="O72" s="338" t="s">
        <v>640</v>
      </c>
      <c r="P72" s="338" t="s">
        <v>640</v>
      </c>
      <c r="Q72" s="338" t="s">
        <v>640</v>
      </c>
      <c r="R72" s="338"/>
      <c r="S72" s="338"/>
      <c r="T72" s="338"/>
      <c r="U72" s="338"/>
      <c r="V72" s="338"/>
      <c r="W72" s="338"/>
      <c r="X72" s="338"/>
      <c r="Y72" s="338"/>
      <c r="Z72" s="345"/>
      <c r="AA72" s="338"/>
    </row>
    <row r="73" spans="1:27" ht="15" customHeight="1">
      <c r="A73" s="57">
        <v>72</v>
      </c>
      <c r="B73" s="358" t="s">
        <v>653</v>
      </c>
      <c r="C73" s="215">
        <v>0</v>
      </c>
      <c r="D73" s="338"/>
      <c r="E73" s="338"/>
      <c r="F73" s="338"/>
      <c r="G73" s="338"/>
      <c r="H73" s="345"/>
      <c r="I73" s="57">
        <f>COUNTIF(C73:H73,0)</f>
        <v>1</v>
      </c>
      <c r="J73" s="345"/>
      <c r="L73" s="215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45"/>
      <c r="AA73" s="338"/>
    </row>
    <row r="74" spans="1:27" ht="15" customHeight="1">
      <c r="A74" s="352">
        <v>73</v>
      </c>
      <c r="B74" s="356" t="s">
        <v>89</v>
      </c>
      <c r="C74" s="355">
        <v>0</v>
      </c>
      <c r="D74" s="354">
        <v>0</v>
      </c>
      <c r="E74" s="354"/>
      <c r="F74" s="354">
        <v>0</v>
      </c>
      <c r="G74" s="354">
        <v>0</v>
      </c>
      <c r="H74" s="353">
        <v>0</v>
      </c>
      <c r="I74" s="352">
        <f>COUNTIF(C74:H74,0)</f>
        <v>5</v>
      </c>
      <c r="J74" s="345" t="s">
        <v>637</v>
      </c>
      <c r="L74" s="215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45"/>
      <c r="AA74" s="338" t="s">
        <v>652</v>
      </c>
    </row>
    <row r="75" spans="1:27" ht="15" customHeight="1">
      <c r="A75" s="57">
        <v>74</v>
      </c>
      <c r="B75" s="358" t="s">
        <v>651</v>
      </c>
      <c r="C75" s="215"/>
      <c r="D75" s="338"/>
      <c r="E75" s="338"/>
      <c r="F75" s="338"/>
      <c r="G75" s="338"/>
      <c r="H75" s="345"/>
      <c r="I75" s="57">
        <f>COUNTIF(C75:H75,0)</f>
        <v>0</v>
      </c>
      <c r="J75" s="345"/>
      <c r="L75" s="215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45"/>
      <c r="AA75" s="338"/>
    </row>
    <row r="76" spans="1:27" ht="15" customHeight="1">
      <c r="A76" s="57">
        <v>75</v>
      </c>
      <c r="B76" s="358" t="s">
        <v>650</v>
      </c>
      <c r="C76" s="215">
        <v>0</v>
      </c>
      <c r="D76" s="338"/>
      <c r="E76" s="338"/>
      <c r="F76" s="338"/>
      <c r="G76" s="338">
        <v>0</v>
      </c>
      <c r="H76" s="345"/>
      <c r="I76" s="57">
        <f>COUNTIF(C76:H76,0)</f>
        <v>2</v>
      </c>
      <c r="J76" s="345"/>
      <c r="L76" s="215"/>
      <c r="M76" s="338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45"/>
      <c r="AA76" s="338"/>
    </row>
    <row r="77" spans="1:27" ht="15" customHeight="1">
      <c r="A77" s="57">
        <v>76</v>
      </c>
      <c r="B77" s="358" t="s">
        <v>649</v>
      </c>
      <c r="C77" s="215"/>
      <c r="D77" s="338"/>
      <c r="E77" s="338"/>
      <c r="F77" s="338"/>
      <c r="G77" s="338"/>
      <c r="H77" s="345"/>
      <c r="I77" s="57">
        <f>COUNTIF(C77:H77,0)</f>
        <v>0</v>
      </c>
      <c r="J77" s="345"/>
      <c r="L77" s="215"/>
      <c r="M77" s="338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45"/>
      <c r="AA77" s="338"/>
    </row>
    <row r="78" spans="1:27" ht="15" customHeight="1">
      <c r="A78" s="57">
        <v>77</v>
      </c>
      <c r="B78" s="358" t="s">
        <v>648</v>
      </c>
      <c r="C78" s="215">
        <v>0</v>
      </c>
      <c r="D78" s="338"/>
      <c r="E78" s="338"/>
      <c r="F78" s="338"/>
      <c r="G78" s="338">
        <v>0</v>
      </c>
      <c r="H78" s="345"/>
      <c r="I78" s="57">
        <f>COUNTIF(C78:H78,0)</f>
        <v>2</v>
      </c>
      <c r="J78" s="345"/>
      <c r="L78" s="215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45"/>
      <c r="AA78" s="338"/>
    </row>
    <row r="79" spans="1:27" ht="15" customHeight="1">
      <c r="A79" s="57">
        <v>78</v>
      </c>
      <c r="B79" s="358" t="s">
        <v>647</v>
      </c>
      <c r="C79" s="215">
        <v>0</v>
      </c>
      <c r="D79" s="338"/>
      <c r="E79" s="338"/>
      <c r="F79" s="338"/>
      <c r="G79" s="338"/>
      <c r="H79" s="345"/>
      <c r="I79" s="57">
        <f>COUNTIF(C79:H79,0)</f>
        <v>1</v>
      </c>
      <c r="J79" s="345"/>
      <c r="L79" s="215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45"/>
      <c r="AA79" s="338"/>
    </row>
    <row r="80" spans="1:27" ht="15" customHeight="1">
      <c r="A80" s="346">
        <v>79</v>
      </c>
      <c r="B80" s="357" t="s">
        <v>646</v>
      </c>
      <c r="C80" s="349">
        <v>0</v>
      </c>
      <c r="D80" s="348">
        <v>0</v>
      </c>
      <c r="E80" s="348"/>
      <c r="F80" s="348">
        <v>0</v>
      </c>
      <c r="G80" s="348">
        <v>0</v>
      </c>
      <c r="H80" s="347"/>
      <c r="I80" s="346">
        <f>COUNTIF(C80:H80,0)</f>
        <v>4</v>
      </c>
      <c r="J80" s="345" t="s">
        <v>637</v>
      </c>
      <c r="L80" s="215"/>
      <c r="M80" s="338"/>
      <c r="N80" s="338"/>
      <c r="O80" s="338" t="s">
        <v>640</v>
      </c>
      <c r="P80" s="338" t="s">
        <v>640</v>
      </c>
      <c r="Q80" s="338" t="s">
        <v>640</v>
      </c>
      <c r="R80" s="338" t="s">
        <v>640</v>
      </c>
      <c r="S80" s="338"/>
      <c r="T80" s="338"/>
      <c r="U80" s="338"/>
      <c r="V80" s="338"/>
      <c r="W80" s="338"/>
      <c r="X80" s="338"/>
      <c r="Y80" s="338"/>
      <c r="Z80" s="345"/>
      <c r="AA80" s="338"/>
    </row>
    <row r="81" spans="1:27" ht="15" customHeight="1">
      <c r="A81" s="57">
        <v>80</v>
      </c>
      <c r="B81" s="351" t="s">
        <v>645</v>
      </c>
      <c r="C81" s="215"/>
      <c r="D81" s="338"/>
      <c r="E81" s="338"/>
      <c r="F81" s="338"/>
      <c r="G81" s="338"/>
      <c r="H81" s="345"/>
      <c r="I81" s="57">
        <f>COUNTIF(C81:H81,0)</f>
        <v>0</v>
      </c>
      <c r="J81" s="345"/>
      <c r="L81" s="215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45"/>
      <c r="AA81" s="338"/>
    </row>
    <row r="82" spans="1:27" ht="15" customHeight="1">
      <c r="A82" s="346">
        <v>81</v>
      </c>
      <c r="B82" s="357" t="s">
        <v>644</v>
      </c>
      <c r="C82" s="349">
        <v>0</v>
      </c>
      <c r="D82" s="348">
        <v>0</v>
      </c>
      <c r="E82" s="348"/>
      <c r="F82" s="348">
        <v>0</v>
      </c>
      <c r="G82" s="348">
        <v>0</v>
      </c>
      <c r="H82" s="347"/>
      <c r="I82" s="346">
        <f>COUNTIF(C82:H82,0)</f>
        <v>4</v>
      </c>
      <c r="J82" s="345" t="s">
        <v>637</v>
      </c>
      <c r="L82" s="215" t="s">
        <v>640</v>
      </c>
      <c r="M82" s="338" t="s">
        <v>640</v>
      </c>
      <c r="N82" s="338" t="s">
        <v>640</v>
      </c>
      <c r="O82" s="338"/>
      <c r="P82" s="338"/>
      <c r="Q82" s="338" t="s">
        <v>640</v>
      </c>
      <c r="R82" s="338" t="s">
        <v>640</v>
      </c>
      <c r="S82" s="338" t="s">
        <v>640</v>
      </c>
      <c r="T82" s="338"/>
      <c r="U82" s="338"/>
      <c r="V82" s="338"/>
      <c r="W82" s="338"/>
      <c r="X82" s="338"/>
      <c r="Y82" s="338"/>
      <c r="Z82" s="345"/>
      <c r="AA82" s="338"/>
    </row>
    <row r="83" spans="1:27" ht="15" customHeight="1">
      <c r="A83" s="352">
        <v>82</v>
      </c>
      <c r="B83" s="356" t="s">
        <v>75</v>
      </c>
      <c r="C83" s="355">
        <v>0</v>
      </c>
      <c r="D83" s="354">
        <v>0</v>
      </c>
      <c r="E83" s="354"/>
      <c r="F83" s="354">
        <v>0</v>
      </c>
      <c r="G83" s="354">
        <v>0</v>
      </c>
      <c r="H83" s="353">
        <v>0</v>
      </c>
      <c r="I83" s="352">
        <f>COUNTIF(C83:H83,0)</f>
        <v>5</v>
      </c>
      <c r="J83" s="345" t="s">
        <v>637</v>
      </c>
      <c r="L83" s="215"/>
      <c r="M83" s="338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45" t="s">
        <v>640</v>
      </c>
      <c r="AA83" s="338" t="s">
        <v>643</v>
      </c>
    </row>
    <row r="84" spans="1:27" ht="15" customHeight="1">
      <c r="A84" s="57">
        <v>83</v>
      </c>
      <c r="B84" s="351" t="s">
        <v>642</v>
      </c>
      <c r="C84" s="215">
        <v>0</v>
      </c>
      <c r="D84" s="338"/>
      <c r="E84" s="338"/>
      <c r="F84" s="338">
        <v>0</v>
      </c>
      <c r="G84" s="338"/>
      <c r="H84" s="345">
        <v>0</v>
      </c>
      <c r="I84" s="57">
        <f>COUNTIF(C84:H84,0)</f>
        <v>3</v>
      </c>
      <c r="J84" s="345"/>
      <c r="L84" s="215"/>
      <c r="M84" s="338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45"/>
      <c r="AA84" s="338"/>
    </row>
    <row r="85" spans="1:27" ht="15" customHeight="1">
      <c r="A85" s="346">
        <v>84</v>
      </c>
      <c r="B85" s="350" t="s">
        <v>641</v>
      </c>
      <c r="C85" s="349">
        <v>0</v>
      </c>
      <c r="D85" s="348">
        <v>0</v>
      </c>
      <c r="E85" s="348"/>
      <c r="F85" s="348">
        <v>0</v>
      </c>
      <c r="G85" s="348">
        <v>0</v>
      </c>
      <c r="H85" s="347"/>
      <c r="I85" s="346">
        <f>COUNTIF(C85:H85,0)</f>
        <v>4</v>
      </c>
      <c r="J85" s="345" t="s">
        <v>637</v>
      </c>
      <c r="L85" s="215"/>
      <c r="M85" s="338"/>
      <c r="N85" s="338"/>
      <c r="O85" s="338"/>
      <c r="P85" s="338"/>
      <c r="Q85" s="338"/>
      <c r="R85" s="338"/>
      <c r="S85" s="338"/>
      <c r="T85" s="338" t="s">
        <v>640</v>
      </c>
      <c r="U85" s="338" t="s">
        <v>640</v>
      </c>
      <c r="V85" s="338" t="s">
        <v>640</v>
      </c>
      <c r="W85" s="338" t="s">
        <v>640</v>
      </c>
      <c r="X85" s="338" t="s">
        <v>640</v>
      </c>
      <c r="Y85" s="338" t="s">
        <v>640</v>
      </c>
      <c r="Z85" s="345" t="s">
        <v>640</v>
      </c>
      <c r="AA85" s="338"/>
    </row>
    <row r="86" spans="1:27" ht="15" customHeight="1" thickBot="1">
      <c r="A86" s="98">
        <v>85</v>
      </c>
      <c r="B86" s="344" t="s">
        <v>639</v>
      </c>
      <c r="C86" s="343">
        <v>0</v>
      </c>
      <c r="D86" s="342"/>
      <c r="E86" s="342"/>
      <c r="F86" s="342"/>
      <c r="G86" s="342"/>
      <c r="H86" s="341"/>
      <c r="I86" s="98">
        <f>COUNTIF(C86:H86,0)</f>
        <v>1</v>
      </c>
      <c r="J86" s="341"/>
      <c r="L86" s="343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1"/>
      <c r="AA86" s="338"/>
    </row>
    <row r="87" spans="1:27" ht="15" customHeight="1">
      <c r="A87" s="340"/>
      <c r="B87" s="338"/>
      <c r="C87" s="338"/>
      <c r="D87" s="338"/>
      <c r="E87" s="338"/>
      <c r="F87" s="338"/>
      <c r="G87" s="338"/>
      <c r="H87" s="338"/>
      <c r="I87" s="338"/>
      <c r="J87" s="338">
        <v>5</v>
      </c>
      <c r="K87" s="338">
        <f>COUNTIF(I2:I86,"=5")</f>
        <v>22</v>
      </c>
      <c r="L87" s="338" t="s">
        <v>19</v>
      </c>
      <c r="M87" s="338">
        <v>8</v>
      </c>
      <c r="N87" s="338" t="s">
        <v>637</v>
      </c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</row>
    <row r="88" spans="1:27" ht="15" customHeight="1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 t="s">
        <v>24</v>
      </c>
      <c r="M88" s="338">
        <v>14</v>
      </c>
      <c r="N88" s="338" t="s">
        <v>637</v>
      </c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</row>
    <row r="89" spans="1:27" ht="15" customHeight="1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 t="s">
        <v>638</v>
      </c>
      <c r="Q89" s="338" t="s">
        <v>19</v>
      </c>
      <c r="R89" s="338">
        <v>13</v>
      </c>
      <c r="S89" s="338"/>
      <c r="T89" s="338"/>
      <c r="U89" s="338"/>
      <c r="V89" s="338"/>
      <c r="W89" s="338"/>
      <c r="X89" s="338"/>
      <c r="Y89" s="338"/>
      <c r="Z89" s="338"/>
    </row>
    <row r="90" spans="1:27" ht="15" customHeight="1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 t="s">
        <v>24</v>
      </c>
      <c r="R90" s="338">
        <v>17</v>
      </c>
      <c r="S90" s="338"/>
      <c r="T90" s="338"/>
      <c r="U90" s="338"/>
      <c r="V90" s="338"/>
      <c r="W90" s="338"/>
      <c r="X90" s="338"/>
      <c r="Y90" s="338"/>
      <c r="Z90" s="338"/>
    </row>
    <row r="91" spans="1:27" ht="1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>
        <v>4</v>
      </c>
      <c r="K91" s="338">
        <f>COUNTIF(I2:I86,"4")</f>
        <v>7</v>
      </c>
      <c r="L91" s="338" t="s">
        <v>19</v>
      </c>
      <c r="M91" s="338">
        <v>4</v>
      </c>
      <c r="N91" s="338" t="s">
        <v>636</v>
      </c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</row>
    <row r="92" spans="1:27" ht="15" customHeight="1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 t="s">
        <v>24</v>
      </c>
      <c r="M92" s="338">
        <v>3</v>
      </c>
      <c r="N92" s="338" t="s">
        <v>637</v>
      </c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</row>
    <row r="93" spans="1:27" ht="15" customHeight="1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</row>
    <row r="94" spans="1:27" ht="15" customHeight="1">
      <c r="A94" s="338"/>
      <c r="B94" s="338"/>
      <c r="C94" s="338"/>
      <c r="D94" s="338"/>
      <c r="E94" s="338"/>
      <c r="F94" s="338"/>
      <c r="G94" s="338"/>
      <c r="H94" s="338"/>
      <c r="I94" s="338"/>
      <c r="J94" s="338">
        <v>3</v>
      </c>
      <c r="K94" s="339">
        <f>COUNTIF(I2:I86,3)</f>
        <v>5</v>
      </c>
      <c r="L94" s="338" t="s">
        <v>19</v>
      </c>
      <c r="M94" s="338">
        <v>1</v>
      </c>
      <c r="N94" s="338" t="s">
        <v>636</v>
      </c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</row>
    <row r="95" spans="1:27" ht="15" customHeight="1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L95" s="338" t="s">
        <v>24</v>
      </c>
      <c r="M95" s="338">
        <v>4</v>
      </c>
      <c r="N95" s="338" t="s">
        <v>636</v>
      </c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</row>
    <row r="96" spans="1:27" ht="15" customHeight="1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</row>
    <row r="97" spans="1:26" ht="15" customHeight="1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</row>
    <row r="98" spans="1:26" ht="15" customHeight="1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</row>
    <row r="99" spans="1:26" ht="15" customHeight="1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</row>
    <row r="100" spans="1:26" ht="15" customHeight="1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</row>
    <row r="101" spans="1:26" ht="15" customHeight="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</row>
    <row r="102" spans="1:26" ht="15" customHeight="1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</row>
    <row r="103" spans="1:26" ht="15" customHeight="1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</row>
    <row r="104" spans="1:26" ht="15" customHeight="1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</row>
    <row r="105" spans="1:26" ht="15" customHeight="1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</row>
    <row r="106" spans="1:26" ht="15" customHeight="1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</row>
    <row r="107" spans="1:26" ht="15" customHeight="1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</row>
    <row r="108" spans="1:26" ht="15" customHeight="1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</row>
    <row r="109" spans="1:26" ht="1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</row>
    <row r="110" spans="1:26" ht="1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</row>
    <row r="111" spans="1:26" ht="1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</row>
    <row r="112" spans="1:26" ht="1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</row>
    <row r="113" spans="1:26" ht="1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</row>
    <row r="114" spans="1:26" ht="1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</row>
    <row r="115" spans="1:26" ht="1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</row>
    <row r="116" spans="1:26" ht="1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</row>
    <row r="117" spans="1:26" ht="1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</row>
    <row r="118" spans="1:26" ht="1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</row>
    <row r="119" spans="1:26" ht="1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</row>
    <row r="120" spans="1:26" ht="1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</row>
    <row r="121" spans="1:26" ht="1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</row>
    <row r="122" spans="1:26" ht="1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</row>
    <row r="123" spans="1:26" ht="1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</row>
    <row r="124" spans="1:26" ht="1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</row>
    <row r="125" spans="1:26" ht="1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</row>
    <row r="126" spans="1:26" ht="1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</row>
    <row r="127" spans="1:26" ht="1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</row>
    <row r="128" spans="1:26" ht="1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</row>
    <row r="129" spans="1:26" ht="1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</row>
    <row r="130" spans="1:26" ht="1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</row>
    <row r="131" spans="1:26" ht="1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</row>
    <row r="132" spans="1:26" ht="1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</row>
    <row r="133" spans="1:26" ht="1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</row>
    <row r="134" spans="1:26" ht="1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</row>
    <row r="135" spans="1:26" ht="1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</row>
    <row r="136" spans="1:26" ht="1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</row>
    <row r="137" spans="1:26" ht="1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</row>
    <row r="138" spans="1:26" ht="1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</row>
    <row r="139" spans="1:26" ht="1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</row>
    <row r="140" spans="1:26" ht="1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</row>
    <row r="141" spans="1:26" ht="1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</row>
    <row r="142" spans="1:26" ht="1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</row>
    <row r="143" spans="1:26" ht="1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</row>
    <row r="144" spans="1:26" ht="1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</row>
    <row r="145" spans="1:26" ht="1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</row>
    <row r="146" spans="1:26" ht="1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</row>
    <row r="147" spans="1:26" ht="1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</row>
    <row r="148" spans="1:26" ht="1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</row>
    <row r="149" spans="1:26" ht="1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</row>
    <row r="150" spans="1:26" ht="1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</row>
    <row r="151" spans="1:26" ht="1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</row>
    <row r="152" spans="1:26" ht="1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</row>
    <row r="153" spans="1:26" ht="1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</row>
    <row r="154" spans="1:26" ht="1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</row>
    <row r="155" spans="1:26" ht="1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</row>
    <row r="156" spans="1:26" ht="1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</row>
    <row r="157" spans="1:26" ht="1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</row>
    <row r="158" spans="1:26" ht="1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</row>
    <row r="159" spans="1:26" ht="1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</row>
    <row r="160" spans="1:26" ht="1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</row>
    <row r="161" spans="1:26" ht="1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</row>
    <row r="162" spans="1:26" ht="1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</row>
    <row r="163" spans="1:26" ht="1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</row>
    <row r="164" spans="1:26" ht="1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</row>
    <row r="165" spans="1:26" ht="1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</row>
    <row r="166" spans="1:26" ht="1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</row>
    <row r="167" spans="1:26" ht="1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</row>
    <row r="168" spans="1:26" ht="1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</row>
    <row r="169" spans="1:26" ht="1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</row>
    <row r="170" spans="1:26" ht="1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</row>
    <row r="171" spans="1:26" ht="1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</row>
    <row r="172" spans="1:26" ht="1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</row>
    <row r="173" spans="1:26" ht="1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</row>
    <row r="174" spans="1:26" ht="1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</row>
    <row r="175" spans="1:26" ht="1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</row>
    <row r="176" spans="1:26" ht="1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</row>
    <row r="177" spans="1:26" ht="1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</row>
    <row r="178" spans="1:26" ht="1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</row>
    <row r="179" spans="1:26" ht="1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</row>
    <row r="180" spans="1:26" ht="1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</row>
    <row r="181" spans="1:26" ht="1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</row>
    <row r="182" spans="1:26" ht="1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</row>
    <row r="183" spans="1:26" ht="1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</row>
    <row r="184" spans="1:26" ht="1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</row>
    <row r="185" spans="1:26" ht="1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</row>
    <row r="186" spans="1:26" ht="1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</row>
    <row r="187" spans="1:26" ht="1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</row>
    <row r="188" spans="1:26" ht="1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</row>
    <row r="189" spans="1:26" ht="1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</row>
    <row r="190" spans="1:26" ht="1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</row>
    <row r="191" spans="1:26" ht="1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</row>
    <row r="192" spans="1:26" ht="1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</row>
    <row r="193" spans="1:26" ht="1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</row>
    <row r="194" spans="1:26" ht="1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</row>
    <row r="195" spans="1:26" ht="1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</row>
    <row r="196" spans="1:26" ht="1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</row>
    <row r="197" spans="1:26" ht="1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</row>
    <row r="198" spans="1:26" ht="1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</row>
    <row r="199" spans="1:26" ht="1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</row>
    <row r="200" spans="1:26" ht="1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</row>
    <row r="201" spans="1:26" ht="1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</row>
    <row r="202" spans="1:26" ht="1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</row>
    <row r="203" spans="1:26" ht="1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</row>
    <row r="204" spans="1:26" ht="1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</row>
    <row r="205" spans="1:26" ht="1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</row>
    <row r="206" spans="1:26" ht="1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</row>
    <row r="207" spans="1:26" ht="1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</row>
    <row r="208" spans="1:26" ht="1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</row>
    <row r="209" spans="1:26" ht="1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</row>
    <row r="210" spans="1:26" ht="1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</row>
    <row r="211" spans="1:26" ht="1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</row>
    <row r="212" spans="1:26" ht="1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</row>
    <row r="213" spans="1:26" ht="1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</row>
    <row r="214" spans="1:26" ht="1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</row>
    <row r="215" spans="1:26" ht="1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</row>
    <row r="216" spans="1:26" ht="1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</row>
    <row r="217" spans="1:26" ht="1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</row>
    <row r="218" spans="1:26" ht="1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</row>
    <row r="219" spans="1:26" ht="1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</row>
    <row r="220" spans="1:26" ht="1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</row>
    <row r="221" spans="1:26" ht="1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</row>
    <row r="222" spans="1:26" ht="1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</row>
    <row r="223" spans="1:26" ht="1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</row>
    <row r="224" spans="1:26" ht="1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</row>
    <row r="225" spans="1:26" ht="1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</row>
    <row r="226" spans="1:26" ht="1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</row>
    <row r="227" spans="1:26" ht="1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</row>
    <row r="228" spans="1:26" ht="1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</row>
    <row r="229" spans="1:26" ht="1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</row>
    <row r="230" spans="1:26" ht="1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</row>
    <row r="231" spans="1:26" ht="1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</row>
    <row r="232" spans="1:26" ht="1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</row>
    <row r="233" spans="1:26" ht="1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</row>
    <row r="234" spans="1:26" ht="1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</row>
    <row r="235" spans="1:26" ht="1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</row>
    <row r="236" spans="1:26" ht="1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</row>
    <row r="237" spans="1:26" ht="1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</row>
    <row r="238" spans="1:26" ht="1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</row>
    <row r="239" spans="1:26" ht="1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</row>
    <row r="240" spans="1:26" ht="1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</row>
    <row r="241" spans="1:26" ht="1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</row>
    <row r="242" spans="1:26" ht="1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</row>
    <row r="243" spans="1:26" ht="1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</row>
    <row r="244" spans="1:26" ht="1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</row>
    <row r="245" spans="1:26" ht="1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</row>
    <row r="246" spans="1:26" ht="1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</row>
    <row r="247" spans="1:26" ht="1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</row>
    <row r="248" spans="1:26" ht="1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</row>
    <row r="249" spans="1:26" ht="1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</row>
    <row r="250" spans="1:26" ht="1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</row>
    <row r="251" spans="1:26" ht="1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</row>
    <row r="252" spans="1:26" ht="1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</row>
    <row r="253" spans="1:26" ht="1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</row>
    <row r="254" spans="1:26" ht="1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</row>
    <row r="255" spans="1:26" ht="1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</row>
    <row r="256" spans="1:26" ht="1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</row>
    <row r="257" spans="1:26" ht="1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</row>
    <row r="258" spans="1:26" ht="1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</row>
    <row r="259" spans="1:26" ht="1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</row>
    <row r="260" spans="1:26" ht="1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</row>
    <row r="261" spans="1:26" ht="1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</row>
    <row r="262" spans="1:26" ht="1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</row>
    <row r="263" spans="1:26" ht="1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</row>
    <row r="264" spans="1:26" ht="1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</row>
    <row r="265" spans="1:26" ht="1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</row>
    <row r="266" spans="1:26" ht="1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</row>
    <row r="267" spans="1:26" ht="1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</row>
    <row r="268" spans="1:26" ht="1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</row>
    <row r="269" spans="1:26" ht="1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</row>
    <row r="270" spans="1:26" ht="1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</row>
    <row r="271" spans="1:26" ht="1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</row>
    <row r="272" spans="1:26" ht="1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</row>
    <row r="273" spans="1:26" ht="1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</row>
    <row r="274" spans="1:26" ht="1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</row>
    <row r="275" spans="1:26" ht="1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</row>
    <row r="276" spans="1:26" ht="1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</row>
    <row r="277" spans="1:26" ht="1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</row>
    <row r="278" spans="1:26" ht="1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</row>
    <row r="279" spans="1:26" ht="1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</row>
    <row r="280" spans="1:26" ht="1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</row>
    <row r="281" spans="1:26" ht="1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</row>
    <row r="282" spans="1:26" ht="1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</row>
    <row r="283" spans="1:26" ht="1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</row>
    <row r="284" spans="1:26" ht="1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</row>
    <row r="285" spans="1:26" ht="1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</row>
    <row r="286" spans="1:26" ht="1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</row>
    <row r="287" spans="1:26" ht="1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</row>
    <row r="288" spans="1:26" ht="1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</row>
    <row r="289" spans="1:26" ht="1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</row>
    <row r="290" spans="1:26" ht="1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</row>
    <row r="291" spans="1:26" ht="1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</row>
    <row r="292" spans="1:26" ht="1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</row>
    <row r="293" spans="1:26" ht="1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</row>
    <row r="294" spans="1:26" ht="1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</row>
    <row r="295" spans="1:26" ht="1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</row>
    <row r="296" spans="1:26" ht="1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</row>
    <row r="297" spans="1:26" ht="1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</row>
    <row r="298" spans="1:26" ht="1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</row>
    <row r="299" spans="1:26" ht="1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</row>
    <row r="300" spans="1:26" ht="1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</row>
    <row r="301" spans="1:26" ht="1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</row>
    <row r="302" spans="1:26" ht="1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</row>
    <row r="303" spans="1:26" ht="1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</row>
    <row r="304" spans="1:26" ht="1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</row>
    <row r="305" spans="1:26" ht="1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</row>
    <row r="306" spans="1:26" ht="1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</row>
    <row r="307" spans="1:26" ht="1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</row>
    <row r="308" spans="1:26" ht="1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</row>
    <row r="309" spans="1:26" ht="1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</row>
    <row r="310" spans="1:26" ht="1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</row>
    <row r="311" spans="1:26" ht="1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</row>
    <row r="312" spans="1:26" ht="1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</row>
    <row r="313" spans="1:26" ht="1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</row>
    <row r="314" spans="1:26" ht="1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</row>
    <row r="315" spans="1:26" ht="1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</row>
    <row r="316" spans="1:26" ht="1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</row>
    <row r="317" spans="1:26" ht="1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</row>
    <row r="318" spans="1:26" ht="1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</row>
    <row r="319" spans="1:26" ht="1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</row>
    <row r="320" spans="1:26" ht="1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</row>
    <row r="321" spans="1:26" ht="1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</row>
    <row r="322" spans="1:26" ht="1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</row>
    <row r="323" spans="1:26" ht="1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</row>
    <row r="324" spans="1:26" ht="1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</row>
    <row r="325" spans="1:26" ht="1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</row>
    <row r="326" spans="1:26" ht="1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</row>
    <row r="327" spans="1:26" ht="1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</row>
    <row r="328" spans="1:26" ht="1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</row>
    <row r="329" spans="1:26" ht="1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</row>
    <row r="330" spans="1:26" ht="1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</row>
    <row r="331" spans="1:26" ht="1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</row>
    <row r="332" spans="1:26" ht="1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</row>
    <row r="333" spans="1:26" ht="1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</row>
    <row r="334" spans="1:26" ht="1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</row>
    <row r="335" spans="1:26" ht="1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</row>
    <row r="336" spans="1:26" ht="1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</row>
    <row r="337" spans="1:26" ht="1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</row>
    <row r="338" spans="1:26" ht="1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</row>
    <row r="339" spans="1:26" ht="1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</row>
    <row r="340" spans="1:26" ht="1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</row>
    <row r="341" spans="1:26" ht="1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</row>
    <row r="342" spans="1:26" ht="1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</row>
    <row r="343" spans="1:26" ht="1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</row>
    <row r="344" spans="1:26" ht="1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</row>
    <row r="345" spans="1:26" ht="1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</row>
    <row r="346" spans="1:26" ht="1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</row>
    <row r="347" spans="1:26" ht="1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</row>
    <row r="348" spans="1:26" ht="1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</row>
    <row r="349" spans="1:26" ht="1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</row>
    <row r="350" spans="1:26" ht="1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</row>
    <row r="351" spans="1:26" ht="1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</row>
    <row r="352" spans="1:26" ht="1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</row>
    <row r="353" spans="1:26" ht="1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</row>
    <row r="354" spans="1:26" ht="1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</row>
    <row r="355" spans="1:26" ht="1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</row>
    <row r="356" spans="1:26" ht="1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</row>
    <row r="357" spans="1:26" ht="1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</row>
    <row r="358" spans="1:26" ht="1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</row>
    <row r="359" spans="1:26" ht="1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</row>
    <row r="360" spans="1:26" ht="1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</row>
    <row r="361" spans="1:26" ht="1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</row>
    <row r="362" spans="1:26" ht="1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</row>
    <row r="363" spans="1:26" ht="1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</row>
    <row r="364" spans="1:26" ht="1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</row>
    <row r="365" spans="1:26" ht="1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</row>
    <row r="366" spans="1:26" ht="1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</row>
    <row r="367" spans="1:26" ht="1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</row>
    <row r="368" spans="1:26" ht="1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</row>
    <row r="369" spans="1:26" ht="1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</row>
    <row r="370" spans="1:26" ht="1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</row>
    <row r="371" spans="1:26" ht="1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</row>
    <row r="372" spans="1:26" ht="1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</row>
    <row r="373" spans="1:26" ht="1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</row>
    <row r="374" spans="1:26" ht="1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</row>
    <row r="375" spans="1:26" ht="1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</row>
    <row r="376" spans="1:26" ht="1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</row>
    <row r="377" spans="1:26" ht="1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</row>
    <row r="378" spans="1:26" ht="1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</row>
    <row r="379" spans="1:26" ht="1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</row>
    <row r="380" spans="1:26" ht="1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</row>
    <row r="381" spans="1:26" ht="1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</row>
    <row r="382" spans="1:26" ht="1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</row>
    <row r="383" spans="1:26" ht="1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</row>
    <row r="384" spans="1:26" ht="1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</row>
    <row r="385" spans="1:26" ht="1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</row>
    <row r="386" spans="1:26" ht="1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</row>
    <row r="387" spans="1:26" ht="1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</row>
    <row r="388" spans="1:26" ht="1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</row>
    <row r="389" spans="1:26" ht="1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</row>
    <row r="390" spans="1:26" ht="1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</row>
    <row r="391" spans="1:26" ht="1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</row>
    <row r="392" spans="1:26" ht="1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</row>
    <row r="393" spans="1:26" ht="1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</row>
    <row r="394" spans="1:26" ht="1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</row>
    <row r="395" spans="1:26" ht="1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</row>
    <row r="396" spans="1:26" ht="1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</row>
    <row r="397" spans="1:26" ht="1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</row>
    <row r="398" spans="1:26" ht="1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</row>
    <row r="399" spans="1:26" ht="1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</row>
    <row r="400" spans="1:26" ht="1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</row>
    <row r="401" spans="1:26" ht="1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</row>
    <row r="402" spans="1:26" ht="1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</row>
    <row r="403" spans="1:26" ht="1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</row>
    <row r="404" spans="1:26" ht="1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</row>
    <row r="405" spans="1:26" ht="1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</row>
    <row r="406" spans="1:26" ht="1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</row>
    <row r="407" spans="1:26" ht="1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</row>
    <row r="408" spans="1:26" ht="1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</row>
    <row r="409" spans="1:26" ht="1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</row>
    <row r="410" spans="1:26" ht="1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</row>
    <row r="411" spans="1:26" ht="1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</row>
    <row r="412" spans="1:26" ht="1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</row>
    <row r="413" spans="1:26" ht="1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</row>
    <row r="414" spans="1:26" ht="1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</row>
    <row r="415" spans="1:26" ht="1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</row>
    <row r="416" spans="1:26" ht="1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</row>
    <row r="417" spans="1:26" ht="1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</row>
    <row r="418" spans="1:26" ht="1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</row>
    <row r="419" spans="1:26" ht="1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</row>
    <row r="420" spans="1:26" ht="1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</row>
    <row r="421" spans="1:26" ht="1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</row>
    <row r="422" spans="1:26" ht="1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</row>
    <row r="423" spans="1:26" ht="1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</row>
    <row r="424" spans="1:26" ht="1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</row>
    <row r="425" spans="1:26" ht="1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</row>
    <row r="426" spans="1:26" ht="1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</row>
    <row r="427" spans="1:26" ht="1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</row>
    <row r="428" spans="1:26" ht="1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</row>
    <row r="429" spans="1:26" ht="1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</row>
    <row r="430" spans="1:26" ht="1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</row>
    <row r="431" spans="1:26" ht="1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</row>
    <row r="432" spans="1:26" ht="1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</row>
    <row r="433" spans="1:26" ht="1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</row>
    <row r="434" spans="1:26" ht="1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</row>
    <row r="435" spans="1:26" ht="1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</row>
    <row r="436" spans="1:26" ht="1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</row>
    <row r="437" spans="1:26" ht="1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</row>
    <row r="438" spans="1:26" ht="1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</row>
    <row r="439" spans="1:26" ht="1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</row>
    <row r="440" spans="1:26" ht="1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</row>
    <row r="441" spans="1:26" ht="1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</row>
    <row r="442" spans="1:26" ht="1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</row>
    <row r="443" spans="1:26" ht="1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</row>
    <row r="444" spans="1:26" ht="1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</row>
    <row r="445" spans="1:26" ht="1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</row>
    <row r="446" spans="1:26" ht="1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</row>
    <row r="447" spans="1:26" ht="1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</row>
    <row r="448" spans="1:26" ht="1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</row>
    <row r="449" spans="1:26" ht="1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</row>
    <row r="450" spans="1:26" ht="1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</row>
    <row r="451" spans="1:26" ht="1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</row>
    <row r="452" spans="1:26" ht="1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</row>
    <row r="453" spans="1:26" ht="1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</row>
    <row r="454" spans="1:26" ht="1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</row>
    <row r="455" spans="1:26" ht="1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</row>
    <row r="456" spans="1:26" ht="1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</row>
    <row r="457" spans="1:26" ht="1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</row>
    <row r="458" spans="1:26" ht="1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</row>
    <row r="459" spans="1:26" ht="1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</row>
    <row r="460" spans="1:26" ht="1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</row>
    <row r="461" spans="1:26" ht="1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</row>
    <row r="462" spans="1:26" ht="1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</row>
    <row r="463" spans="1:26" ht="1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</row>
    <row r="464" spans="1:26" ht="1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</row>
    <row r="465" spans="1:26" ht="1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</row>
    <row r="466" spans="1:26" ht="1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</row>
    <row r="467" spans="1:26" ht="1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</row>
    <row r="468" spans="1:26" ht="1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</row>
    <row r="469" spans="1:26" ht="1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</row>
    <row r="470" spans="1:26" ht="1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</row>
    <row r="471" spans="1:26" ht="1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</row>
    <row r="472" spans="1:26" ht="1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</row>
    <row r="473" spans="1:26" ht="1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</row>
    <row r="474" spans="1:26" ht="1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</row>
    <row r="475" spans="1:26" ht="1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</row>
    <row r="476" spans="1:26" ht="1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</row>
    <row r="477" spans="1:26" ht="1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</row>
    <row r="478" spans="1:26" ht="1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</row>
    <row r="479" spans="1:26" ht="1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</row>
    <row r="480" spans="1:26" ht="1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</row>
    <row r="481" spans="1:26" ht="1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</row>
    <row r="482" spans="1:26" ht="1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</row>
    <row r="483" spans="1:26" ht="1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</row>
    <row r="484" spans="1:26" ht="1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</row>
    <row r="485" spans="1:26" ht="1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</row>
    <row r="486" spans="1:26" ht="1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</row>
    <row r="487" spans="1:26" ht="1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</row>
    <row r="488" spans="1:26" ht="1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</row>
    <row r="489" spans="1:26" ht="1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</row>
    <row r="490" spans="1:26" ht="1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</row>
    <row r="491" spans="1:26" ht="1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</row>
    <row r="492" spans="1:26" ht="1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</row>
    <row r="493" spans="1:26" ht="1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</row>
    <row r="494" spans="1:26" ht="1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</row>
    <row r="495" spans="1:26" ht="1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</row>
    <row r="496" spans="1:26" ht="1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</row>
    <row r="497" spans="1:26" ht="1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</row>
    <row r="498" spans="1:26" ht="1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</row>
    <row r="499" spans="1:26" ht="1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</row>
    <row r="500" spans="1:26" ht="1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</row>
    <row r="501" spans="1:26" ht="1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</row>
    <row r="502" spans="1:26" ht="1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</row>
    <row r="503" spans="1:26" ht="1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</row>
    <row r="504" spans="1:26" ht="1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</row>
    <row r="505" spans="1:26" ht="1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</row>
    <row r="506" spans="1:26" ht="1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</row>
    <row r="507" spans="1:26" ht="1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</row>
    <row r="508" spans="1:26" ht="1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</row>
    <row r="509" spans="1:26" ht="1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</row>
    <row r="510" spans="1:26" ht="1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</row>
    <row r="511" spans="1:26" ht="1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</row>
    <row r="512" spans="1:26" ht="1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</row>
    <row r="513" spans="1:26" ht="1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</row>
    <row r="514" spans="1:26" ht="1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</row>
    <row r="515" spans="1:26" ht="1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</row>
    <row r="516" spans="1:26" ht="1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</row>
    <row r="517" spans="1:26" ht="1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</row>
    <row r="518" spans="1:26" ht="1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</row>
    <row r="519" spans="1:26" ht="1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</row>
    <row r="520" spans="1:26" ht="1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</row>
    <row r="521" spans="1:26" ht="1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</row>
    <row r="522" spans="1:26" ht="1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</row>
    <row r="523" spans="1:26" ht="1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</row>
    <row r="524" spans="1:26" ht="1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</row>
    <row r="525" spans="1:26" ht="1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</row>
    <row r="526" spans="1:26" ht="1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</row>
    <row r="527" spans="1:26" ht="1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</row>
    <row r="528" spans="1:26" ht="1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</row>
    <row r="529" spans="1:26" ht="1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</row>
    <row r="530" spans="1:26" ht="1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</row>
    <row r="531" spans="1:26" ht="1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</row>
    <row r="532" spans="1:26" ht="1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</row>
    <row r="533" spans="1:26" ht="1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</row>
    <row r="534" spans="1:26" ht="1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</row>
    <row r="535" spans="1:26" ht="1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</row>
    <row r="536" spans="1:26" ht="1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</row>
    <row r="537" spans="1:26" ht="1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</row>
    <row r="538" spans="1:26" ht="1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</row>
    <row r="539" spans="1:26" ht="1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</row>
    <row r="540" spans="1:26" ht="1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</row>
    <row r="541" spans="1:26" ht="1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</row>
    <row r="542" spans="1:26" ht="1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</row>
    <row r="543" spans="1:26" ht="1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</row>
    <row r="544" spans="1:26" ht="1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</row>
    <row r="545" spans="1:26" ht="1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</row>
    <row r="546" spans="1:26" ht="1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</row>
    <row r="547" spans="1:26" ht="1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</row>
    <row r="548" spans="1:26" ht="1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</row>
    <row r="549" spans="1:26" ht="1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</row>
    <row r="550" spans="1:26" ht="1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</row>
    <row r="551" spans="1:26" ht="1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</row>
    <row r="552" spans="1:26" ht="1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</row>
    <row r="553" spans="1:26" ht="1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</row>
    <row r="554" spans="1:26" ht="1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</row>
    <row r="555" spans="1:26" ht="1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</row>
    <row r="556" spans="1:26" ht="1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</row>
    <row r="557" spans="1:26" ht="1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</row>
    <row r="558" spans="1:26" ht="1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</row>
    <row r="559" spans="1:26" ht="1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</row>
    <row r="560" spans="1:26" ht="1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</row>
    <row r="561" spans="1:26" ht="1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</row>
    <row r="562" spans="1:26" ht="1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</row>
    <row r="563" spans="1:26" ht="1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</row>
    <row r="564" spans="1:26" ht="1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</row>
    <row r="565" spans="1:26" ht="1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</row>
    <row r="566" spans="1:26" ht="1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</row>
    <row r="567" spans="1:26" ht="1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</row>
    <row r="568" spans="1:26" ht="1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</row>
    <row r="569" spans="1:26" ht="1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</row>
    <row r="570" spans="1:26" ht="1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</row>
    <row r="571" spans="1:26" ht="1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</row>
    <row r="572" spans="1:26" ht="1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</row>
    <row r="573" spans="1:26" ht="1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</row>
    <row r="574" spans="1:26" ht="1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</row>
    <row r="575" spans="1:26" ht="1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</row>
    <row r="576" spans="1:26" ht="1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</row>
    <row r="577" spans="1:26" ht="1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</row>
    <row r="578" spans="1:26" ht="1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</row>
    <row r="579" spans="1:26" ht="1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</row>
    <row r="580" spans="1:26" ht="1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</row>
    <row r="581" spans="1:26" ht="1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</row>
    <row r="582" spans="1:26" ht="1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</row>
    <row r="583" spans="1:26" ht="1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</row>
    <row r="584" spans="1:26" ht="1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</row>
    <row r="585" spans="1:26" ht="1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</row>
    <row r="586" spans="1:26" ht="1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</row>
    <row r="587" spans="1:26" ht="1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</row>
    <row r="588" spans="1:26" ht="1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</row>
    <row r="589" spans="1:26" ht="1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</row>
    <row r="590" spans="1:26" ht="1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</row>
    <row r="591" spans="1:26" ht="1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</row>
    <row r="592" spans="1:26" ht="1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</row>
    <row r="593" spans="1:26" ht="1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</row>
    <row r="594" spans="1:26" ht="1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</row>
    <row r="595" spans="1:26" ht="1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</row>
    <row r="596" spans="1:26" ht="1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</row>
    <row r="597" spans="1:26" ht="1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</row>
    <row r="598" spans="1:26" ht="1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</row>
    <row r="599" spans="1:26" ht="1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</row>
    <row r="600" spans="1:26" ht="1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</row>
    <row r="601" spans="1:26" ht="1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</row>
    <row r="602" spans="1:26" ht="1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</row>
    <row r="603" spans="1:26" ht="1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</row>
    <row r="604" spans="1:26" ht="1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</row>
    <row r="605" spans="1:26" ht="1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</row>
    <row r="606" spans="1:26" ht="1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</row>
    <row r="607" spans="1:26" ht="1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</row>
    <row r="608" spans="1:26" ht="1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</row>
    <row r="609" spans="1:26" ht="1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</row>
    <row r="610" spans="1:26" ht="1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</row>
    <row r="611" spans="1:26" ht="1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</row>
    <row r="612" spans="1:26" ht="1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</row>
    <row r="613" spans="1:26" ht="1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</row>
    <row r="614" spans="1:26" ht="1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</row>
    <row r="615" spans="1:26" ht="1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</row>
    <row r="616" spans="1:26" ht="1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</row>
    <row r="617" spans="1:26" ht="1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</row>
    <row r="618" spans="1:26" ht="1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</row>
    <row r="619" spans="1:26" ht="1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</row>
    <row r="620" spans="1:26" ht="1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</row>
    <row r="621" spans="1:26" ht="1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</row>
    <row r="622" spans="1:26" ht="1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</row>
    <row r="623" spans="1:26" ht="1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</row>
    <row r="624" spans="1:26" ht="1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</row>
    <row r="625" spans="1:26" ht="1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</row>
    <row r="626" spans="1:26" ht="1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</row>
    <row r="627" spans="1:26" ht="1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</row>
    <row r="628" spans="1:26" ht="1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</row>
    <row r="629" spans="1:26" ht="1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</row>
    <row r="630" spans="1:26" ht="1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</row>
    <row r="631" spans="1:26" ht="1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</row>
    <row r="632" spans="1:26" ht="1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</row>
    <row r="633" spans="1:26" ht="1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</row>
    <row r="634" spans="1:26" ht="1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</row>
    <row r="635" spans="1:26" ht="1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</row>
    <row r="636" spans="1:26" ht="1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</row>
    <row r="637" spans="1:26" ht="1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</row>
    <row r="638" spans="1:26" ht="1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</row>
    <row r="639" spans="1:26" ht="1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</row>
    <row r="640" spans="1:26" ht="1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</row>
    <row r="641" spans="1:26" ht="1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</row>
    <row r="642" spans="1:26" ht="1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</row>
    <row r="643" spans="1:26" ht="1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</row>
    <row r="644" spans="1:26" ht="1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</row>
    <row r="645" spans="1:26" ht="1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</row>
    <row r="646" spans="1:26" ht="1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</row>
    <row r="647" spans="1:26" ht="1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</row>
    <row r="648" spans="1:26" ht="1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</row>
    <row r="649" spans="1:26" ht="1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</row>
    <row r="650" spans="1:26" ht="1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</row>
    <row r="651" spans="1:26" ht="1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</row>
    <row r="652" spans="1:26" ht="1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</row>
    <row r="653" spans="1:26" ht="1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</row>
    <row r="654" spans="1:26" ht="1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</row>
    <row r="655" spans="1:26" ht="1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</row>
    <row r="656" spans="1:26" ht="1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</row>
    <row r="657" spans="1:26" ht="1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</row>
    <row r="658" spans="1:26" ht="1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</row>
    <row r="659" spans="1:26" ht="1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</row>
    <row r="660" spans="1:26" ht="1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</row>
    <row r="661" spans="1:26" ht="1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</row>
    <row r="662" spans="1:26" ht="1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</row>
    <row r="663" spans="1:26" ht="1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</row>
    <row r="664" spans="1:26" ht="1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</row>
    <row r="665" spans="1:26" ht="1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</row>
    <row r="666" spans="1:26" ht="1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</row>
    <row r="667" spans="1:26" ht="1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</row>
    <row r="668" spans="1:26" ht="1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</row>
    <row r="669" spans="1:26" ht="1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</row>
    <row r="670" spans="1:26" ht="1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</row>
    <row r="671" spans="1:26" ht="1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</row>
    <row r="672" spans="1:26" ht="1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</row>
    <row r="673" spans="1:26" ht="1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</row>
    <row r="674" spans="1:26" ht="1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</row>
    <row r="675" spans="1:26" ht="1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</row>
    <row r="676" spans="1:26" ht="1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</row>
    <row r="677" spans="1:26" ht="1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</row>
    <row r="678" spans="1:26" ht="1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</row>
    <row r="679" spans="1:26" ht="1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</row>
    <row r="680" spans="1:26" ht="1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</row>
    <row r="681" spans="1:26" ht="1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</row>
    <row r="682" spans="1:26" ht="1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</row>
    <row r="683" spans="1:26" ht="1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</row>
    <row r="684" spans="1:26" ht="1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</row>
    <row r="685" spans="1:26" ht="1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</row>
    <row r="686" spans="1:26" ht="1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</row>
    <row r="687" spans="1:26" ht="1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</row>
    <row r="688" spans="1:26" ht="1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</row>
    <row r="689" spans="1:26" ht="1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</row>
    <row r="690" spans="1:26" ht="1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</row>
    <row r="691" spans="1:26" ht="1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</row>
    <row r="692" spans="1:26" ht="1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</row>
    <row r="693" spans="1:26" ht="1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</row>
    <row r="694" spans="1:26" ht="1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</row>
    <row r="695" spans="1:26" ht="1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</row>
    <row r="696" spans="1:26" ht="1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</row>
    <row r="697" spans="1:26" ht="1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</row>
    <row r="698" spans="1:26" ht="1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</row>
    <row r="699" spans="1:26" ht="1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</row>
    <row r="700" spans="1:26" ht="1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</row>
    <row r="701" spans="1:26" ht="1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</row>
    <row r="702" spans="1:26" ht="1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</row>
    <row r="703" spans="1:26" ht="1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</row>
    <row r="704" spans="1:26" ht="1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</row>
    <row r="705" spans="1:26" ht="1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</row>
    <row r="706" spans="1:26" ht="1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</row>
    <row r="707" spans="1:26" ht="1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</row>
    <row r="708" spans="1:26" ht="1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</row>
    <row r="709" spans="1:26" ht="1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</row>
    <row r="710" spans="1:26" ht="1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</row>
    <row r="711" spans="1:26" ht="1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</row>
    <row r="712" spans="1:26" ht="1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</row>
    <row r="713" spans="1:26" ht="1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</row>
    <row r="714" spans="1:26" ht="1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</row>
    <row r="715" spans="1:26" ht="1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</row>
    <row r="716" spans="1:26" ht="1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</row>
    <row r="717" spans="1:26" ht="1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</row>
    <row r="718" spans="1:26" ht="1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</row>
    <row r="719" spans="1:26" ht="1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</row>
    <row r="720" spans="1:26" ht="1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</row>
    <row r="721" spans="1:26" ht="1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</row>
    <row r="722" spans="1:26" ht="1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</row>
    <row r="723" spans="1:26" ht="1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</row>
    <row r="724" spans="1:26" ht="1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</row>
    <row r="725" spans="1:26" ht="1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</row>
    <row r="726" spans="1:26" ht="1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</row>
    <row r="727" spans="1:26" ht="1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</row>
    <row r="728" spans="1:26" ht="1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</row>
    <row r="729" spans="1:26" ht="1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</row>
    <row r="730" spans="1:26" ht="1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</row>
    <row r="731" spans="1:26" ht="1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</row>
    <row r="732" spans="1:26" ht="1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</row>
    <row r="733" spans="1:26" ht="1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</row>
    <row r="734" spans="1:26" ht="1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</row>
    <row r="735" spans="1:26" ht="1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</row>
    <row r="736" spans="1:26" ht="1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</row>
    <row r="737" spans="1:26" ht="1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</row>
    <row r="738" spans="1:26" ht="1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</row>
    <row r="739" spans="1:26" ht="1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</row>
    <row r="740" spans="1:26" ht="1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</row>
    <row r="741" spans="1:26" ht="1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</row>
    <row r="742" spans="1:26" ht="1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</row>
    <row r="743" spans="1:26" ht="1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</row>
    <row r="744" spans="1:26" ht="1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</row>
    <row r="745" spans="1:26" ht="1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</row>
    <row r="746" spans="1:26" ht="1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</row>
    <row r="747" spans="1:26" ht="1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</row>
    <row r="748" spans="1:26" ht="1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</row>
    <row r="749" spans="1:26" ht="1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</row>
    <row r="750" spans="1:26" ht="1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</row>
    <row r="751" spans="1:26" ht="1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</row>
    <row r="752" spans="1:26" ht="1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</row>
    <row r="753" spans="1:26" ht="1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</row>
    <row r="754" spans="1:26" ht="1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</row>
    <row r="755" spans="1:26" ht="1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</row>
    <row r="756" spans="1:26" ht="1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</row>
    <row r="757" spans="1:26" ht="1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</row>
    <row r="758" spans="1:26" ht="1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</row>
    <row r="759" spans="1:26" ht="1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</row>
    <row r="760" spans="1:26" ht="1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</row>
    <row r="761" spans="1:26" ht="1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</row>
    <row r="762" spans="1:26" ht="1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</row>
    <row r="763" spans="1:26" ht="1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</row>
    <row r="764" spans="1:26" ht="1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</row>
    <row r="765" spans="1:26" ht="1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</row>
    <row r="766" spans="1:26" ht="1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</row>
    <row r="767" spans="1:26" ht="1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</row>
    <row r="768" spans="1:26" ht="1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</row>
    <row r="769" spans="1:26" ht="1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</row>
    <row r="770" spans="1:26" ht="1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</row>
    <row r="771" spans="1:26" ht="1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</row>
    <row r="772" spans="1:26" ht="1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</row>
    <row r="773" spans="1:26" ht="1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</row>
    <row r="774" spans="1:26" ht="1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</row>
    <row r="775" spans="1:26" ht="1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</row>
    <row r="776" spans="1:26" ht="1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</row>
    <row r="777" spans="1:26" ht="1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</row>
    <row r="778" spans="1:26" ht="1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</row>
    <row r="779" spans="1:26" ht="1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</row>
    <row r="780" spans="1:26" ht="1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</row>
    <row r="781" spans="1:26" ht="1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</row>
    <row r="782" spans="1:26" ht="1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</row>
    <row r="783" spans="1:26" ht="1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</row>
    <row r="784" spans="1:26" ht="1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</row>
    <row r="785" spans="1:26" ht="1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</row>
    <row r="786" spans="1:26" ht="1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</row>
    <row r="787" spans="1:26" ht="1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</row>
    <row r="788" spans="1:26" ht="1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</row>
    <row r="789" spans="1:26" ht="1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</row>
    <row r="790" spans="1:26" ht="1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</row>
    <row r="791" spans="1:26" ht="1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</row>
    <row r="792" spans="1:26" ht="1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</row>
    <row r="793" spans="1:26" ht="1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</row>
    <row r="794" spans="1:26" ht="1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</row>
    <row r="795" spans="1:26" ht="1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</row>
    <row r="796" spans="1:26" ht="1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</row>
    <row r="797" spans="1:26" ht="1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</row>
    <row r="798" spans="1:26" ht="1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</row>
    <row r="799" spans="1:26" ht="1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</row>
    <row r="800" spans="1:26" ht="1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</row>
    <row r="801" spans="1:26" ht="1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</row>
    <row r="802" spans="1:26" ht="1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</row>
    <row r="803" spans="1:26" ht="1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</row>
    <row r="804" spans="1:26" ht="1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</row>
    <row r="805" spans="1:26" ht="1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</row>
    <row r="806" spans="1:26" ht="1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</row>
    <row r="807" spans="1:26" ht="1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</row>
    <row r="808" spans="1:26" ht="1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</row>
    <row r="809" spans="1:26" ht="1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</row>
    <row r="810" spans="1:26" ht="1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</row>
    <row r="811" spans="1:26" ht="1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</row>
    <row r="812" spans="1:26" ht="1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</row>
    <row r="813" spans="1:26" ht="1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</row>
    <row r="814" spans="1:26" ht="1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</row>
    <row r="815" spans="1:26" ht="1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</row>
    <row r="816" spans="1:26" ht="1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</row>
    <row r="817" spans="1:26" ht="1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</row>
    <row r="818" spans="1:26" ht="1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</row>
    <row r="819" spans="1:26" ht="1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</row>
    <row r="820" spans="1:26" ht="1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</row>
    <row r="821" spans="1:26" ht="1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</row>
    <row r="822" spans="1:26" ht="1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</row>
    <row r="823" spans="1:26" ht="1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</row>
    <row r="824" spans="1:26" ht="1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</row>
    <row r="825" spans="1:26" ht="1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</row>
    <row r="826" spans="1:26" ht="1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</row>
    <row r="827" spans="1:26" ht="1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</row>
    <row r="828" spans="1:26" ht="1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</row>
    <row r="829" spans="1:26" ht="1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</row>
    <row r="830" spans="1:26" ht="1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</row>
    <row r="831" spans="1:26" ht="1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</row>
    <row r="832" spans="1:26" ht="1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</row>
    <row r="833" spans="1:26" ht="1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</row>
    <row r="834" spans="1:26" ht="1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</row>
    <row r="835" spans="1:26" ht="1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</row>
    <row r="836" spans="1:26" ht="1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</row>
    <row r="837" spans="1:26" ht="1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</row>
    <row r="838" spans="1:26" ht="1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</row>
    <row r="839" spans="1:26" ht="1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</row>
    <row r="840" spans="1:26" ht="1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</row>
    <row r="841" spans="1:26" ht="1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</row>
    <row r="842" spans="1:26" ht="1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</row>
    <row r="843" spans="1:26" ht="1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</row>
    <row r="844" spans="1:26" ht="1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</row>
    <row r="845" spans="1:26" ht="1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</row>
    <row r="846" spans="1:26" ht="1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</row>
    <row r="847" spans="1:26" ht="1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</row>
    <row r="848" spans="1:26" ht="1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</row>
    <row r="849" spans="1:26" ht="1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</row>
    <row r="850" spans="1:26" ht="1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</row>
    <row r="851" spans="1:26" ht="1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</row>
    <row r="852" spans="1:26" ht="1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</row>
    <row r="853" spans="1:26" ht="1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</row>
    <row r="854" spans="1:26" ht="1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</row>
    <row r="855" spans="1:26" ht="1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</row>
    <row r="856" spans="1:26" ht="1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</row>
    <row r="857" spans="1:26" ht="1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</row>
    <row r="858" spans="1:26" ht="1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</row>
    <row r="859" spans="1:26" ht="1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</row>
    <row r="860" spans="1:26" ht="1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</row>
    <row r="861" spans="1:26" ht="1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</row>
    <row r="862" spans="1:26" ht="1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</row>
    <row r="863" spans="1:26" ht="1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</row>
    <row r="864" spans="1:26" ht="1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</row>
    <row r="865" spans="1:26" ht="1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</row>
    <row r="866" spans="1:26" ht="1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</row>
    <row r="867" spans="1:26" ht="1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</row>
    <row r="868" spans="1:26" ht="1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</row>
    <row r="869" spans="1:26" ht="1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</row>
    <row r="870" spans="1:26" ht="1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</row>
    <row r="871" spans="1:26" ht="1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</row>
    <row r="872" spans="1:26" ht="1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</row>
    <row r="873" spans="1:26" ht="1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</row>
    <row r="874" spans="1:26" ht="1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</row>
    <row r="875" spans="1:26" ht="1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</row>
    <row r="876" spans="1:26" ht="1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</row>
    <row r="877" spans="1:26" ht="1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</row>
    <row r="878" spans="1:26" ht="1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</row>
    <row r="879" spans="1:26" ht="1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</row>
    <row r="880" spans="1:26" ht="1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</row>
    <row r="881" spans="1:26" ht="1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</row>
    <row r="882" spans="1:26" ht="1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</row>
    <row r="883" spans="1:26" ht="1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</row>
    <row r="884" spans="1:26" ht="1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</row>
    <row r="885" spans="1:26" ht="1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</row>
    <row r="886" spans="1:26" ht="1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</row>
    <row r="887" spans="1:26" ht="1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</row>
    <row r="888" spans="1:26" ht="1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</row>
    <row r="889" spans="1:26" ht="1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</row>
    <row r="890" spans="1:26" ht="1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</row>
    <row r="891" spans="1:26" ht="1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</row>
    <row r="892" spans="1:26" ht="1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</row>
    <row r="893" spans="1:26" ht="1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</row>
    <row r="894" spans="1:26" ht="1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</row>
    <row r="895" spans="1:26" ht="1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</row>
    <row r="896" spans="1:26" ht="1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</row>
    <row r="897" spans="1:26" ht="1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</row>
    <row r="898" spans="1:26" ht="1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</row>
    <row r="899" spans="1:26" ht="1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</row>
    <row r="900" spans="1:26" ht="1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</row>
    <row r="901" spans="1:26" ht="1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</row>
    <row r="902" spans="1:26" ht="1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</row>
    <row r="903" spans="1:26" ht="1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</row>
    <row r="904" spans="1:26" ht="1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</row>
    <row r="905" spans="1:26" ht="1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</row>
    <row r="906" spans="1:26" ht="1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</row>
    <row r="907" spans="1:26" ht="1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</row>
    <row r="908" spans="1:26" ht="1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</row>
    <row r="909" spans="1:26" ht="1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</row>
    <row r="910" spans="1:26" ht="1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</row>
    <row r="911" spans="1:26" ht="1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</row>
    <row r="912" spans="1:26" ht="1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</row>
    <row r="913" spans="1:26" ht="1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</row>
    <row r="914" spans="1:26" ht="1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</row>
    <row r="915" spans="1:26" ht="1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</row>
    <row r="916" spans="1:26" ht="1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</row>
    <row r="917" spans="1:26" ht="1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</row>
    <row r="918" spans="1:26" ht="1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</row>
    <row r="919" spans="1:26" ht="1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</row>
    <row r="920" spans="1:26" ht="1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</row>
    <row r="921" spans="1:26" ht="1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</row>
    <row r="922" spans="1:26" ht="1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</row>
    <row r="923" spans="1:26" ht="1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</row>
    <row r="924" spans="1:26" ht="1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</row>
    <row r="925" spans="1:26" ht="1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</row>
    <row r="926" spans="1:26" ht="1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</row>
    <row r="927" spans="1:26" ht="1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</row>
    <row r="928" spans="1:26" ht="1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</row>
    <row r="929" spans="1:26" ht="1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</row>
    <row r="930" spans="1:26" ht="1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</row>
    <row r="931" spans="1:26" ht="1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</row>
    <row r="932" spans="1:26" ht="1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</row>
    <row r="933" spans="1:26" ht="1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</row>
    <row r="934" spans="1:26" ht="1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</row>
    <row r="935" spans="1:26" ht="1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</row>
    <row r="936" spans="1:26" ht="1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</row>
    <row r="937" spans="1:26" ht="1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</row>
    <row r="938" spans="1:26" ht="1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</row>
    <row r="939" spans="1:26" ht="1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</row>
    <row r="940" spans="1:26" ht="1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</row>
    <row r="941" spans="1:26" ht="1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</row>
    <row r="942" spans="1:26" ht="1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</row>
    <row r="943" spans="1:26" ht="1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</row>
    <row r="944" spans="1:26" ht="1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</row>
    <row r="945" spans="1:26" ht="1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</row>
    <row r="946" spans="1:26" ht="1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</row>
    <row r="947" spans="1:26" ht="1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</row>
    <row r="948" spans="1:26" ht="1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</row>
    <row r="949" spans="1:26" ht="1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</row>
    <row r="950" spans="1:26" ht="1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</row>
    <row r="951" spans="1:26" ht="1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</row>
    <row r="952" spans="1:26" ht="1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</row>
    <row r="953" spans="1:26" ht="1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</row>
    <row r="954" spans="1:26" ht="1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</row>
    <row r="955" spans="1:26" ht="1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</row>
    <row r="956" spans="1:26" ht="1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</row>
    <row r="957" spans="1:26" ht="1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</row>
    <row r="958" spans="1:26" ht="1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</row>
    <row r="959" spans="1:26" ht="1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</row>
    <row r="960" spans="1:26" ht="1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</row>
    <row r="961" spans="1:26" ht="1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</row>
    <row r="962" spans="1:26" ht="1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</row>
    <row r="963" spans="1:26" ht="1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</row>
    <row r="964" spans="1:26" ht="1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</row>
    <row r="965" spans="1:26" ht="1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</row>
    <row r="966" spans="1:26" ht="1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</row>
    <row r="967" spans="1:26" ht="1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</row>
    <row r="968" spans="1:26" ht="1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</row>
    <row r="969" spans="1:26" ht="1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</row>
    <row r="970" spans="1:26" ht="1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</row>
    <row r="971" spans="1:26" ht="1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</row>
    <row r="972" spans="1:26" ht="1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</row>
    <row r="973" spans="1:26" ht="1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</row>
    <row r="974" spans="1:26" ht="1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</row>
    <row r="975" spans="1:26" ht="1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</row>
    <row r="976" spans="1:26" ht="1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</row>
    <row r="977" spans="1:26" ht="1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</row>
    <row r="978" spans="1:26" ht="1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</row>
    <row r="979" spans="1:26" ht="1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</row>
    <row r="980" spans="1:26" ht="1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</row>
    <row r="981" spans="1:26" ht="1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</row>
    <row r="982" spans="1:26" ht="1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</row>
    <row r="983" spans="1:26" ht="1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</row>
    <row r="984" spans="1:26" ht="1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</row>
    <row r="985" spans="1:26" ht="1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</row>
    <row r="986" spans="1:26" ht="1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</row>
    <row r="987" spans="1:26" ht="1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</row>
    <row r="988" spans="1:26" ht="1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</row>
    <row r="989" spans="1:26" ht="1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</row>
    <row r="990" spans="1:26" ht="1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</row>
    <row r="991" spans="1:26" ht="1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</row>
    <row r="992" spans="1:26" ht="1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</row>
    <row r="993" spans="1:26" ht="1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</row>
    <row r="994" spans="1:26" ht="1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</row>
    <row r="995" spans="1:26" ht="1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</row>
    <row r="996" spans="1:26" ht="1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</row>
    <row r="997" spans="1:26" ht="1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</row>
    <row r="998" spans="1:26" ht="1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</row>
    <row r="999" spans="1:26" ht="1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</row>
    <row r="1000" spans="1:26" ht="1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</row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1:V1000"/>
  <sheetViews>
    <sheetView workbookViewId="0">
      <selection activeCell="J30" sqref="J30"/>
    </sheetView>
  </sheetViews>
  <sheetFormatPr defaultColWidth="14.42578125" defaultRowHeight="15" customHeight="1"/>
  <cols>
    <col min="1" max="1" width="4.42578125" customWidth="1"/>
    <col min="2" max="2" width="8.140625" customWidth="1"/>
    <col min="3" max="3" width="13.7109375" customWidth="1"/>
    <col min="4" max="4" width="8.140625" customWidth="1"/>
    <col min="5" max="5" width="4" customWidth="1"/>
    <col min="6" max="6" width="8.140625" customWidth="1"/>
    <col min="7" max="7" width="4" customWidth="1"/>
    <col min="8" max="8" width="8.140625" customWidth="1"/>
    <col min="9" max="9" width="4" customWidth="1"/>
    <col min="10" max="10" width="8.140625" customWidth="1"/>
    <col min="11" max="11" width="13.5703125" customWidth="1"/>
    <col min="12" max="12" width="10.28515625" customWidth="1"/>
    <col min="13" max="13" width="13.5703125" customWidth="1"/>
    <col min="14" max="14" width="10.28515625" customWidth="1"/>
    <col min="15" max="15" width="8.140625" customWidth="1"/>
    <col min="16" max="16" width="6" customWidth="1"/>
    <col min="17" max="17" width="8.5703125" customWidth="1"/>
    <col min="18" max="22" width="8.140625" customWidth="1"/>
  </cols>
  <sheetData>
    <row r="1" spans="2:22" ht="16.5" customHeight="1"/>
    <row r="2" spans="2:22" ht="16.5" customHeight="1"/>
    <row r="3" spans="2:22" ht="16.5" customHeight="1">
      <c r="C3" s="15" t="s">
        <v>7</v>
      </c>
      <c r="D3" s="216" t="s">
        <v>8</v>
      </c>
      <c r="E3" s="217"/>
      <c r="F3" s="217"/>
      <c r="G3" s="218"/>
      <c r="H3" s="216" t="s">
        <v>9</v>
      </c>
      <c r="I3" s="217"/>
      <c r="J3" s="15" t="s">
        <v>10</v>
      </c>
    </row>
    <row r="4" spans="2:22" ht="16.5" customHeight="1">
      <c r="B4" s="223" t="s">
        <v>16</v>
      </c>
      <c r="C4" s="20" t="s">
        <v>17</v>
      </c>
      <c r="D4" s="21"/>
      <c r="E4" s="22"/>
      <c r="F4" s="23" t="s">
        <v>18</v>
      </c>
      <c r="G4" s="24">
        <v>83</v>
      </c>
      <c r="H4" s="25"/>
      <c r="I4" s="23"/>
      <c r="J4" s="15"/>
    </row>
    <row r="5" spans="2:22" ht="16.5" customHeight="1">
      <c r="B5" s="219"/>
      <c r="C5" s="14" t="s">
        <v>21</v>
      </c>
      <c r="D5" s="164" t="s">
        <v>22</v>
      </c>
      <c r="E5" s="165">
        <v>40</v>
      </c>
      <c r="F5" s="32" t="s">
        <v>23</v>
      </c>
      <c r="G5" s="33">
        <v>27</v>
      </c>
      <c r="H5" s="34"/>
      <c r="I5" s="35"/>
      <c r="J5" s="36"/>
    </row>
    <row r="6" spans="2:22" ht="16.5" customHeight="1">
      <c r="B6" s="219"/>
      <c r="C6" s="14" t="s">
        <v>26</v>
      </c>
      <c r="D6" s="164" t="s">
        <v>27</v>
      </c>
      <c r="E6" s="165">
        <v>58</v>
      </c>
      <c r="F6" s="32" t="s">
        <v>28</v>
      </c>
      <c r="G6" s="33">
        <v>50</v>
      </c>
      <c r="H6" s="34"/>
      <c r="I6" s="35"/>
      <c r="J6" s="36"/>
    </row>
    <row r="7" spans="2:22" ht="16.5" customHeight="1">
      <c r="B7" s="219"/>
      <c r="C7" s="14" t="s">
        <v>30</v>
      </c>
      <c r="D7" s="164" t="s">
        <v>31</v>
      </c>
      <c r="E7" s="165">
        <v>66</v>
      </c>
      <c r="F7" s="166" t="s">
        <v>32</v>
      </c>
      <c r="G7" s="167">
        <v>64</v>
      </c>
      <c r="H7" s="34"/>
      <c r="I7" s="35"/>
      <c r="J7" s="36"/>
    </row>
    <row r="8" spans="2:22" ht="16.5" customHeight="1">
      <c r="B8" s="219"/>
      <c r="C8" s="14" t="s">
        <v>38</v>
      </c>
      <c r="D8" s="164" t="s">
        <v>71</v>
      </c>
      <c r="E8" s="165">
        <v>45</v>
      </c>
      <c r="F8" s="166" t="s">
        <v>39</v>
      </c>
      <c r="G8" s="167">
        <v>71</v>
      </c>
      <c r="H8" s="55" t="s">
        <v>40</v>
      </c>
      <c r="I8" s="56">
        <v>30</v>
      </c>
      <c r="J8" s="57"/>
    </row>
    <row r="9" spans="2:22" ht="16.5" customHeight="1">
      <c r="B9" s="219"/>
      <c r="C9" s="14" t="s">
        <v>42</v>
      </c>
      <c r="D9" s="61" t="s">
        <v>43</v>
      </c>
      <c r="E9" s="62">
        <v>10</v>
      </c>
      <c r="F9" s="32" t="s">
        <v>44</v>
      </c>
      <c r="G9" s="33">
        <v>79</v>
      </c>
      <c r="H9" s="55" t="s">
        <v>45</v>
      </c>
      <c r="I9" s="56">
        <v>24</v>
      </c>
      <c r="J9" s="36"/>
    </row>
    <row r="10" spans="2:22" ht="16.5" customHeight="1">
      <c r="B10" s="219"/>
      <c r="C10" s="14" t="s">
        <v>47</v>
      </c>
      <c r="D10" s="164" t="s">
        <v>48</v>
      </c>
      <c r="E10" s="165">
        <v>26</v>
      </c>
      <c r="F10" s="32" t="s">
        <v>49</v>
      </c>
      <c r="G10" s="33">
        <v>81</v>
      </c>
      <c r="H10" s="66"/>
      <c r="I10" s="67"/>
      <c r="J10" s="36"/>
    </row>
    <row r="11" spans="2:22" ht="16.5" customHeight="1">
      <c r="B11" s="219"/>
      <c r="C11" s="14" t="s">
        <v>51</v>
      </c>
      <c r="D11" s="164" t="s">
        <v>52</v>
      </c>
      <c r="E11" s="165">
        <v>28</v>
      </c>
      <c r="F11" s="166" t="s">
        <v>53</v>
      </c>
      <c r="G11" s="167">
        <v>59</v>
      </c>
      <c r="H11" s="66"/>
      <c r="I11" s="67"/>
      <c r="J11" s="36"/>
    </row>
    <row r="12" spans="2:22" ht="16.5" customHeight="1">
      <c r="B12" s="219"/>
      <c r="C12" s="14" t="s">
        <v>55</v>
      </c>
      <c r="D12" s="164" t="s">
        <v>56</v>
      </c>
      <c r="E12" s="165">
        <v>9</v>
      </c>
      <c r="F12" s="71"/>
      <c r="G12" s="72"/>
      <c r="H12" s="55" t="s">
        <v>57</v>
      </c>
      <c r="I12" s="56">
        <v>8</v>
      </c>
      <c r="J12" s="36"/>
    </row>
    <row r="13" spans="2:22" ht="16.5" customHeight="1">
      <c r="B13" s="219"/>
      <c r="C13" s="14" t="s">
        <v>58</v>
      </c>
      <c r="D13" s="164" t="s">
        <v>59</v>
      </c>
      <c r="E13" s="165">
        <v>84</v>
      </c>
      <c r="F13" s="71"/>
      <c r="G13" s="72"/>
      <c r="H13" s="55" t="s">
        <v>60</v>
      </c>
      <c r="I13" s="56">
        <v>63</v>
      </c>
      <c r="J13" s="36"/>
    </row>
    <row r="14" spans="2:22" ht="16.5" customHeight="1">
      <c r="B14" s="219"/>
      <c r="C14" s="14" t="s">
        <v>62</v>
      </c>
      <c r="D14" s="164" t="s">
        <v>63</v>
      </c>
      <c r="E14" s="165">
        <v>53</v>
      </c>
      <c r="F14" s="71"/>
      <c r="G14" s="72"/>
      <c r="H14" s="55" t="s">
        <v>64</v>
      </c>
      <c r="I14" s="56">
        <v>42</v>
      </c>
      <c r="J14" s="36"/>
    </row>
    <row r="15" spans="2:22" ht="16.5" customHeight="1">
      <c r="B15" s="219"/>
      <c r="C15" s="14" t="s">
        <v>66</v>
      </c>
      <c r="D15" s="164"/>
      <c r="E15" s="165"/>
      <c r="F15" s="166" t="s">
        <v>68</v>
      </c>
      <c r="G15" s="167">
        <v>16</v>
      </c>
      <c r="H15" s="34"/>
      <c r="I15" s="35"/>
      <c r="J15" s="168" t="s">
        <v>67</v>
      </c>
      <c r="V15" s="169"/>
    </row>
    <row r="16" spans="2:22" ht="16.5" customHeight="1">
      <c r="B16" s="219"/>
      <c r="C16" s="14" t="s">
        <v>70</v>
      </c>
      <c r="D16" s="164"/>
      <c r="E16" s="165"/>
      <c r="F16" s="32" t="s">
        <v>72</v>
      </c>
      <c r="G16" s="33">
        <v>69</v>
      </c>
      <c r="H16" s="31"/>
      <c r="I16" s="85"/>
      <c r="J16" s="36"/>
      <c r="V16" s="169"/>
    </row>
    <row r="17" spans="2:22" ht="16.5" customHeight="1">
      <c r="B17" s="219"/>
      <c r="C17" s="14" t="s">
        <v>73</v>
      </c>
      <c r="D17" s="164" t="s">
        <v>74</v>
      </c>
      <c r="E17" s="165">
        <v>56</v>
      </c>
      <c r="F17" s="85" t="s">
        <v>75</v>
      </c>
      <c r="G17" s="86">
        <v>82</v>
      </c>
      <c r="H17" s="34"/>
      <c r="I17" s="35"/>
      <c r="J17" s="36"/>
    </row>
    <row r="18" spans="2:22" ht="16.5" customHeight="1">
      <c r="B18" s="219"/>
      <c r="C18" s="14" t="s">
        <v>77</v>
      </c>
      <c r="D18" s="164" t="s">
        <v>78</v>
      </c>
      <c r="E18" s="165">
        <v>47</v>
      </c>
      <c r="F18" s="170" t="s">
        <v>79</v>
      </c>
      <c r="G18" s="171">
        <v>38</v>
      </c>
      <c r="H18" s="34"/>
      <c r="I18" s="35"/>
      <c r="J18" s="36"/>
      <c r="V18" s="169"/>
    </row>
    <row r="19" spans="2:22" ht="16.5" customHeight="1">
      <c r="B19" s="219"/>
      <c r="C19" s="14" t="s">
        <v>81</v>
      </c>
      <c r="D19" s="164"/>
      <c r="E19" s="165"/>
      <c r="F19" s="32" t="s">
        <v>82</v>
      </c>
      <c r="G19" s="33">
        <v>18</v>
      </c>
      <c r="H19" s="34"/>
      <c r="I19" s="35"/>
      <c r="J19" s="36"/>
      <c r="Q19" s="35"/>
    </row>
    <row r="20" spans="2:22" ht="16.5" customHeight="1">
      <c r="B20" s="220"/>
      <c r="C20" s="41" t="s">
        <v>84</v>
      </c>
      <c r="D20" s="172" t="s">
        <v>85</v>
      </c>
      <c r="E20" s="173">
        <v>22</v>
      </c>
      <c r="F20" s="174"/>
      <c r="G20" s="175"/>
      <c r="H20" s="96"/>
      <c r="I20" s="97"/>
      <c r="J20" s="98"/>
      <c r="Q20" s="35"/>
    </row>
    <row r="21" spans="2:22" ht="16.5" customHeight="1">
      <c r="B21" s="222" t="s">
        <v>87</v>
      </c>
      <c r="C21" s="102" t="s">
        <v>88</v>
      </c>
      <c r="D21" s="176" t="s">
        <v>89</v>
      </c>
      <c r="E21" s="177">
        <v>73</v>
      </c>
      <c r="F21" s="103"/>
      <c r="G21" s="104"/>
      <c r="H21" s="105"/>
      <c r="I21" s="105"/>
      <c r="J21" s="15"/>
    </row>
    <row r="22" spans="2:22" ht="16.5" customHeight="1">
      <c r="B22" s="220"/>
      <c r="C22" s="109" t="s">
        <v>91</v>
      </c>
      <c r="D22" s="172" t="s">
        <v>92</v>
      </c>
      <c r="E22" s="178">
        <v>41</v>
      </c>
      <c r="F22" s="110" t="s">
        <v>93</v>
      </c>
      <c r="G22" s="111">
        <v>25</v>
      </c>
      <c r="H22" s="112"/>
      <c r="I22" s="97"/>
      <c r="J22" s="98"/>
    </row>
    <row r="23" spans="2:22" ht="16.5" customHeight="1">
      <c r="B23" s="224" t="s">
        <v>14</v>
      </c>
      <c r="C23" s="15" t="s">
        <v>137</v>
      </c>
      <c r="D23" s="179" t="s">
        <v>95</v>
      </c>
      <c r="E23" s="177">
        <v>31</v>
      </c>
      <c r="F23" s="180"/>
      <c r="G23" s="181"/>
      <c r="H23" s="102"/>
      <c r="I23" s="182"/>
      <c r="J23" s="15"/>
      <c r="Q23" s="35"/>
      <c r="R23" s="35"/>
      <c r="S23" s="35"/>
      <c r="T23" s="35"/>
    </row>
    <row r="24" spans="2:22" ht="16.5" customHeight="1">
      <c r="B24" s="220"/>
      <c r="C24" s="183" t="s">
        <v>138</v>
      </c>
      <c r="D24" s="184" t="s">
        <v>96</v>
      </c>
      <c r="E24" s="184">
        <v>49</v>
      </c>
      <c r="F24" s="185"/>
      <c r="G24" s="186"/>
      <c r="H24" s="109"/>
      <c r="I24" s="187"/>
      <c r="J24" s="183"/>
      <c r="Q24" s="35"/>
      <c r="R24" s="35"/>
      <c r="S24" s="35"/>
      <c r="T24" s="35"/>
    </row>
    <row r="25" spans="2:22" ht="16.5" customHeight="1">
      <c r="Q25" s="35"/>
      <c r="R25" s="35"/>
      <c r="S25" s="35"/>
      <c r="T25" s="35"/>
    </row>
    <row r="26" spans="2:22" ht="16.5" customHeight="1"/>
    <row r="27" spans="2:22" ht="16.5" customHeight="1"/>
    <row r="28" spans="2:22" ht="16.5" customHeight="1"/>
    <row r="29" spans="2:22" ht="16.5" customHeight="1">
      <c r="H29" s="35"/>
    </row>
    <row r="30" spans="2:22" ht="16.5" customHeight="1"/>
    <row r="31" spans="2:22" ht="16.5" customHeight="1"/>
    <row r="32" spans="2:2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3:G3"/>
    <mergeCell ref="H3:I3"/>
    <mergeCell ref="B4:B20"/>
    <mergeCell ref="B21:B22"/>
    <mergeCell ref="B23:B24"/>
  </mergeCells>
  <phoneticPr fontId="2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H1000"/>
  <sheetViews>
    <sheetView workbookViewId="0">
      <selection activeCell="K10" sqref="K10"/>
    </sheetView>
  </sheetViews>
  <sheetFormatPr defaultColWidth="14.42578125" defaultRowHeight="15" customHeight="1"/>
  <cols>
    <col min="1" max="1" width="4.42578125" customWidth="1"/>
    <col min="2" max="2" width="58" customWidth="1"/>
    <col min="3" max="3" width="8.7109375" customWidth="1"/>
    <col min="4" max="4" width="16.42578125" customWidth="1"/>
    <col min="5" max="5" width="12.28515625" customWidth="1"/>
    <col min="6" max="7" width="13.140625" customWidth="1"/>
    <col min="8" max="8" width="6.140625" customWidth="1"/>
    <col min="9" max="9" width="8.7109375" customWidth="1"/>
    <col min="10" max="10" width="12.85546875" customWidth="1"/>
    <col min="11" max="11" width="13.5703125" customWidth="1"/>
    <col min="12" max="12" width="7.42578125" customWidth="1"/>
    <col min="13" max="13" width="4" customWidth="1"/>
    <col min="14" max="14" width="7.42578125" customWidth="1"/>
    <col min="15" max="15" width="4" customWidth="1"/>
    <col min="16" max="16" width="8.7109375" customWidth="1"/>
    <col min="17" max="17" width="4" customWidth="1"/>
    <col min="18" max="19" width="8.7109375" customWidth="1"/>
    <col min="20" max="20" width="10.28515625" customWidth="1"/>
    <col min="21" max="21" width="13.5703125" customWidth="1"/>
    <col min="22" max="22" width="10.28515625" customWidth="1"/>
    <col min="23" max="23" width="8.140625" customWidth="1"/>
    <col min="24" max="24" width="6" customWidth="1"/>
    <col min="25" max="31" width="8.7109375" customWidth="1"/>
  </cols>
  <sheetData>
    <row r="1" spans="1:8" ht="16.5" customHeight="1">
      <c r="A1" s="1"/>
      <c r="B1" s="2"/>
      <c r="C1" s="2"/>
      <c r="D1" s="2"/>
      <c r="E1" s="2"/>
      <c r="F1" s="2"/>
      <c r="G1" s="2"/>
      <c r="H1" s="3"/>
    </row>
    <row r="2" spans="1:8" ht="16.5" customHeight="1" thickBot="1">
      <c r="A2" s="4"/>
      <c r="B2" s="5"/>
      <c r="C2" s="5"/>
      <c r="D2" s="6" t="s">
        <v>0</v>
      </c>
      <c r="E2" s="7" t="s">
        <v>1</v>
      </c>
      <c r="F2" s="8" t="s">
        <v>2</v>
      </c>
      <c r="G2" s="9" t="s">
        <v>3</v>
      </c>
      <c r="H2" s="10"/>
    </row>
    <row r="3" spans="1:8" ht="16.5" customHeight="1" thickBot="1">
      <c r="A3" s="4"/>
      <c r="B3" s="5"/>
      <c r="C3" s="5"/>
      <c r="D3" s="11" t="s">
        <v>4</v>
      </c>
      <c r="E3" s="12" t="s">
        <v>5</v>
      </c>
      <c r="F3" s="13" t="s">
        <v>6</v>
      </c>
      <c r="G3" s="14"/>
      <c r="H3" s="10"/>
    </row>
    <row r="4" spans="1:8" ht="16.5" customHeight="1" thickBot="1">
      <c r="A4" s="4"/>
      <c r="B4" s="5"/>
      <c r="C4" s="5"/>
      <c r="D4" s="5"/>
      <c r="E4" s="5"/>
      <c r="F4" s="5"/>
      <c r="G4" s="5"/>
      <c r="H4" s="10"/>
    </row>
    <row r="5" spans="1:8" ht="16.5" customHeight="1" thickBot="1">
      <c r="A5" s="4"/>
      <c r="B5" s="221" t="s">
        <v>20</v>
      </c>
      <c r="C5" s="217"/>
      <c r="D5" s="217"/>
      <c r="E5" s="217"/>
      <c r="F5" s="217"/>
      <c r="G5" s="218"/>
      <c r="H5" s="10"/>
    </row>
    <row r="6" spans="1:8" ht="16.5" customHeight="1">
      <c r="A6" s="4"/>
      <c r="B6" s="42" t="s">
        <v>25</v>
      </c>
      <c r="C6" s="43"/>
      <c r="D6" s="43"/>
      <c r="E6" s="43"/>
      <c r="F6" s="43"/>
      <c r="G6" s="44"/>
      <c r="H6" s="10"/>
    </row>
    <row r="7" spans="1:8" ht="16.5" customHeight="1">
      <c r="A7" s="45"/>
      <c r="B7" s="46" t="s">
        <v>29</v>
      </c>
      <c r="C7" s="47"/>
      <c r="D7" s="47"/>
      <c r="E7" s="47"/>
      <c r="F7" s="47"/>
      <c r="G7" s="48"/>
      <c r="H7" s="10"/>
    </row>
    <row r="8" spans="1:8" ht="16.5" customHeight="1">
      <c r="A8" s="50"/>
      <c r="B8" s="51" t="s">
        <v>37</v>
      </c>
      <c r="C8" s="52"/>
      <c r="D8" s="52"/>
      <c r="E8" s="52"/>
      <c r="F8" s="52"/>
      <c r="G8" s="53"/>
      <c r="H8" s="54"/>
    </row>
    <row r="9" spans="1:8" ht="16.5" customHeight="1">
      <c r="A9" s="45"/>
      <c r="B9" s="46" t="s">
        <v>41</v>
      </c>
      <c r="C9" s="47"/>
      <c r="D9" s="47"/>
      <c r="E9" s="47"/>
      <c r="F9" s="47"/>
      <c r="G9" s="48"/>
      <c r="H9" s="10"/>
    </row>
    <row r="10" spans="1:8" ht="16.5" customHeight="1">
      <c r="A10" s="45"/>
      <c r="B10" s="63" t="s">
        <v>46</v>
      </c>
      <c r="C10" s="64"/>
      <c r="D10" s="64"/>
      <c r="E10" s="64"/>
      <c r="F10" s="64"/>
      <c r="G10" s="65"/>
      <c r="H10" s="10"/>
    </row>
    <row r="11" spans="1:8" ht="16.5" customHeight="1">
      <c r="A11" s="45"/>
      <c r="B11" s="63" t="s">
        <v>50</v>
      </c>
      <c r="C11" s="64"/>
      <c r="D11" s="64"/>
      <c r="E11" s="64"/>
      <c r="F11" s="64"/>
      <c r="G11" s="65"/>
      <c r="H11" s="10"/>
    </row>
    <row r="12" spans="1:8" ht="16.5" customHeight="1" thickBot="1">
      <c r="A12" s="45"/>
      <c r="B12" s="68" t="s">
        <v>54</v>
      </c>
      <c r="C12" s="69"/>
      <c r="D12" s="69"/>
      <c r="E12" s="69"/>
      <c r="F12" s="69"/>
      <c r="G12" s="70"/>
      <c r="H12" s="10"/>
    </row>
    <row r="13" spans="1:8" ht="16.5" customHeight="1">
      <c r="A13" s="45"/>
      <c r="B13" s="5"/>
      <c r="C13" s="5"/>
      <c r="D13" s="5"/>
      <c r="E13" s="5"/>
      <c r="F13" s="5"/>
      <c r="G13" s="5"/>
      <c r="H13" s="10"/>
    </row>
    <row r="14" spans="1:8" ht="16.5" customHeight="1">
      <c r="A14" s="4"/>
      <c r="B14" s="73" t="s">
        <v>61</v>
      </c>
      <c r="C14" s="74"/>
      <c r="D14" s="74"/>
      <c r="E14" s="74"/>
      <c r="F14" s="74"/>
      <c r="G14" s="75"/>
      <c r="H14" s="10"/>
    </row>
    <row r="15" spans="1:8" ht="16.5" customHeight="1">
      <c r="A15" s="4"/>
      <c r="B15" s="76" t="s">
        <v>65</v>
      </c>
      <c r="C15" s="77"/>
      <c r="D15" s="78"/>
      <c r="E15" s="79"/>
      <c r="F15" s="79"/>
      <c r="G15" s="80"/>
      <c r="H15" s="10"/>
    </row>
    <row r="16" spans="1:8" ht="16.5" customHeight="1">
      <c r="A16" s="4"/>
      <c r="B16" s="81" t="s">
        <v>69</v>
      </c>
      <c r="C16" s="82"/>
      <c r="D16" s="83"/>
      <c r="E16" s="83"/>
      <c r="F16" s="83"/>
      <c r="G16" s="84"/>
      <c r="H16" s="10"/>
    </row>
    <row r="17" spans="1:8" ht="16.5" customHeight="1">
      <c r="A17" s="4"/>
      <c r="B17" s="5"/>
      <c r="C17" s="5"/>
      <c r="D17" s="5"/>
      <c r="E17" s="5"/>
      <c r="F17" s="5"/>
      <c r="G17" s="5"/>
      <c r="H17" s="10"/>
    </row>
    <row r="18" spans="1:8" ht="16.5" customHeight="1">
      <c r="A18" s="4"/>
      <c r="B18" s="87" t="s">
        <v>76</v>
      </c>
      <c r="C18" s="88"/>
      <c r="D18" s="88"/>
      <c r="E18" s="88"/>
      <c r="F18" s="88"/>
      <c r="G18" s="89"/>
      <c r="H18" s="10"/>
    </row>
    <row r="19" spans="1:8" ht="16.5" customHeight="1">
      <c r="A19" s="4"/>
      <c r="B19" s="90" t="s">
        <v>80</v>
      </c>
      <c r="C19" s="91"/>
      <c r="D19" s="91"/>
      <c r="E19" s="91"/>
      <c r="F19" s="91"/>
      <c r="G19" s="92"/>
      <c r="H19" s="10"/>
    </row>
    <row r="20" spans="1:8" ht="16.5" customHeight="1">
      <c r="A20" s="4"/>
      <c r="B20" s="93" t="s">
        <v>83</v>
      </c>
      <c r="C20" s="94"/>
      <c r="D20" s="94"/>
      <c r="E20" s="94"/>
      <c r="F20" s="94"/>
      <c r="G20" s="95"/>
      <c r="H20" s="10"/>
    </row>
    <row r="21" spans="1:8" ht="16.5" customHeight="1">
      <c r="A21" s="4"/>
      <c r="B21" s="99" t="s">
        <v>86</v>
      </c>
      <c r="C21" s="100"/>
      <c r="D21" s="100"/>
      <c r="E21" s="100"/>
      <c r="F21" s="100"/>
      <c r="G21" s="101"/>
      <c r="H21" s="10"/>
    </row>
    <row r="22" spans="1:8" ht="16.5" customHeight="1">
      <c r="A22" s="4"/>
      <c r="B22" s="106" t="s">
        <v>90</v>
      </c>
      <c r="C22" s="107"/>
      <c r="D22" s="107"/>
      <c r="E22" s="107"/>
      <c r="F22" s="107"/>
      <c r="G22" s="108"/>
      <c r="H22" s="10"/>
    </row>
    <row r="23" spans="1:8" ht="16.5" customHeight="1">
      <c r="A23" s="4"/>
      <c r="B23" s="106" t="s">
        <v>94</v>
      </c>
      <c r="C23" s="107"/>
      <c r="D23" s="107"/>
      <c r="E23" s="107"/>
      <c r="F23" s="107"/>
      <c r="G23" s="108"/>
      <c r="H23" s="10"/>
    </row>
    <row r="24" spans="1:8" ht="16.5" customHeight="1">
      <c r="A24" s="4"/>
      <c r="B24" s="106" t="s">
        <v>97</v>
      </c>
      <c r="C24" s="107"/>
      <c r="D24" s="107"/>
      <c r="E24" s="107"/>
      <c r="F24" s="107"/>
      <c r="G24" s="108"/>
      <c r="H24" s="10"/>
    </row>
    <row r="25" spans="1:8" ht="16.5" customHeight="1">
      <c r="A25" s="4"/>
      <c r="B25" s="114" t="s">
        <v>98</v>
      </c>
      <c r="C25" s="115"/>
      <c r="D25" s="115"/>
      <c r="E25" s="115"/>
      <c r="F25" s="115"/>
      <c r="G25" s="116"/>
      <c r="H25" s="10"/>
    </row>
    <row r="26" spans="1:8" ht="16.5" customHeight="1">
      <c r="A26" s="4"/>
      <c r="B26" s="117" t="s">
        <v>99</v>
      </c>
      <c r="C26" s="118"/>
      <c r="D26" s="118"/>
      <c r="E26" s="118"/>
      <c r="F26" s="118"/>
      <c r="G26" s="119"/>
      <c r="H26" s="10"/>
    </row>
    <row r="27" spans="1:8" ht="16.5" customHeight="1">
      <c r="A27" s="4"/>
      <c r="B27" s="120" t="s">
        <v>100</v>
      </c>
      <c r="C27" s="121"/>
      <c r="D27" s="121"/>
      <c r="E27" s="121"/>
      <c r="F27" s="121"/>
      <c r="G27" s="122"/>
      <c r="H27" s="10"/>
    </row>
    <row r="28" spans="1:8" ht="16.5" customHeight="1">
      <c r="A28" s="4"/>
      <c r="B28" s="120" t="s">
        <v>101</v>
      </c>
      <c r="C28" s="121"/>
      <c r="D28" s="121"/>
      <c r="E28" s="121"/>
      <c r="F28" s="121"/>
      <c r="G28" s="122"/>
      <c r="H28" s="10"/>
    </row>
    <row r="29" spans="1:8" ht="16.5" customHeight="1">
      <c r="A29" s="4"/>
      <c r="B29" s="120" t="s">
        <v>102</v>
      </c>
      <c r="C29" s="121"/>
      <c r="D29" s="121"/>
      <c r="E29" s="121"/>
      <c r="F29" s="121"/>
      <c r="G29" s="122"/>
      <c r="H29" s="10"/>
    </row>
    <row r="30" spans="1:8" ht="16.5" customHeight="1">
      <c r="A30" s="4"/>
      <c r="B30" s="123" t="s">
        <v>103</v>
      </c>
      <c r="C30" s="124"/>
      <c r="D30" s="124"/>
      <c r="E30" s="124"/>
      <c r="F30" s="124"/>
      <c r="G30" s="125"/>
      <c r="H30" s="10"/>
    </row>
    <row r="31" spans="1:8" ht="16.5" customHeight="1">
      <c r="A31" s="4"/>
      <c r="B31" s="5"/>
      <c r="C31" s="5"/>
      <c r="D31" s="5"/>
      <c r="E31" s="5"/>
      <c r="F31" s="5"/>
      <c r="G31" s="5"/>
      <c r="H31" s="10"/>
    </row>
    <row r="32" spans="1:8" ht="16.5" customHeight="1">
      <c r="A32" s="4"/>
      <c r="B32" s="126" t="s">
        <v>104</v>
      </c>
      <c r="C32" s="127"/>
      <c r="D32" s="127"/>
      <c r="E32" s="127"/>
      <c r="F32" s="127"/>
      <c r="G32" s="128"/>
      <c r="H32" s="10"/>
    </row>
    <row r="33" spans="1:8" ht="16.5" customHeight="1">
      <c r="A33" s="4"/>
      <c r="B33" s="129" t="s">
        <v>105</v>
      </c>
      <c r="C33" s="130"/>
      <c r="D33" s="130"/>
      <c r="E33" s="130"/>
      <c r="F33" s="130"/>
      <c r="G33" s="131"/>
      <c r="H33" s="10"/>
    </row>
    <row r="34" spans="1:8" ht="16.5" customHeight="1">
      <c r="A34" s="4"/>
      <c r="B34" s="132" t="s">
        <v>106</v>
      </c>
      <c r="C34" s="133"/>
      <c r="D34" s="133"/>
      <c r="E34" s="133"/>
      <c r="F34" s="133"/>
      <c r="G34" s="134"/>
      <c r="H34" s="10"/>
    </row>
    <row r="35" spans="1:8" ht="16.5" customHeight="1">
      <c r="A35" s="4"/>
      <c r="B35" s="5"/>
      <c r="C35" s="5"/>
      <c r="D35" s="5"/>
      <c r="E35" s="5"/>
      <c r="F35" s="5"/>
      <c r="G35" s="5"/>
      <c r="H35" s="10"/>
    </row>
    <row r="36" spans="1:8" ht="16.5" customHeight="1">
      <c r="A36" s="4"/>
      <c r="B36" s="135" t="s">
        <v>107</v>
      </c>
      <c r="C36" s="136"/>
      <c r="D36" s="136"/>
      <c r="E36" s="136"/>
      <c r="F36" s="136"/>
      <c r="G36" s="137"/>
      <c r="H36" s="10"/>
    </row>
    <row r="37" spans="1:8" ht="16.5" customHeight="1">
      <c r="A37" s="4"/>
      <c r="B37" s="138" t="s">
        <v>108</v>
      </c>
      <c r="C37" s="139"/>
      <c r="D37" s="139"/>
      <c r="E37" s="139"/>
      <c r="F37" s="139"/>
      <c r="G37" s="140"/>
      <c r="H37" s="10"/>
    </row>
    <row r="38" spans="1:8" ht="16.5" customHeight="1">
      <c r="A38" s="4"/>
      <c r="B38" s="141" t="s">
        <v>109</v>
      </c>
      <c r="C38" s="142"/>
      <c r="D38" s="142"/>
      <c r="E38" s="142"/>
      <c r="F38" s="142"/>
      <c r="G38" s="143"/>
      <c r="H38" s="10"/>
    </row>
    <row r="39" spans="1:8" ht="16.5" customHeight="1">
      <c r="A39" s="4"/>
      <c r="B39" s="138" t="s">
        <v>110</v>
      </c>
      <c r="C39" s="139"/>
      <c r="D39" s="139"/>
      <c r="E39" s="139"/>
      <c r="F39" s="139"/>
      <c r="G39" s="140"/>
      <c r="H39" s="10"/>
    </row>
    <row r="40" spans="1:8" ht="16.5" customHeight="1">
      <c r="A40" s="4"/>
      <c r="B40" s="141" t="s">
        <v>111</v>
      </c>
      <c r="C40" s="142"/>
      <c r="D40" s="142"/>
      <c r="E40" s="142"/>
      <c r="F40" s="142"/>
      <c r="G40" s="143"/>
      <c r="H40" s="10"/>
    </row>
    <row r="41" spans="1:8" ht="16.5" customHeight="1">
      <c r="A41" s="4"/>
      <c r="B41" s="138" t="s">
        <v>112</v>
      </c>
      <c r="C41" s="139"/>
      <c r="D41" s="139"/>
      <c r="E41" s="139"/>
      <c r="F41" s="139"/>
      <c r="G41" s="140"/>
      <c r="H41" s="10"/>
    </row>
    <row r="42" spans="1:8" ht="16.5" customHeight="1">
      <c r="A42" s="4"/>
      <c r="B42" s="144" t="s">
        <v>113</v>
      </c>
      <c r="C42" s="145"/>
      <c r="D42" s="145"/>
      <c r="E42" s="145"/>
      <c r="F42" s="145"/>
      <c r="G42" s="146"/>
      <c r="H42" s="10"/>
    </row>
    <row r="43" spans="1:8" ht="16.5" customHeight="1">
      <c r="A43" s="4"/>
      <c r="B43" s="141" t="s">
        <v>114</v>
      </c>
      <c r="C43" s="142"/>
      <c r="D43" s="142"/>
      <c r="E43" s="142"/>
      <c r="F43" s="142"/>
      <c r="G43" s="143"/>
      <c r="H43" s="10"/>
    </row>
    <row r="44" spans="1:8" ht="16.5" customHeight="1">
      <c r="A44" s="4"/>
      <c r="B44" s="138" t="s">
        <v>115</v>
      </c>
      <c r="C44" s="139"/>
      <c r="D44" s="139"/>
      <c r="E44" s="139"/>
      <c r="F44" s="139"/>
      <c r="G44" s="140"/>
      <c r="H44" s="10"/>
    </row>
    <row r="45" spans="1:8" ht="16.5" customHeight="1">
      <c r="A45" s="4"/>
      <c r="B45" s="141" t="s">
        <v>116</v>
      </c>
      <c r="C45" s="142"/>
      <c r="D45" s="142"/>
      <c r="E45" s="142"/>
      <c r="F45" s="142"/>
      <c r="G45" s="143"/>
      <c r="H45" s="10"/>
    </row>
    <row r="46" spans="1:8" ht="16.5" customHeight="1">
      <c r="A46" s="4"/>
      <c r="B46" s="138" t="s">
        <v>117</v>
      </c>
      <c r="C46" s="139"/>
      <c r="D46" s="139"/>
      <c r="E46" s="139"/>
      <c r="F46" s="139"/>
      <c r="G46" s="140"/>
      <c r="H46" s="10"/>
    </row>
    <row r="47" spans="1:8" ht="16.5" customHeight="1">
      <c r="A47" s="4"/>
      <c r="B47" s="141" t="s">
        <v>118</v>
      </c>
      <c r="C47" s="142"/>
      <c r="D47" s="142"/>
      <c r="E47" s="142"/>
      <c r="F47" s="142"/>
      <c r="G47" s="143"/>
      <c r="H47" s="10"/>
    </row>
    <row r="48" spans="1:8" ht="16.5" customHeight="1">
      <c r="A48" s="4"/>
      <c r="B48" s="138" t="s">
        <v>119</v>
      </c>
      <c r="C48" s="139"/>
      <c r="D48" s="139"/>
      <c r="E48" s="139"/>
      <c r="F48" s="139"/>
      <c r="G48" s="140"/>
      <c r="H48" s="10"/>
    </row>
    <row r="49" spans="1:8" ht="16.5" customHeight="1">
      <c r="A49" s="4"/>
      <c r="B49" s="144" t="s">
        <v>120</v>
      </c>
      <c r="C49" s="145"/>
      <c r="D49" s="145"/>
      <c r="E49" s="145"/>
      <c r="F49" s="145"/>
      <c r="G49" s="146"/>
      <c r="H49" s="10"/>
    </row>
    <row r="50" spans="1:8" ht="16.5" customHeight="1">
      <c r="A50" s="4"/>
      <c r="B50" s="141" t="s">
        <v>121</v>
      </c>
      <c r="C50" s="142"/>
      <c r="D50" s="142"/>
      <c r="E50" s="142"/>
      <c r="F50" s="142"/>
      <c r="G50" s="143"/>
      <c r="H50" s="10"/>
    </row>
    <row r="51" spans="1:8" ht="16.5" customHeight="1">
      <c r="A51" s="4"/>
      <c r="B51" s="147" t="s">
        <v>122</v>
      </c>
      <c r="C51" s="145"/>
      <c r="D51" s="145"/>
      <c r="E51" s="145"/>
      <c r="F51" s="145"/>
      <c r="G51" s="146"/>
      <c r="H51" s="10"/>
    </row>
    <row r="52" spans="1:8" ht="16.5" customHeight="1">
      <c r="A52" s="4"/>
      <c r="B52" s="144" t="s">
        <v>123</v>
      </c>
      <c r="C52" s="145"/>
      <c r="D52" s="145"/>
      <c r="E52" s="145"/>
      <c r="F52" s="145"/>
      <c r="G52" s="146"/>
      <c r="H52" s="10"/>
    </row>
    <row r="53" spans="1:8" ht="16.5" customHeight="1">
      <c r="A53" s="4"/>
      <c r="B53" s="141" t="s">
        <v>124</v>
      </c>
      <c r="C53" s="142"/>
      <c r="D53" s="142"/>
      <c r="E53" s="142"/>
      <c r="F53" s="142"/>
      <c r="G53" s="143"/>
      <c r="H53" s="10"/>
    </row>
    <row r="54" spans="1:8" ht="16.5" customHeight="1">
      <c r="A54" s="4"/>
      <c r="B54" s="138" t="s">
        <v>125</v>
      </c>
      <c r="C54" s="139"/>
      <c r="D54" s="139"/>
      <c r="E54" s="139"/>
      <c r="F54" s="139"/>
      <c r="G54" s="140"/>
      <c r="H54" s="10"/>
    </row>
    <row r="55" spans="1:8" ht="16.5" customHeight="1">
      <c r="A55" s="4"/>
      <c r="B55" s="141" t="s">
        <v>126</v>
      </c>
      <c r="C55" s="142"/>
      <c r="D55" s="142"/>
      <c r="E55" s="142"/>
      <c r="F55" s="142"/>
      <c r="G55" s="143"/>
      <c r="H55" s="10"/>
    </row>
    <row r="56" spans="1:8" ht="16.5" customHeight="1">
      <c r="A56" s="4"/>
      <c r="B56" s="147" t="s">
        <v>127</v>
      </c>
      <c r="C56" s="145"/>
      <c r="D56" s="145"/>
      <c r="E56" s="145"/>
      <c r="F56" s="145"/>
      <c r="G56" s="146"/>
      <c r="H56" s="10"/>
    </row>
    <row r="57" spans="1:8" ht="16.5" customHeight="1">
      <c r="A57" s="4"/>
      <c r="B57" s="141" t="s">
        <v>128</v>
      </c>
      <c r="C57" s="142"/>
      <c r="D57" s="142"/>
      <c r="E57" s="142"/>
      <c r="F57" s="142"/>
      <c r="G57" s="143"/>
      <c r="H57" s="10"/>
    </row>
    <row r="58" spans="1:8" ht="16.5" customHeight="1">
      <c r="A58" s="4"/>
      <c r="B58" s="147" t="s">
        <v>129</v>
      </c>
      <c r="C58" s="145"/>
      <c r="D58" s="145"/>
      <c r="E58" s="145"/>
      <c r="F58" s="145"/>
      <c r="G58" s="146"/>
      <c r="H58" s="10"/>
    </row>
    <row r="59" spans="1:8" ht="16.5" customHeight="1">
      <c r="A59" s="4"/>
      <c r="B59" s="141" t="s">
        <v>130</v>
      </c>
      <c r="C59" s="142"/>
      <c r="D59" s="142"/>
      <c r="E59" s="142"/>
      <c r="F59" s="142"/>
      <c r="G59" s="143"/>
      <c r="H59" s="10"/>
    </row>
    <row r="60" spans="1:8" ht="16.5" customHeight="1">
      <c r="A60" s="4"/>
      <c r="B60" s="5"/>
      <c r="C60" s="5"/>
      <c r="D60" s="5"/>
      <c r="E60" s="5"/>
      <c r="F60" s="5"/>
      <c r="G60" s="5"/>
      <c r="H60" s="10"/>
    </row>
    <row r="61" spans="1:8" ht="16.5" customHeight="1">
      <c r="A61" s="50"/>
      <c r="B61" s="148" t="s">
        <v>131</v>
      </c>
      <c r="C61" s="149"/>
      <c r="D61" s="149"/>
      <c r="E61" s="149"/>
      <c r="F61" s="149"/>
      <c r="G61" s="150"/>
      <c r="H61" s="54"/>
    </row>
    <row r="62" spans="1:8" ht="16.5" customHeight="1">
      <c r="A62" s="4"/>
      <c r="B62" s="151" t="s">
        <v>132</v>
      </c>
      <c r="C62" s="152"/>
      <c r="D62" s="152"/>
      <c r="E62" s="152"/>
      <c r="F62" s="152"/>
      <c r="G62" s="153"/>
      <c r="H62" s="10"/>
    </row>
    <row r="63" spans="1:8" ht="16.5" customHeight="1">
      <c r="A63" s="4"/>
      <c r="B63" s="154" t="s">
        <v>133</v>
      </c>
      <c r="C63" s="149"/>
      <c r="D63" s="149"/>
      <c r="E63" s="149"/>
      <c r="F63" s="149"/>
      <c r="G63" s="150"/>
      <c r="H63" s="10"/>
    </row>
    <row r="64" spans="1:8" ht="16.5" customHeight="1">
      <c r="A64" s="4"/>
      <c r="B64" s="155" t="s">
        <v>134</v>
      </c>
      <c r="C64" s="156"/>
      <c r="D64" s="156"/>
      <c r="E64" s="156"/>
      <c r="F64" s="156"/>
      <c r="G64" s="157"/>
      <c r="H64" s="10"/>
    </row>
    <row r="65" spans="1:8" ht="16.5" customHeight="1">
      <c r="A65" s="4"/>
      <c r="B65" s="158" t="s">
        <v>135</v>
      </c>
      <c r="C65" s="159"/>
      <c r="D65" s="159"/>
      <c r="E65" s="159"/>
      <c r="F65" s="159"/>
      <c r="G65" s="160"/>
      <c r="H65" s="10"/>
    </row>
    <row r="66" spans="1:8" ht="16.5" customHeight="1">
      <c r="A66" s="4"/>
      <c r="B66" s="158" t="s">
        <v>136</v>
      </c>
      <c r="C66" s="159"/>
      <c r="D66" s="159"/>
      <c r="E66" s="159"/>
      <c r="F66" s="159"/>
      <c r="G66" s="160"/>
      <c r="H66" s="54"/>
    </row>
    <row r="67" spans="1:8" ht="16.5" customHeight="1">
      <c r="A67" s="4"/>
      <c r="B67" s="5"/>
      <c r="C67" s="5"/>
      <c r="D67" s="5"/>
      <c r="E67" s="5"/>
      <c r="F67" s="5"/>
      <c r="G67" s="5"/>
      <c r="H67" s="10"/>
    </row>
    <row r="68" spans="1:8" ht="16.5" customHeight="1">
      <c r="A68" s="161"/>
      <c r="B68" s="162"/>
      <c r="C68" s="162"/>
      <c r="D68" s="162"/>
      <c r="E68" s="162"/>
      <c r="F68" s="162"/>
      <c r="G68" s="162"/>
      <c r="H68" s="163"/>
    </row>
    <row r="69" spans="1:8" ht="16.5" customHeight="1"/>
    <row r="70" spans="1:8" ht="16.5" customHeight="1"/>
    <row r="71" spans="1:8" ht="16.5" customHeight="1"/>
    <row r="72" spans="1:8" ht="16.5" customHeight="1"/>
    <row r="73" spans="1:8" ht="16.5" customHeight="1"/>
    <row r="74" spans="1:8" ht="16.5" customHeight="1"/>
    <row r="75" spans="1:8" ht="16.5" customHeight="1"/>
    <row r="76" spans="1:8" ht="16.5" customHeight="1"/>
    <row r="77" spans="1:8" ht="16.5" customHeight="1"/>
    <row r="78" spans="1:8" ht="16.5" customHeight="1"/>
    <row r="79" spans="1:8" ht="16.5" customHeight="1"/>
    <row r="80" spans="1: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5:G5"/>
  </mergeCells>
  <phoneticPr fontId="2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786-DC4F-4FEB-9816-FE429E732300}">
  <dimension ref="A1:AL1000"/>
  <sheetViews>
    <sheetView zoomScaleNormal="100" workbookViewId="0">
      <selection activeCell="P21" sqref="P21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38" ht="16.5" customHeight="1" thickBo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</row>
    <row r="2" spans="1:38" ht="16.5" customHeight="1">
      <c r="A2" s="188"/>
      <c r="B2" s="252" t="s">
        <v>616</v>
      </c>
      <c r="C2" s="298" t="s">
        <v>619</v>
      </c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</row>
    <row r="3" spans="1:38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</row>
    <row r="4" spans="1:38" ht="16.5" customHeight="1">
      <c r="A4" s="188"/>
      <c r="B4" s="250" t="s">
        <v>617</v>
      </c>
      <c r="C4" s="304" t="s">
        <v>620</v>
      </c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</row>
    <row r="5" spans="1:38" ht="16.5" customHeight="1" thickBo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</row>
    <row r="6" spans="1:38" ht="16.5" customHeight="1" thickBo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</row>
    <row r="7" spans="1:38" ht="16.5" customHeight="1" thickBot="1">
      <c r="A7" s="188"/>
      <c r="B7" s="314" t="s">
        <v>139</v>
      </c>
      <c r="C7" s="194" t="s">
        <v>140</v>
      </c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315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</row>
    <row r="8" spans="1:38" ht="16.5" customHeight="1">
      <c r="A8" s="188"/>
      <c r="B8" s="316" t="s">
        <v>616</v>
      </c>
      <c r="C8" s="317" t="s">
        <v>621</v>
      </c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6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</row>
    <row r="9" spans="1:38" ht="16.5" customHeight="1">
      <c r="A9" s="188"/>
      <c r="B9" s="318"/>
      <c r="C9" s="337" t="s">
        <v>622</v>
      </c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20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</row>
    <row r="10" spans="1:38" ht="16.5" customHeight="1">
      <c r="A10" s="188"/>
      <c r="B10" s="318"/>
      <c r="C10" s="32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322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</row>
    <row r="11" spans="1:38" ht="16.5" customHeight="1">
      <c r="A11" s="188"/>
      <c r="B11" s="318"/>
      <c r="C11" s="32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322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</row>
    <row r="12" spans="1:38" ht="16.5" customHeight="1">
      <c r="A12" s="188"/>
      <c r="B12" s="323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324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</row>
    <row r="13" spans="1:38" ht="16.5" customHeight="1">
      <c r="A13" s="188"/>
      <c r="B13" s="325" t="s">
        <v>617</v>
      </c>
      <c r="C13" s="228" t="s">
        <v>623</v>
      </c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4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</row>
    <row r="14" spans="1:38" ht="16.5" customHeight="1">
      <c r="A14" s="188"/>
      <c r="B14" s="318"/>
      <c r="C14" s="326" t="s">
        <v>624</v>
      </c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2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</row>
    <row r="15" spans="1:38" ht="16.5" customHeight="1">
      <c r="A15" s="188"/>
      <c r="B15" s="318"/>
      <c r="C15" s="326" t="s">
        <v>625</v>
      </c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2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</row>
    <row r="16" spans="1:38" ht="16.5" customHeight="1">
      <c r="A16" s="188"/>
      <c r="B16" s="318"/>
      <c r="C16" s="326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322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</row>
    <row r="17" spans="1:38" ht="16.5" customHeight="1" thickBot="1">
      <c r="A17" s="188"/>
      <c r="B17" s="327"/>
      <c r="C17" s="328"/>
      <c r="D17" s="329"/>
      <c r="E17" s="329"/>
      <c r="F17" s="329"/>
      <c r="G17" s="329"/>
      <c r="H17" s="329"/>
      <c r="I17" s="329"/>
      <c r="J17" s="329"/>
      <c r="K17" s="329"/>
      <c r="L17" s="329"/>
      <c r="M17" s="329"/>
      <c r="N17" s="329"/>
      <c r="O17" s="330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</row>
    <row r="18" spans="1:38" ht="16.5" customHeight="1" thickBo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</row>
    <row r="19" spans="1:38" ht="16.5" customHeight="1" thickBo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</row>
    <row r="20" spans="1:38" ht="16.5" customHeight="1">
      <c r="A20" s="188"/>
      <c r="B20" s="252" t="s">
        <v>616</v>
      </c>
      <c r="C20" s="277" t="s">
        <v>287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</row>
    <row r="21" spans="1:38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</row>
    <row r="22" spans="1:38" ht="16.5" customHeight="1">
      <c r="A22" s="188"/>
      <c r="B22" s="250" t="s">
        <v>617</v>
      </c>
      <c r="C22" s="228" t="s">
        <v>287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</row>
    <row r="23" spans="1:38" ht="16.5" customHeight="1" thickBo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</row>
    <row r="24" spans="1:38" ht="16.5" customHeight="1" thickBo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</row>
    <row r="25" spans="1:38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</row>
    <row r="26" spans="1:38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</row>
    <row r="27" spans="1:38" ht="16.5" customHeight="1">
      <c r="A27" s="188"/>
      <c r="B27" s="254" t="s">
        <v>616</v>
      </c>
      <c r="C27" s="240" t="s">
        <v>288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</row>
    <row r="28" spans="1:38" ht="16.5" customHeight="1">
      <c r="A28" s="188"/>
      <c r="B28" s="248"/>
      <c r="C28" s="241" t="s">
        <v>289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</row>
    <row r="29" spans="1:38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</row>
    <row r="30" spans="1:38" ht="16.5" customHeight="1">
      <c r="A30" s="188"/>
      <c r="B30" s="250" t="s">
        <v>617</v>
      </c>
      <c r="C30" s="228" t="s">
        <v>626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</row>
    <row r="31" spans="1:38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</row>
    <row r="32" spans="1:38" ht="16.5" customHeight="1" thickBo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</row>
    <row r="33" spans="1:38" ht="16.5" customHeight="1" thickBo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</row>
    <row r="34" spans="1:38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</row>
    <row r="35" spans="1:38" ht="16.5" customHeight="1">
      <c r="A35" s="188"/>
      <c r="B35" s="254" t="s">
        <v>616</v>
      </c>
      <c r="C35" s="240" t="s">
        <v>291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</row>
    <row r="36" spans="1:38" ht="16.5" customHeight="1">
      <c r="A36" s="188"/>
      <c r="B36" s="248"/>
      <c r="C36" s="241" t="s">
        <v>292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</row>
    <row r="37" spans="1:38" ht="16.5" customHeight="1">
      <c r="A37" s="188"/>
      <c r="B37" s="249"/>
      <c r="C37" s="225" t="s">
        <v>293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</row>
    <row r="38" spans="1:38" ht="16.5" customHeight="1">
      <c r="A38" s="188"/>
      <c r="B38" s="250" t="s">
        <v>617</v>
      </c>
      <c r="C38" s="228" t="s">
        <v>294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</row>
    <row r="39" spans="1:38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</row>
    <row r="40" spans="1:38" ht="16.5" customHeight="1" thickBo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</row>
    <row r="41" spans="1:38" ht="16.5" customHeight="1" thickBo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</row>
    <row r="42" spans="1:38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</row>
    <row r="43" spans="1:38" ht="16.5" customHeight="1" thickBo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</row>
    <row r="44" spans="1:38" ht="16.5" customHeight="1">
      <c r="A44" s="188"/>
      <c r="B44" s="247" t="s">
        <v>616</v>
      </c>
      <c r="C44" s="197" t="s">
        <v>151</v>
      </c>
      <c r="D44" s="246" t="s">
        <v>618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</row>
    <row r="45" spans="1:38" ht="16.5" customHeight="1">
      <c r="A45" s="188"/>
      <c r="B45" s="249"/>
      <c r="C45" s="198" t="s">
        <v>152</v>
      </c>
      <c r="D45" s="266" t="s">
        <v>296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</row>
    <row r="46" spans="1:38" ht="16.5" customHeight="1">
      <c r="A46" s="188"/>
      <c r="B46" s="250" t="s">
        <v>617</v>
      </c>
      <c r="C46" s="199" t="s">
        <v>151</v>
      </c>
      <c r="D46" s="269" t="s">
        <v>297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</row>
    <row r="47" spans="1:38" ht="16.5" customHeight="1" thickBot="1">
      <c r="A47" s="188"/>
      <c r="B47" s="251"/>
      <c r="C47" s="200" t="s">
        <v>152</v>
      </c>
      <c r="D47" s="310" t="s">
        <v>208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</row>
    <row r="48" spans="1:38" ht="16.5" customHeight="1" thickBo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</row>
    <row r="49" spans="1:38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</row>
    <row r="50" spans="1:38" ht="16.5" customHeight="1">
      <c r="A50" s="188"/>
      <c r="B50" s="254" t="s">
        <v>616</v>
      </c>
      <c r="C50" s="240" t="s">
        <v>298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</row>
    <row r="51" spans="1:38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</row>
    <row r="52" spans="1:38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</row>
    <row r="53" spans="1:38" ht="16.5" customHeight="1">
      <c r="A53" s="188"/>
      <c r="B53" s="250" t="s">
        <v>617</v>
      </c>
      <c r="C53" s="228" t="s">
        <v>299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</row>
    <row r="54" spans="1:38" ht="16.5" customHeight="1">
      <c r="A54" s="188"/>
      <c r="B54" s="248"/>
      <c r="C54" s="231" t="s">
        <v>300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</row>
    <row r="55" spans="1:38" ht="16.5" customHeight="1" thickBot="1">
      <c r="A55" s="188"/>
      <c r="B55" s="251"/>
      <c r="C55" s="234" t="s">
        <v>301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</row>
    <row r="56" spans="1:38" ht="16.5" customHeight="1" thickBo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</row>
    <row r="57" spans="1:38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</row>
    <row r="58" spans="1:38" ht="16.5" customHeight="1">
      <c r="A58" s="188"/>
      <c r="B58" s="254" t="s">
        <v>616</v>
      </c>
      <c r="C58" s="240" t="s">
        <v>302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</row>
    <row r="59" spans="1:38" ht="16.5" customHeight="1">
      <c r="A59" s="188"/>
      <c r="B59" s="248"/>
      <c r="C59" s="241" t="s">
        <v>303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</row>
    <row r="60" spans="1:38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</row>
    <row r="61" spans="1:38" ht="16.5" customHeight="1">
      <c r="A61" s="188"/>
      <c r="B61" s="250" t="s">
        <v>617</v>
      </c>
      <c r="C61" s="228" t="s">
        <v>304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</row>
    <row r="62" spans="1:38" ht="16.5" customHeight="1">
      <c r="A62" s="188"/>
      <c r="B62" s="248"/>
      <c r="C62" s="231" t="s">
        <v>627</v>
      </c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</row>
    <row r="63" spans="1:38" ht="16.5" customHeight="1" thickBo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</row>
    <row r="64" spans="1:38" ht="16.5" customHeight="1" thickBo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</row>
    <row r="65" spans="1:38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</row>
    <row r="66" spans="1:38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</row>
    <row r="67" spans="1:38" ht="16.5" customHeight="1">
      <c r="A67" s="188"/>
      <c r="B67" s="254" t="s">
        <v>616</v>
      </c>
      <c r="C67" s="240" t="s">
        <v>628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</row>
    <row r="68" spans="1:38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</row>
    <row r="69" spans="1:38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</row>
    <row r="70" spans="1:38" ht="16.5" customHeight="1">
      <c r="A70" s="188"/>
      <c r="B70" s="250" t="s">
        <v>617</v>
      </c>
      <c r="C70" s="228" t="s">
        <v>307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</row>
    <row r="71" spans="1:38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</row>
    <row r="72" spans="1:38" ht="16.5" customHeight="1" thickBo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</row>
    <row r="73" spans="1:38" ht="16.5" customHeight="1" thickBo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</row>
    <row r="74" spans="1:38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</row>
    <row r="75" spans="1:38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</row>
    <row r="76" spans="1:38" ht="16.5" customHeight="1" thickBo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</row>
    <row r="77" spans="1:38" ht="16.5" customHeight="1" thickBo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</row>
    <row r="78" spans="1:38" ht="16.5" customHeight="1" thickBo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</row>
    <row r="79" spans="1:38" ht="16.5" customHeight="1">
      <c r="A79" s="188"/>
      <c r="B79" s="252" t="s">
        <v>616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</row>
    <row r="80" spans="1:38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</row>
    <row r="81" spans="1:38" ht="16.5" customHeight="1">
      <c r="A81" s="188"/>
      <c r="B81" s="250" t="s">
        <v>617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</row>
    <row r="82" spans="1:38" ht="16.5" customHeight="1" thickBo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</row>
    <row r="83" spans="1:38" ht="16.5" customHeight="1" thickBo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</row>
    <row r="84" spans="1:38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</row>
    <row r="85" spans="1:38" ht="16.5" customHeight="1">
      <c r="A85" s="188"/>
      <c r="B85" s="254" t="s">
        <v>616</v>
      </c>
      <c r="C85" s="240" t="s">
        <v>308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</row>
    <row r="86" spans="1:38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</row>
    <row r="87" spans="1:38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</row>
    <row r="88" spans="1:38" ht="16.5" customHeight="1">
      <c r="A88" s="188"/>
      <c r="B88" s="250" t="s">
        <v>617</v>
      </c>
      <c r="C88" s="228" t="s">
        <v>210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</row>
    <row r="89" spans="1:38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</row>
    <row r="90" spans="1:38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</row>
    <row r="91" spans="1:38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</row>
    <row r="92" spans="1:38" ht="16.5" customHeight="1" thickBo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</row>
    <row r="93" spans="1:38" ht="16.5" customHeight="1" thickBo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</row>
    <row r="94" spans="1:38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</row>
    <row r="95" spans="1:38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</row>
    <row r="96" spans="1:38" ht="16.5" customHeight="1">
      <c r="A96" s="188"/>
      <c r="B96" s="254" t="s">
        <v>616</v>
      </c>
      <c r="C96" s="240" t="s">
        <v>632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</row>
    <row r="97" spans="1:38" ht="16.5" customHeight="1">
      <c r="A97" s="188"/>
      <c r="B97" s="248"/>
      <c r="C97" s="241" t="s">
        <v>633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</row>
    <row r="98" spans="1:38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</row>
    <row r="99" spans="1:38" ht="16.5" customHeight="1">
      <c r="A99" s="188"/>
      <c r="B99" s="250" t="s">
        <v>617</v>
      </c>
      <c r="C99" s="228" t="s">
        <v>310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</row>
    <row r="100" spans="1:38" ht="16.5" customHeight="1">
      <c r="A100" s="188"/>
      <c r="B100" s="248"/>
      <c r="C100" s="231" t="s">
        <v>311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</row>
    <row r="101" spans="1:38" ht="16.5" customHeight="1" thickBot="1">
      <c r="A101" s="188"/>
      <c r="B101" s="251"/>
      <c r="C101" s="234" t="s">
        <v>312</v>
      </c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</row>
    <row r="102" spans="1:38" ht="16.5" customHeight="1" thickBo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</row>
    <row r="103" spans="1:38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</row>
    <row r="104" spans="1:38" ht="16.5" customHeight="1" thickBo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</row>
    <row r="105" spans="1:38" ht="16.5" customHeight="1">
      <c r="A105" s="188"/>
      <c r="B105" s="247" t="s">
        <v>616</v>
      </c>
      <c r="C105" s="277" t="s">
        <v>629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</row>
    <row r="106" spans="1:38" ht="16.5" customHeight="1">
      <c r="A106" s="188"/>
      <c r="B106" s="248"/>
      <c r="C106" s="241" t="s">
        <v>630</v>
      </c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</row>
    <row r="107" spans="1:38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</row>
    <row r="108" spans="1:38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</row>
    <row r="109" spans="1:38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</row>
    <row r="110" spans="1:38" ht="16.5" customHeight="1">
      <c r="A110" s="188"/>
      <c r="B110" s="250" t="s">
        <v>617</v>
      </c>
      <c r="C110" s="228" t="s">
        <v>631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</row>
    <row r="111" spans="1:38" ht="16.5" customHeight="1">
      <c r="A111" s="188"/>
      <c r="B111" s="248"/>
      <c r="C111" s="231" t="s">
        <v>634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</row>
    <row r="112" spans="1:38" ht="16.5" customHeight="1">
      <c r="A112" s="188"/>
      <c r="B112" s="248"/>
      <c r="C112" s="231" t="s">
        <v>635</v>
      </c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</row>
    <row r="113" spans="1:38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</row>
    <row r="114" spans="1:38" ht="16.5" customHeight="1" thickBo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</row>
    <row r="115" spans="1:38" ht="16.5" customHeight="1" thickBo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</row>
    <row r="116" spans="1:38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</row>
    <row r="117" spans="1:38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</row>
    <row r="118" spans="1:38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</row>
    <row r="119" spans="1:38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</row>
    <row r="120" spans="1:38" ht="16.5" customHeight="1" thickBo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</row>
    <row r="121" spans="1:38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</row>
    <row r="122" spans="1:38" ht="16.5" customHeight="1" thickBo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</row>
    <row r="123" spans="1:38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</row>
    <row r="124" spans="1:38" ht="16.5" customHeight="1" thickBo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</row>
    <row r="125" spans="1:38" ht="16.5" customHeight="1">
      <c r="A125" s="188"/>
      <c r="B125" s="252" t="s">
        <v>616</v>
      </c>
      <c r="C125" s="282">
        <v>9</v>
      </c>
      <c r="D125" s="294">
        <v>9</v>
      </c>
      <c r="E125" s="296">
        <v>9</v>
      </c>
      <c r="F125" s="280">
        <v>8</v>
      </c>
      <c r="G125" s="282">
        <f>C125*0.3 + (D125+E125+F125)/3*0.7</f>
        <v>8.7666666666666657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</row>
    <row r="126" spans="1:38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</row>
    <row r="127" spans="1:38" ht="16.5" customHeight="1">
      <c r="A127" s="188"/>
      <c r="B127" s="258" t="s">
        <v>617</v>
      </c>
      <c r="C127" s="284">
        <v>8</v>
      </c>
      <c r="D127" s="285">
        <v>9</v>
      </c>
      <c r="E127" s="287">
        <v>9</v>
      </c>
      <c r="F127" s="289">
        <v>7</v>
      </c>
      <c r="G127" s="284">
        <f>C127*0.3 + (D127+E127+F127)/3*0.7</f>
        <v>8.2333333333333325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</row>
    <row r="128" spans="1:38" ht="16.5" customHeight="1" thickBo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</row>
    <row r="129" spans="1:38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</row>
    <row r="130" spans="1:38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</row>
    <row r="131" spans="1:38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</row>
    <row r="132" spans="1:38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</row>
    <row r="133" spans="1:38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</row>
    <row r="134" spans="1:38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</row>
    <row r="135" spans="1:38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</row>
    <row r="136" spans="1:38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</row>
    <row r="137" spans="1:38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</row>
    <row r="138" spans="1:38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</row>
    <row r="139" spans="1:38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</row>
    <row r="140" spans="1:38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</row>
    <row r="141" spans="1:38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</row>
    <row r="142" spans="1:38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</row>
    <row r="143" spans="1:38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</row>
    <row r="144" spans="1:38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</row>
    <row r="145" spans="1:38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</row>
    <row r="146" spans="1:38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</row>
    <row r="147" spans="1:38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</row>
    <row r="148" spans="1:38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</row>
    <row r="149" spans="1:38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</row>
    <row r="150" spans="1:38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</row>
    <row r="151" spans="1:38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</row>
    <row r="152" spans="1:38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</row>
    <row r="153" spans="1:38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</row>
    <row r="154" spans="1:38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</row>
    <row r="155" spans="1:38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</row>
    <row r="156" spans="1:38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</row>
    <row r="157" spans="1:38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</row>
    <row r="158" spans="1:38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</row>
    <row r="159" spans="1:38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</row>
    <row r="160" spans="1:38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</row>
    <row r="161" spans="1:38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</row>
    <row r="162" spans="1:38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</row>
    <row r="163" spans="1:38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</row>
    <row r="164" spans="1:38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</row>
    <row r="165" spans="1:38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</row>
    <row r="166" spans="1:38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</row>
    <row r="167" spans="1:38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</row>
    <row r="168" spans="1:38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</row>
    <row r="169" spans="1:38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</row>
    <row r="170" spans="1:38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</row>
    <row r="171" spans="1:38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</row>
    <row r="172" spans="1:38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</row>
    <row r="173" spans="1:38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</row>
    <row r="174" spans="1:38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</row>
    <row r="175" spans="1:38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</row>
    <row r="176" spans="1:38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B127:B128"/>
    <mergeCell ref="C127:C128"/>
    <mergeCell ref="D127:D128"/>
    <mergeCell ref="E127:E128"/>
    <mergeCell ref="F127:F128"/>
    <mergeCell ref="G127:G128"/>
    <mergeCell ref="B123:B124"/>
    <mergeCell ref="C123:C124"/>
    <mergeCell ref="D123:F123"/>
    <mergeCell ref="G123:G124"/>
    <mergeCell ref="B125:B126"/>
    <mergeCell ref="C125:C126"/>
    <mergeCell ref="D125:D126"/>
    <mergeCell ref="E125:E126"/>
    <mergeCell ref="F125:F126"/>
    <mergeCell ref="G125:G126"/>
    <mergeCell ref="B116:B120"/>
    <mergeCell ref="C116:O116"/>
    <mergeCell ref="C117:O117"/>
    <mergeCell ref="C118:O118"/>
    <mergeCell ref="C119:O119"/>
    <mergeCell ref="C120:O120"/>
    <mergeCell ref="B110:B114"/>
    <mergeCell ref="C110:O110"/>
    <mergeCell ref="C111:O111"/>
    <mergeCell ref="C112:O112"/>
    <mergeCell ref="C113:O113"/>
    <mergeCell ref="C114:O114"/>
    <mergeCell ref="B105:B109"/>
    <mergeCell ref="C105:O105"/>
    <mergeCell ref="C106:O106"/>
    <mergeCell ref="C107:O107"/>
    <mergeCell ref="C108:O108"/>
    <mergeCell ref="C109:O109"/>
    <mergeCell ref="B99:B101"/>
    <mergeCell ref="C99:O99"/>
    <mergeCell ref="C100:O100"/>
    <mergeCell ref="C101:O101"/>
    <mergeCell ref="C103:O103"/>
    <mergeCell ref="C104:O104"/>
    <mergeCell ref="B91:B92"/>
    <mergeCell ref="C91:O91"/>
    <mergeCell ref="C92:O92"/>
    <mergeCell ref="C94:O94"/>
    <mergeCell ref="B96:B98"/>
    <mergeCell ref="C96:O96"/>
    <mergeCell ref="C97:O97"/>
    <mergeCell ref="C98:O98"/>
    <mergeCell ref="B85:B87"/>
    <mergeCell ref="C85:O85"/>
    <mergeCell ref="C86:O86"/>
    <mergeCell ref="C87:O87"/>
    <mergeCell ref="B88:B90"/>
    <mergeCell ref="C88:O88"/>
    <mergeCell ref="C89:O89"/>
    <mergeCell ref="C90:O90"/>
    <mergeCell ref="C78:O78"/>
    <mergeCell ref="B79:B80"/>
    <mergeCell ref="C79:O80"/>
    <mergeCell ref="B81:B82"/>
    <mergeCell ref="C81:O82"/>
    <mergeCell ref="C84:O84"/>
    <mergeCell ref="B70:B72"/>
    <mergeCell ref="C70:O70"/>
    <mergeCell ref="C71:O71"/>
    <mergeCell ref="C72:O72"/>
    <mergeCell ref="B74:B76"/>
    <mergeCell ref="C74:O74"/>
    <mergeCell ref="C75:O75"/>
    <mergeCell ref="C76:O76"/>
    <mergeCell ref="C65:O65"/>
    <mergeCell ref="C66:O66"/>
    <mergeCell ref="B67:B69"/>
    <mergeCell ref="C67:O67"/>
    <mergeCell ref="C68:O68"/>
    <mergeCell ref="C69:O69"/>
    <mergeCell ref="C57:O57"/>
    <mergeCell ref="B58:B60"/>
    <mergeCell ref="C58:O58"/>
    <mergeCell ref="C59:O59"/>
    <mergeCell ref="C60:O60"/>
    <mergeCell ref="B61:B63"/>
    <mergeCell ref="C61:O61"/>
    <mergeCell ref="C62:O62"/>
    <mergeCell ref="C63:O63"/>
    <mergeCell ref="C49:O49"/>
    <mergeCell ref="B50:B52"/>
    <mergeCell ref="C50:O50"/>
    <mergeCell ref="C51:O51"/>
    <mergeCell ref="C52:O52"/>
    <mergeCell ref="B53:B55"/>
    <mergeCell ref="C53:O53"/>
    <mergeCell ref="C54:O54"/>
    <mergeCell ref="C55:O55"/>
    <mergeCell ref="B44:B45"/>
    <mergeCell ref="D44:O44"/>
    <mergeCell ref="D45:O45"/>
    <mergeCell ref="B46:B47"/>
    <mergeCell ref="D46:O46"/>
    <mergeCell ref="D47:O47"/>
    <mergeCell ref="B38:B40"/>
    <mergeCell ref="C38:O38"/>
    <mergeCell ref="C39:O39"/>
    <mergeCell ref="C40:O40"/>
    <mergeCell ref="C42:O42"/>
    <mergeCell ref="C43:O43"/>
    <mergeCell ref="B30:B32"/>
    <mergeCell ref="C30:O30"/>
    <mergeCell ref="C31:O31"/>
    <mergeCell ref="C32:O32"/>
    <mergeCell ref="C34:O34"/>
    <mergeCell ref="B35:B37"/>
    <mergeCell ref="C35:O35"/>
    <mergeCell ref="C36:O36"/>
    <mergeCell ref="C37:O37"/>
    <mergeCell ref="C25:O25"/>
    <mergeCell ref="C26:O26"/>
    <mergeCell ref="B27:B29"/>
    <mergeCell ref="C27:O27"/>
    <mergeCell ref="C28:O28"/>
    <mergeCell ref="C29:O29"/>
    <mergeCell ref="C19:O19"/>
    <mergeCell ref="B20:B21"/>
    <mergeCell ref="C20:O20"/>
    <mergeCell ref="C21:O21"/>
    <mergeCell ref="B22:B23"/>
    <mergeCell ref="C22:O22"/>
    <mergeCell ref="C23:O23"/>
    <mergeCell ref="B13:B17"/>
    <mergeCell ref="C13:O13"/>
    <mergeCell ref="C14:O14"/>
    <mergeCell ref="C15:O15"/>
    <mergeCell ref="C16:O16"/>
    <mergeCell ref="C17:O17"/>
    <mergeCell ref="B2:B3"/>
    <mergeCell ref="C2:O3"/>
    <mergeCell ref="B4:B5"/>
    <mergeCell ref="C4:O5"/>
    <mergeCell ref="B8:B12"/>
    <mergeCell ref="C8:O8"/>
    <mergeCell ref="C10:O10"/>
    <mergeCell ref="C11:O11"/>
    <mergeCell ref="C12:O12"/>
  </mergeCells>
  <phoneticPr fontId="2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79998168889431442"/>
  </sheetPr>
  <dimension ref="B1:AJ1000"/>
  <sheetViews>
    <sheetView workbookViewId="0">
      <selection activeCell="O9" sqref="O9"/>
    </sheetView>
  </sheetViews>
  <sheetFormatPr defaultColWidth="14.42578125" defaultRowHeight="15" customHeight="1"/>
  <cols>
    <col min="1" max="1" width="3.85546875" customWidth="1"/>
    <col min="2" max="7" width="8.7109375" customWidth="1"/>
    <col min="8" max="8" width="10.28515625" bestFit="1" customWidth="1"/>
    <col min="9" max="9" width="13.5703125" bestFit="1" customWidth="1"/>
    <col min="10" max="10" width="10.28515625" bestFit="1" customWidth="1"/>
    <col min="11" max="11" width="8.140625" bestFit="1" customWidth="1"/>
    <col min="12" max="12" width="6" bestFit="1" customWidth="1"/>
    <col min="13" max="36" width="8.7109375" customWidth="1"/>
  </cols>
  <sheetData>
    <row r="1" spans="2:36" ht="16.5" customHeight="1" thickBot="1"/>
    <row r="2" spans="2:36" ht="16.5" customHeight="1">
      <c r="B2" s="380" t="s">
        <v>606</v>
      </c>
      <c r="C2" s="390" t="s">
        <v>19</v>
      </c>
      <c r="D2" s="381"/>
      <c r="E2" s="389" t="s">
        <v>24</v>
      </c>
      <c r="F2" s="381"/>
      <c r="H2" s="16" t="s">
        <v>11</v>
      </c>
      <c r="I2" s="17" t="s">
        <v>12</v>
      </c>
      <c r="J2" s="18" t="s">
        <v>13</v>
      </c>
      <c r="K2" s="19" t="s">
        <v>14</v>
      </c>
      <c r="L2" s="19" t="s">
        <v>15</v>
      </c>
    </row>
    <row r="3" spans="2:36" ht="16.5" customHeight="1" thickBot="1">
      <c r="B3" s="382"/>
      <c r="C3" s="386" t="s">
        <v>607</v>
      </c>
      <c r="D3" s="384" t="s">
        <v>608</v>
      </c>
      <c r="E3" s="383" t="s">
        <v>607</v>
      </c>
      <c r="F3" s="384" t="s">
        <v>608</v>
      </c>
      <c r="H3" s="26" t="s">
        <v>19</v>
      </c>
      <c r="I3" s="27">
        <v>11</v>
      </c>
      <c r="J3" s="28">
        <v>1</v>
      </c>
      <c r="K3" s="29">
        <v>1</v>
      </c>
      <c r="L3" s="30">
        <f>SUM(I3:K3)</f>
        <v>13</v>
      </c>
    </row>
    <row r="4" spans="2:36" ht="16.5" customHeight="1" thickBot="1">
      <c r="B4" s="385">
        <v>1</v>
      </c>
      <c r="C4" s="371" t="s">
        <v>616</v>
      </c>
      <c r="D4" s="372" t="s">
        <v>609</v>
      </c>
      <c r="E4" s="371" t="s">
        <v>616</v>
      </c>
      <c r="F4" s="372" t="s">
        <v>609</v>
      </c>
      <c r="H4" s="37" t="s">
        <v>24</v>
      </c>
      <c r="I4" s="38">
        <v>16</v>
      </c>
      <c r="J4" s="39">
        <v>2</v>
      </c>
      <c r="K4" s="40">
        <v>1</v>
      </c>
      <c r="L4" s="41">
        <f>SUM(I4:K4)</f>
        <v>19</v>
      </c>
      <c r="AI4" s="214"/>
      <c r="AJ4" s="182">
        <f t="array" ref="AJ4">'1300~1320'!G125</f>
        <v>3.7333333333333329</v>
      </c>
    </row>
    <row r="5" spans="2:36" ht="16.5" customHeight="1" thickBot="1">
      <c r="B5" s="386">
        <v>2</v>
      </c>
      <c r="C5" s="373" t="s">
        <v>617</v>
      </c>
      <c r="D5" s="374" t="s">
        <v>610</v>
      </c>
      <c r="E5" s="373" t="s">
        <v>617</v>
      </c>
      <c r="F5" s="374" t="s">
        <v>609</v>
      </c>
      <c r="AI5" s="58"/>
      <c r="AJ5" s="30">
        <f t="array" ref="AJ5">'1300~1320'!G127</f>
        <v>2.8</v>
      </c>
    </row>
    <row r="6" spans="2:36" ht="16.5" customHeight="1">
      <c r="B6" s="386">
        <v>3</v>
      </c>
      <c r="C6" s="373" t="s">
        <v>712</v>
      </c>
      <c r="D6" s="374" t="s">
        <v>611</v>
      </c>
      <c r="E6" s="373" t="s">
        <v>712</v>
      </c>
      <c r="F6" s="374">
        <v>9.82</v>
      </c>
      <c r="H6" s="17" t="s">
        <v>33</v>
      </c>
      <c r="I6" s="49" t="s">
        <v>34</v>
      </c>
      <c r="J6" s="18" t="s">
        <v>35</v>
      </c>
      <c r="K6" s="19" t="s">
        <v>36</v>
      </c>
      <c r="AI6" s="58" t="e">
        <f t="array" ref="AI6">#REF!</f>
        <v>#REF!</v>
      </c>
      <c r="AJ6" s="30" t="e">
        <f t="array" ref="AJ6">#REF!</f>
        <v>#REF!</v>
      </c>
    </row>
    <row r="7" spans="2:36" ht="16.5" customHeight="1">
      <c r="B7" s="386">
        <v>4</v>
      </c>
      <c r="C7" s="373" t="s">
        <v>713</v>
      </c>
      <c r="D7" s="374" t="s">
        <v>612</v>
      </c>
      <c r="E7" s="373" t="s">
        <v>713</v>
      </c>
      <c r="F7" s="374">
        <v>9.6300000000000008</v>
      </c>
      <c r="H7" s="58" t="s">
        <v>19</v>
      </c>
      <c r="I7" s="59">
        <v>14</v>
      </c>
      <c r="J7" s="60">
        <v>5</v>
      </c>
      <c r="K7" s="30">
        <f>I7+J7</f>
        <v>19</v>
      </c>
      <c r="AI7" s="58" t="e">
        <f t="array" ref="AI7">#REF!</f>
        <v>#REF!</v>
      </c>
      <c r="AJ7" s="30" t="e">
        <f t="array" ref="AJ7">#REF!</f>
        <v>#REF!</v>
      </c>
    </row>
    <row r="8" spans="2:36" ht="16.5" customHeight="1" thickBot="1">
      <c r="B8" s="386">
        <v>5</v>
      </c>
      <c r="C8" s="394" t="s">
        <v>714</v>
      </c>
      <c r="D8" s="395" t="s">
        <v>613</v>
      </c>
      <c r="E8" s="373" t="s">
        <v>714</v>
      </c>
      <c r="F8" s="374">
        <v>9.43</v>
      </c>
      <c r="H8" s="406" t="s">
        <v>24</v>
      </c>
      <c r="I8" s="407">
        <v>7</v>
      </c>
      <c r="J8" s="408">
        <v>16</v>
      </c>
      <c r="K8" s="409">
        <f>I8+J8</f>
        <v>23</v>
      </c>
      <c r="AI8" s="58" t="e">
        <f t="array" ref="AI8">#REF!</f>
        <v>#REF!</v>
      </c>
      <c r="AJ8" s="30" t="e">
        <f t="array" ref="AJ8">#REF!</f>
        <v>#REF!</v>
      </c>
    </row>
    <row r="9" spans="2:36" ht="16.5" customHeight="1" thickTop="1" thickBot="1">
      <c r="B9" s="386">
        <v>6</v>
      </c>
      <c r="C9" s="398" t="s">
        <v>715</v>
      </c>
      <c r="D9" s="399">
        <v>7.53</v>
      </c>
      <c r="E9" s="373" t="s">
        <v>715</v>
      </c>
      <c r="F9" s="374" t="s">
        <v>734</v>
      </c>
      <c r="H9" s="410" t="s">
        <v>735</v>
      </c>
      <c r="I9" s="411">
        <f>SUM(I7:I8)</f>
        <v>21</v>
      </c>
      <c r="J9" s="411">
        <f t="shared" ref="J9:K9" si="0">SUM(J7:J8)</f>
        <v>21</v>
      </c>
      <c r="K9" s="405">
        <f t="shared" si="0"/>
        <v>42</v>
      </c>
      <c r="AI9" s="58" t="e">
        <f t="array" ref="AI9">#REF!</f>
        <v>#REF!</v>
      </c>
      <c r="AJ9" s="30" t="e">
        <f t="array" ref="AJ9">#REF!</f>
        <v>#REF!</v>
      </c>
    </row>
    <row r="10" spans="2:36" ht="16.5" customHeight="1">
      <c r="B10" s="387">
        <v>7</v>
      </c>
      <c r="C10" s="398" t="s">
        <v>716</v>
      </c>
      <c r="D10" s="399" t="s">
        <v>615</v>
      </c>
      <c r="E10" s="373" t="s">
        <v>716</v>
      </c>
      <c r="F10" s="374" t="s">
        <v>733</v>
      </c>
      <c r="AI10" s="58" t="e">
        <f t="array" ref="AI10">#REF!</f>
        <v>#REF!</v>
      </c>
      <c r="AJ10" s="30" t="e">
        <f t="array" ref="AJ10">#REF!</f>
        <v>#REF!</v>
      </c>
    </row>
    <row r="11" spans="2:36" ht="16.5" customHeight="1">
      <c r="B11" s="386">
        <v>8</v>
      </c>
      <c r="C11" s="398" t="s">
        <v>717</v>
      </c>
      <c r="D11" s="400">
        <v>6.93</v>
      </c>
      <c r="E11" s="373" t="s">
        <v>717</v>
      </c>
      <c r="F11" s="374">
        <v>9.1199999999999992</v>
      </c>
      <c r="AI11" s="58" t="e">
        <f t="array" ref="AI11">#REF!</f>
        <v>#REF!</v>
      </c>
      <c r="AJ11" s="30" t="e">
        <f t="array" ref="AJ11">#REF!</f>
        <v>#REF!</v>
      </c>
    </row>
    <row r="12" spans="2:36" ht="16.5" customHeight="1" thickBot="1">
      <c r="B12" s="386">
        <v>9</v>
      </c>
      <c r="C12" s="398" t="s">
        <v>718</v>
      </c>
      <c r="D12" s="400">
        <v>6.93</v>
      </c>
      <c r="E12" s="373" t="s">
        <v>718</v>
      </c>
      <c r="F12" s="374">
        <v>9.07</v>
      </c>
      <c r="AI12" s="12" t="e">
        <f t="shared" ref="AI12:AJ12" si="1">#REF!</f>
        <v>#REF!</v>
      </c>
      <c r="AJ12" s="41" t="e">
        <f t="shared" si="1"/>
        <v>#REF!</v>
      </c>
    </row>
    <row r="13" spans="2:36" ht="16.5" customHeight="1">
      <c r="B13" s="386">
        <v>10</v>
      </c>
      <c r="C13" s="398" t="s">
        <v>719</v>
      </c>
      <c r="D13" s="400">
        <v>6.93</v>
      </c>
      <c r="E13" s="373" t="s">
        <v>719</v>
      </c>
      <c r="F13" s="374">
        <v>8.9600000000000009</v>
      </c>
      <c r="AI13" s="14"/>
      <c r="AJ13" s="14"/>
    </row>
    <row r="14" spans="2:36" ht="16.5" customHeight="1" thickBot="1">
      <c r="B14" s="386">
        <v>11</v>
      </c>
      <c r="C14" s="398" t="s">
        <v>720</v>
      </c>
      <c r="D14" s="400">
        <v>6.13</v>
      </c>
      <c r="E14" s="373" t="s">
        <v>720</v>
      </c>
      <c r="F14" s="374">
        <v>8.24</v>
      </c>
    </row>
    <row r="15" spans="2:36" ht="16.5" customHeight="1">
      <c r="B15" s="386">
        <v>12</v>
      </c>
      <c r="C15" s="398" t="s">
        <v>721</v>
      </c>
      <c r="D15" s="399">
        <v>5.83</v>
      </c>
      <c r="E15" s="373" t="s">
        <v>721</v>
      </c>
      <c r="F15" s="392">
        <v>8.1</v>
      </c>
      <c r="AI15" s="214" t="e">
        <f t="array" ref="AI15">#REF!</f>
        <v>#REF!</v>
      </c>
      <c r="AJ15" s="182" t="e">
        <f t="array" ref="AJ15">#REF!</f>
        <v>#REF!</v>
      </c>
    </row>
    <row r="16" spans="2:36" ht="16.5" customHeight="1">
      <c r="B16" s="386">
        <v>13</v>
      </c>
      <c r="C16" s="398" t="s">
        <v>722</v>
      </c>
      <c r="D16" s="399">
        <v>5.83</v>
      </c>
      <c r="E16" s="393" t="s">
        <v>722</v>
      </c>
      <c r="F16" s="392">
        <v>7.83</v>
      </c>
      <c r="AI16" s="58" t="e">
        <f t="array" ref="AI16">#REF!</f>
        <v>#REF!</v>
      </c>
      <c r="AJ16" s="30" t="e">
        <f t="array" ref="AJ16">#REF!</f>
        <v>#REF!</v>
      </c>
    </row>
    <row r="17" spans="2:36" ht="16.5" customHeight="1">
      <c r="B17" s="386">
        <v>14</v>
      </c>
      <c r="C17" s="398" t="s">
        <v>723</v>
      </c>
      <c r="D17" s="399">
        <v>5.83</v>
      </c>
      <c r="E17" s="393" t="s">
        <v>723</v>
      </c>
      <c r="F17" s="392">
        <v>7.83</v>
      </c>
      <c r="AI17" s="58" t="e">
        <f t="array" ref="AI17">#REF!</f>
        <v>#REF!</v>
      </c>
      <c r="AJ17" s="30" t="e">
        <f t="array" ref="AJ17">#REF!</f>
        <v>#REF!</v>
      </c>
    </row>
    <row r="18" spans="2:36" ht="16.5" customHeight="1">
      <c r="B18" s="386">
        <v>15</v>
      </c>
      <c r="C18" s="398" t="s">
        <v>724</v>
      </c>
      <c r="D18" s="399">
        <v>4.96</v>
      </c>
      <c r="E18" s="393" t="s">
        <v>724</v>
      </c>
      <c r="F18" s="391">
        <v>7.24</v>
      </c>
      <c r="AI18" s="58" t="e">
        <f t="array" ref="AI18">#REF!</f>
        <v>#REF!</v>
      </c>
      <c r="AJ18" s="30" t="e">
        <f t="array" ref="AJ18">#REF!</f>
        <v>#REF!</v>
      </c>
    </row>
    <row r="19" spans="2:36" ht="16.5" customHeight="1" thickBot="1">
      <c r="B19" s="386">
        <v>16</v>
      </c>
      <c r="C19" s="398" t="s">
        <v>725</v>
      </c>
      <c r="D19" s="399">
        <v>4.96</v>
      </c>
      <c r="E19" s="396" t="s">
        <v>725</v>
      </c>
      <c r="F19" s="397">
        <v>7.24</v>
      </c>
      <c r="K19" s="376"/>
      <c r="AI19" s="58" t="e">
        <f t="array" ref="AI19">#REF!</f>
        <v>#REF!</v>
      </c>
      <c r="AJ19" s="30" t="e">
        <f t="array" ref="AJ19">#REF!</f>
        <v>#REF!</v>
      </c>
    </row>
    <row r="20" spans="2:36" ht="16.5" customHeight="1" thickTop="1">
      <c r="B20" s="386">
        <v>17</v>
      </c>
      <c r="C20" s="398" t="s">
        <v>726</v>
      </c>
      <c r="D20" s="399">
        <v>2.42</v>
      </c>
      <c r="E20" s="401" t="s">
        <v>726</v>
      </c>
      <c r="F20" s="402">
        <v>6.93</v>
      </c>
      <c r="AI20" s="58" t="e">
        <f t="array" ref="AI20">#REF!</f>
        <v>#REF!</v>
      </c>
      <c r="AJ20" s="30" t="e">
        <f t="array" ref="AJ20">#REF!</f>
        <v>#REF!</v>
      </c>
    </row>
    <row r="21" spans="2:36" ht="16.5" customHeight="1">
      <c r="B21" s="386">
        <v>18</v>
      </c>
      <c r="C21" s="398" t="s">
        <v>727</v>
      </c>
      <c r="D21" s="399">
        <v>2.42</v>
      </c>
      <c r="E21" s="401" t="s">
        <v>727</v>
      </c>
      <c r="F21" s="402">
        <v>6.93</v>
      </c>
      <c r="AI21" s="58" t="e">
        <f t="array" ref="AI21">#REF!</f>
        <v>#REF!</v>
      </c>
      <c r="AJ21" s="30" t="e">
        <f t="array" ref="AJ21">#REF!</f>
        <v>#REF!</v>
      </c>
    </row>
    <row r="22" spans="2:36" ht="16.5" customHeight="1">
      <c r="B22" s="386">
        <v>19</v>
      </c>
      <c r="C22" s="375"/>
      <c r="D22" s="378"/>
      <c r="E22" s="401" t="s">
        <v>728</v>
      </c>
      <c r="F22" s="402">
        <v>6.13</v>
      </c>
      <c r="AI22" s="58" t="e">
        <f t="array" ref="AI22">#REF!</f>
        <v>#REF!</v>
      </c>
      <c r="AJ22" s="30" t="e">
        <f t="array" ref="AJ22">#REF!</f>
        <v>#REF!</v>
      </c>
    </row>
    <row r="23" spans="2:36" ht="16.5" customHeight="1">
      <c r="B23" s="386">
        <v>20</v>
      </c>
      <c r="C23" s="375"/>
      <c r="D23" s="378"/>
      <c r="E23" s="401" t="s">
        <v>729</v>
      </c>
      <c r="F23" s="402">
        <v>5.83</v>
      </c>
      <c r="AI23" s="58" t="e">
        <f t="array" ref="AI23">#REF!</f>
        <v>#REF!</v>
      </c>
      <c r="AJ23" s="30" t="e">
        <f t="array" ref="AJ23">#REF!</f>
        <v>#REF!</v>
      </c>
    </row>
    <row r="24" spans="2:36" ht="16.5" customHeight="1">
      <c r="B24" s="386">
        <v>21</v>
      </c>
      <c r="C24" s="375"/>
      <c r="D24" s="378"/>
      <c r="E24" s="401" t="s">
        <v>730</v>
      </c>
      <c r="F24" s="402">
        <v>4.96</v>
      </c>
      <c r="AI24" s="58" t="e">
        <f t="array" ref="AI24">#REF!</f>
        <v>#REF!</v>
      </c>
      <c r="AJ24" s="30" t="e">
        <f t="array" ref="AJ24">#REF!</f>
        <v>#REF!</v>
      </c>
    </row>
    <row r="25" spans="2:36" ht="16.5" customHeight="1">
      <c r="B25" s="386">
        <v>22</v>
      </c>
      <c r="C25" s="375"/>
      <c r="D25" s="378"/>
      <c r="E25" s="401" t="s">
        <v>731</v>
      </c>
      <c r="F25" s="402">
        <v>2.42</v>
      </c>
      <c r="AI25" s="58" t="e">
        <f t="array" ref="AI25">#REF!</f>
        <v>#REF!</v>
      </c>
      <c r="AJ25" s="30" t="e">
        <f t="array" ref="AJ25">#REF!</f>
        <v>#REF!</v>
      </c>
    </row>
    <row r="26" spans="2:36" ht="16.5" customHeight="1" thickBot="1">
      <c r="B26" s="388">
        <v>23</v>
      </c>
      <c r="C26" s="377"/>
      <c r="D26" s="379"/>
      <c r="E26" s="403" t="s">
        <v>732</v>
      </c>
      <c r="F26" s="404">
        <v>2.42</v>
      </c>
      <c r="AI26" s="12" t="e">
        <f t="array" ref="AI26">#REF!</f>
        <v>#REF!</v>
      </c>
      <c r="AJ26" s="41" t="e">
        <f t="array" ref="AJ26">#REF!</f>
        <v>#REF!</v>
      </c>
    </row>
    <row r="27" spans="2:36" ht="16.5" customHeight="1"/>
    <row r="28" spans="2:36" ht="16.5" customHeight="1"/>
    <row r="29" spans="2:36" ht="16.5" customHeight="1"/>
    <row r="30" spans="2:36" ht="16.5" customHeight="1"/>
    <row r="31" spans="2:36" ht="16.5" customHeight="1"/>
    <row r="32" spans="2:3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sortState xmlns:xlrd2="http://schemas.microsoft.com/office/spreadsheetml/2017/richdata2" ref="F4:F14">
    <sortCondition ref="F4:F14"/>
  </sortState>
  <mergeCells count="3">
    <mergeCell ref="B2:B3"/>
    <mergeCell ref="C2:D2"/>
    <mergeCell ref="E2:F2"/>
  </mergeCells>
  <phoneticPr fontId="23" type="noConversion"/>
  <pageMargins left="0.7" right="0.7" top="0.75" bottom="0.75" header="0" footer="0"/>
  <pageSetup orientation="landscape"/>
  <ignoredErrors>
    <ignoredError sqref="D4:D8 F4:F10 D10:D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.28515625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18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/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18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/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18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/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18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/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18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/>
      <c r="C38" s="228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18</v>
      </c>
      <c r="C44" s="197" t="s">
        <v>151</v>
      </c>
      <c r="D44" s="246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/>
      <c r="C46" s="199" t="s">
        <v>151</v>
      </c>
      <c r="D46" s="269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18</v>
      </c>
      <c r="C50" s="24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/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18</v>
      </c>
      <c r="C58" s="240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/>
      <c r="C61" s="228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18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/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160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18</v>
      </c>
      <c r="C79" s="246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9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266" t="s">
        <v>166</v>
      </c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8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/>
      <c r="C81" s="269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8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270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2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18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/>
      <c r="C88" s="228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18</v>
      </c>
      <c r="C96" s="240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7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7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7" ht="16.5" customHeight="1">
      <c r="A99" s="188"/>
      <c r="B99" s="250"/>
      <c r="C99" s="228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7" ht="16.5" customHeight="1">
      <c r="A100" s="188"/>
      <c r="B100" s="248"/>
      <c r="C100" s="231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7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7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7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7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7" ht="16.5" customHeight="1">
      <c r="A105" s="188"/>
      <c r="B105" s="247" t="s">
        <v>18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7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 spans="1:27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 spans="1:27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 spans="1:27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 spans="1:27" ht="16.5" customHeight="1">
      <c r="A110" s="188"/>
      <c r="B110" s="250"/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 spans="1:27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 spans="1:27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 spans="1:27" ht="16.5" customHeight="1">
      <c r="A116" s="188"/>
      <c r="B116" s="255" t="s">
        <v>178</v>
      </c>
      <c r="C116" s="278" t="s">
        <v>179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 spans="1:27" ht="16.5" customHeight="1">
      <c r="A117" s="188"/>
      <c r="B117" s="248"/>
      <c r="C117" s="279" t="s">
        <v>180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 spans="1:27" ht="16.5" customHeight="1">
      <c r="A118" s="188"/>
      <c r="B118" s="248"/>
      <c r="C118" s="279" t="s">
        <v>181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 spans="1:27" ht="16.5" customHeight="1">
      <c r="A119" s="188"/>
      <c r="B119" s="248"/>
      <c r="C119" s="279" t="s">
        <v>182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 spans="1:27" ht="16.5" customHeight="1">
      <c r="A120" s="188"/>
      <c r="B120" s="251"/>
      <c r="C120" s="291" t="s">
        <v>183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29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08" t="s">
        <v>1</v>
      </c>
      <c r="E124" s="209" t="s">
        <v>5</v>
      </c>
      <c r="F124" s="210" t="s">
        <v>3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18</v>
      </c>
      <c r="C125" s="282"/>
      <c r="D125" s="294">
        <v>4</v>
      </c>
      <c r="E125" s="296">
        <v>4</v>
      </c>
      <c r="F125" s="280">
        <v>4</v>
      </c>
      <c r="G125" s="282">
        <f>C125*0.3 + (D125+E125+F125)/3*0.7</f>
        <v>2.8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/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3:O113"/>
    <mergeCell ref="C114:O114"/>
    <mergeCell ref="C116:O116"/>
    <mergeCell ref="C117:O117"/>
    <mergeCell ref="C118:O118"/>
    <mergeCell ref="C119:O119"/>
    <mergeCell ref="F125:F126"/>
    <mergeCell ref="G125:G126"/>
    <mergeCell ref="C127:C128"/>
    <mergeCell ref="D127:D128"/>
    <mergeCell ref="E127:E128"/>
    <mergeCell ref="F127:F128"/>
    <mergeCell ref="G127:G128"/>
    <mergeCell ref="C120:O120"/>
    <mergeCell ref="C123:C124"/>
    <mergeCell ref="D123:F123"/>
    <mergeCell ref="G123:G124"/>
    <mergeCell ref="C125:C126"/>
    <mergeCell ref="D125:D126"/>
    <mergeCell ref="E125:E126"/>
    <mergeCell ref="C104:O104"/>
    <mergeCell ref="C105:O105"/>
    <mergeCell ref="C106:O106"/>
    <mergeCell ref="C107:O107"/>
    <mergeCell ref="C108:O108"/>
    <mergeCell ref="C109:O109"/>
    <mergeCell ref="C110:O110"/>
    <mergeCell ref="C111:O111"/>
    <mergeCell ref="C112:O112"/>
    <mergeCell ref="C92:O92"/>
    <mergeCell ref="C94:O94"/>
    <mergeCell ref="C96:O96"/>
    <mergeCell ref="C97:O97"/>
    <mergeCell ref="C98:O98"/>
    <mergeCell ref="C99:O99"/>
    <mergeCell ref="C100:O100"/>
    <mergeCell ref="C101:O101"/>
    <mergeCell ref="C103:O103"/>
    <mergeCell ref="C82:O82"/>
    <mergeCell ref="C84:O84"/>
    <mergeCell ref="C85:O85"/>
    <mergeCell ref="C86:O86"/>
    <mergeCell ref="C87:O87"/>
    <mergeCell ref="C88:O88"/>
    <mergeCell ref="C89:O89"/>
    <mergeCell ref="C90:O90"/>
    <mergeCell ref="C91:O91"/>
    <mergeCell ref="C71:O71"/>
    <mergeCell ref="C72:O72"/>
    <mergeCell ref="C74:O74"/>
    <mergeCell ref="C75:O75"/>
    <mergeCell ref="C76:O76"/>
    <mergeCell ref="C78:O78"/>
    <mergeCell ref="C79:O79"/>
    <mergeCell ref="C80:O80"/>
    <mergeCell ref="C81:O81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A97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7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</row>
    <row r="2" spans="1:27" ht="16.5" customHeight="1">
      <c r="A2" s="188"/>
      <c r="B2" s="252" t="s">
        <v>22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</row>
    <row r="3" spans="1:27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</row>
    <row r="4" spans="1:27" ht="16.5" customHeight="1">
      <c r="A4" s="188"/>
      <c r="B4" s="250" t="s">
        <v>23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</row>
    <row r="5" spans="1:27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</row>
    <row r="6" spans="1:27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</row>
    <row r="7" spans="1:27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</row>
    <row r="8" spans="1:27" ht="16.5" customHeight="1">
      <c r="A8" s="188"/>
      <c r="B8" s="247" t="s">
        <v>22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</row>
    <row r="9" spans="1:27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</row>
    <row r="10" spans="1:27" ht="16.5" customHeight="1">
      <c r="A10" s="188"/>
      <c r="B10" s="248"/>
      <c r="C10" s="241" t="s">
        <v>187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</row>
    <row r="11" spans="1:27" ht="16.5" customHeight="1">
      <c r="A11" s="188"/>
      <c r="B11" s="248"/>
      <c r="C11" s="241" t="s">
        <v>188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</row>
    <row r="12" spans="1:27" ht="16.5" customHeight="1">
      <c r="A12" s="188"/>
      <c r="B12" s="249"/>
      <c r="C12" s="225" t="s">
        <v>189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</row>
    <row r="13" spans="1:27" ht="16.5" customHeight="1">
      <c r="A13" s="188"/>
      <c r="B13" s="250" t="s">
        <v>23</v>
      </c>
      <c r="C13" s="228" t="s">
        <v>190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</row>
    <row r="14" spans="1:27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</row>
    <row r="15" spans="1:27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</row>
    <row r="16" spans="1:27" ht="16.5" customHeight="1">
      <c r="A16" s="188"/>
      <c r="B16" s="248"/>
      <c r="C16" s="231" t="s">
        <v>191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</row>
    <row r="17" spans="1:27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</row>
    <row r="18" spans="1:27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</row>
    <row r="19" spans="1:27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</row>
    <row r="20" spans="1:27" ht="16.5" customHeight="1">
      <c r="A20" s="188"/>
      <c r="B20" s="252" t="s">
        <v>22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</row>
    <row r="21" spans="1:27" ht="16.5" customHeight="1">
      <c r="A21" s="188"/>
      <c r="B21" s="253"/>
      <c r="C21" s="225" t="s">
        <v>192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</row>
    <row r="22" spans="1:27" ht="16.5" customHeight="1">
      <c r="A22" s="188"/>
      <c r="B22" s="250" t="s">
        <v>23</v>
      </c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</row>
    <row r="23" spans="1:27" ht="16.5" customHeight="1">
      <c r="A23" s="188"/>
      <c r="B23" s="251"/>
      <c r="C23" s="234" t="s">
        <v>193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</row>
    <row r="24" spans="1:27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</row>
    <row r="25" spans="1:27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</row>
    <row r="26" spans="1:27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</row>
    <row r="27" spans="1:27" ht="16.5" customHeight="1">
      <c r="A27" s="188"/>
      <c r="B27" s="254" t="s">
        <v>22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</row>
    <row r="28" spans="1:27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</row>
    <row r="29" spans="1:27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</row>
    <row r="30" spans="1:27" ht="16.5" customHeight="1">
      <c r="A30" s="188"/>
      <c r="B30" s="250" t="s">
        <v>23</v>
      </c>
      <c r="C30" s="228" t="s">
        <v>194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</row>
    <row r="31" spans="1:27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</row>
    <row r="32" spans="1:27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</row>
    <row r="33" spans="1:27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</row>
    <row r="34" spans="1:27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</row>
    <row r="35" spans="1:27" ht="16.5" customHeight="1">
      <c r="A35" s="188"/>
      <c r="B35" s="254" t="s">
        <v>22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</row>
    <row r="36" spans="1:27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</row>
    <row r="37" spans="1:27" ht="16.5" customHeight="1">
      <c r="A37" s="188"/>
      <c r="B37" s="249"/>
      <c r="C37" s="225" t="s">
        <v>195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</row>
    <row r="38" spans="1:27" ht="16.5" customHeight="1">
      <c r="A38" s="188"/>
      <c r="B38" s="250" t="s">
        <v>23</v>
      </c>
      <c r="C38" s="228" t="s">
        <v>196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</row>
    <row r="39" spans="1:27" ht="16.5" customHeight="1">
      <c r="A39" s="188"/>
      <c r="B39" s="248"/>
      <c r="C39" s="231" t="s">
        <v>197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</row>
    <row r="40" spans="1:27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</row>
    <row r="41" spans="1:27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</row>
    <row r="42" spans="1:27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</row>
    <row r="43" spans="1:27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</row>
    <row r="44" spans="1:27" ht="16.5" customHeight="1">
      <c r="A44" s="188"/>
      <c r="B44" s="247" t="s">
        <v>22</v>
      </c>
      <c r="C44" s="197" t="s">
        <v>151</v>
      </c>
      <c r="D44" s="246" t="s">
        <v>198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</row>
    <row r="45" spans="1:27" ht="16.5" customHeight="1">
      <c r="A45" s="188"/>
      <c r="B45" s="249"/>
      <c r="C45" s="198" t="s">
        <v>152</v>
      </c>
      <c r="D45" s="266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</row>
    <row r="46" spans="1:27" ht="16.5" customHeight="1">
      <c r="A46" s="188"/>
      <c r="B46" s="250" t="s">
        <v>23</v>
      </c>
      <c r="C46" s="199" t="s">
        <v>151</v>
      </c>
      <c r="D46" s="269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</row>
    <row r="47" spans="1:27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</row>
    <row r="48" spans="1:27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</row>
    <row r="49" spans="1:27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</row>
    <row r="50" spans="1:27" ht="16.5" customHeight="1">
      <c r="A50" s="188"/>
      <c r="B50" s="254" t="s">
        <v>22</v>
      </c>
      <c r="C50" s="240" t="s">
        <v>199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</row>
    <row r="51" spans="1:27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</row>
    <row r="52" spans="1:27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</row>
    <row r="53" spans="1:27" ht="16.5" customHeight="1">
      <c r="A53" s="188"/>
      <c r="B53" s="250" t="s">
        <v>23</v>
      </c>
      <c r="C53" s="228" t="s">
        <v>200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</row>
    <row r="54" spans="1:27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</row>
    <row r="55" spans="1:27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</row>
    <row r="56" spans="1:27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</row>
    <row r="57" spans="1:27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</row>
    <row r="58" spans="1:27" ht="16.5" customHeight="1">
      <c r="A58" s="188"/>
      <c r="B58" s="254" t="s">
        <v>22</v>
      </c>
      <c r="C58" s="240" t="s">
        <v>201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</row>
    <row r="59" spans="1:27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</row>
    <row r="60" spans="1:27" ht="16.5" customHeight="1">
      <c r="A60" s="188"/>
      <c r="B60" s="249"/>
      <c r="C60" s="225" t="s">
        <v>202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</row>
    <row r="61" spans="1:27" ht="16.5" customHeight="1">
      <c r="A61" s="188"/>
      <c r="B61" s="250" t="s">
        <v>23</v>
      </c>
      <c r="C61" s="228" t="s">
        <v>203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</row>
    <row r="62" spans="1:27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</row>
    <row r="63" spans="1:27" ht="16.5" customHeight="1">
      <c r="A63" s="188"/>
      <c r="B63" s="251"/>
      <c r="C63" s="234" t="s">
        <v>204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</row>
    <row r="64" spans="1:27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</row>
    <row r="65" spans="1:27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</row>
    <row r="66" spans="1:27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</row>
    <row r="67" spans="1:27" ht="16.5" customHeight="1">
      <c r="A67" s="188"/>
      <c r="B67" s="254" t="s">
        <v>22</v>
      </c>
      <c r="C67" s="240" t="s">
        <v>205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</row>
    <row r="68" spans="1:27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</row>
    <row r="69" spans="1:27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</row>
    <row r="70" spans="1:27" ht="16.5" customHeight="1">
      <c r="A70" s="188"/>
      <c r="B70" s="250" t="s">
        <v>23</v>
      </c>
      <c r="C70" s="228" t="s">
        <v>206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</row>
    <row r="71" spans="1:27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</row>
    <row r="72" spans="1:27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</row>
    <row r="73" spans="1:27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</row>
    <row r="74" spans="1:27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</row>
    <row r="75" spans="1:27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</row>
    <row r="76" spans="1:27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</row>
    <row r="77" spans="1:27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</row>
    <row r="78" spans="1:27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</row>
    <row r="79" spans="1:27" ht="16.5" customHeight="1">
      <c r="A79" s="188"/>
      <c r="B79" s="252" t="s">
        <v>22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</row>
    <row r="80" spans="1:27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</row>
    <row r="81" spans="1:27" ht="16.5" customHeight="1">
      <c r="A81" s="188"/>
      <c r="B81" s="250" t="s">
        <v>23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</row>
    <row r="82" spans="1:27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</row>
    <row r="83" spans="1:27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</row>
    <row r="84" spans="1:27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</row>
    <row r="85" spans="1:27" ht="16.5" customHeight="1">
      <c r="A85" s="188"/>
      <c r="B85" s="254" t="s">
        <v>22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</row>
    <row r="86" spans="1:27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</row>
    <row r="87" spans="1:27" ht="16.5" customHeight="1">
      <c r="A87" s="188"/>
      <c r="B87" s="249"/>
      <c r="C87" s="225" t="s">
        <v>209</v>
      </c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</row>
    <row r="88" spans="1:27" ht="16.5" customHeight="1">
      <c r="A88" s="188"/>
      <c r="B88" s="250" t="s">
        <v>23</v>
      </c>
      <c r="C88" s="228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</row>
    <row r="89" spans="1:27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</row>
    <row r="90" spans="1:27" ht="16.5" customHeight="1">
      <c r="A90" s="188"/>
      <c r="B90" s="249"/>
      <c r="C90" s="273" t="s">
        <v>210</v>
      </c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</row>
    <row r="91" spans="1:27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</row>
    <row r="92" spans="1:27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</row>
    <row r="93" spans="1:27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</row>
    <row r="94" spans="1:27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</row>
    <row r="95" spans="1:27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</row>
    <row r="96" spans="1:27" ht="16.5" customHeight="1">
      <c r="A96" s="188"/>
      <c r="B96" s="254" t="s">
        <v>22</v>
      </c>
      <c r="C96" s="240" t="s">
        <v>211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</row>
    <row r="97" spans="1:27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</row>
    <row r="98" spans="1:27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</row>
    <row r="99" spans="1:27" ht="16.5" customHeight="1">
      <c r="A99" s="188"/>
      <c r="B99" s="250" t="s">
        <v>23</v>
      </c>
      <c r="C99" s="228" t="s">
        <v>212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</row>
    <row r="100" spans="1:27" ht="16.5" customHeight="1">
      <c r="A100" s="188"/>
      <c r="B100" s="248"/>
      <c r="C100" s="231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</row>
    <row r="101" spans="1:27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</row>
    <row r="102" spans="1:27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</row>
    <row r="103" spans="1:27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</row>
    <row r="104" spans="1:27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</row>
    <row r="105" spans="1:27" ht="16.5" customHeight="1">
      <c r="A105" s="188"/>
      <c r="B105" s="247" t="s">
        <v>22</v>
      </c>
      <c r="C105" s="277" t="s">
        <v>213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</row>
    <row r="106" spans="1:27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 spans="1:27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 spans="1:27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 spans="1:27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 spans="1:27" ht="16.5" customHeight="1">
      <c r="A110" s="188"/>
      <c r="B110" s="250" t="s">
        <v>23</v>
      </c>
      <c r="C110" s="228" t="s">
        <v>214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 spans="1:27" ht="16.5" customHeight="1">
      <c r="A111" s="188"/>
      <c r="B111" s="248"/>
      <c r="C111" s="231" t="s">
        <v>215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 spans="1:27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22</v>
      </c>
      <c r="C125" s="282"/>
      <c r="D125" s="294">
        <v>8</v>
      </c>
      <c r="E125" s="296">
        <v>8</v>
      </c>
      <c r="F125" s="280"/>
      <c r="G125" s="282">
        <f>C125*0.3 + (D125+E125+F125)/3*0.7</f>
        <v>3.7333333333333329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23</v>
      </c>
      <c r="C127" s="284"/>
      <c r="D127" s="285">
        <v>6</v>
      </c>
      <c r="E127" s="287">
        <v>6</v>
      </c>
      <c r="F127" s="289"/>
      <c r="G127" s="284">
        <f>C127*0.3 + (D127+E127+F127)/3*0.7</f>
        <v>2.8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opLeftCell="A104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27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28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27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 t="s">
        <v>221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 t="s">
        <v>222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28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223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224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27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 t="s">
        <v>225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28</v>
      </c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 t="s">
        <v>225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27</v>
      </c>
      <c r="C27" s="240" t="s">
        <v>226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 t="s">
        <v>227</v>
      </c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28</v>
      </c>
      <c r="C30" s="228" t="s">
        <v>226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 t="s">
        <v>228</v>
      </c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27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28</v>
      </c>
      <c r="C38" s="228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27</v>
      </c>
      <c r="C44" s="197" t="s">
        <v>151</v>
      </c>
      <c r="D44" s="246" t="s">
        <v>229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230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28</v>
      </c>
      <c r="C46" s="199" t="s">
        <v>151</v>
      </c>
      <c r="D46" s="269" t="s">
        <v>231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232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27</v>
      </c>
      <c r="C50" s="24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 t="s">
        <v>233</v>
      </c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28</v>
      </c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234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27</v>
      </c>
      <c r="C58" s="240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 t="s">
        <v>235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236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28</v>
      </c>
      <c r="C61" s="228" t="s">
        <v>237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238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27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239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 t="s">
        <v>240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28</v>
      </c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241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 t="s">
        <v>242</v>
      </c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27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28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27</v>
      </c>
      <c r="C85" s="240" t="s">
        <v>243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28</v>
      </c>
      <c r="C88" s="228" t="s">
        <v>244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 t="s">
        <v>245</v>
      </c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27</v>
      </c>
      <c r="C96" s="240" t="s">
        <v>246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247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28</v>
      </c>
      <c r="C99" s="228" t="s">
        <v>248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249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27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28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27</v>
      </c>
      <c r="C125" s="282"/>
      <c r="D125" s="294">
        <v>7</v>
      </c>
      <c r="E125" s="296">
        <v>8</v>
      </c>
      <c r="F125" s="280">
        <v>8</v>
      </c>
      <c r="G125" s="282">
        <f>C125*0.3 + (D125+E125+F125)/3*0.7</f>
        <v>5.3666666666666663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28</v>
      </c>
      <c r="C127" s="284"/>
      <c r="D127" s="285">
        <v>7</v>
      </c>
      <c r="E127" s="287">
        <v>8</v>
      </c>
      <c r="F127" s="289">
        <v>8</v>
      </c>
      <c r="G127" s="284">
        <f>C127*0.3 + (D127+E127+F127)/3*0.7</f>
        <v>5.3666666666666663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opLeftCell="A104" workbookViewId="0">
      <selection activeCell="B2" sqref="B2:B3"/>
    </sheetView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31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32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31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250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251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 t="s">
        <v>252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32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253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254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 t="s">
        <v>255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31</v>
      </c>
      <c r="C20" s="277" t="s">
        <v>225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32</v>
      </c>
      <c r="C22" s="228" t="s">
        <v>225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 t="s">
        <v>256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31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 t="s">
        <v>257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32</v>
      </c>
      <c r="C30" s="228" t="s">
        <v>258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31</v>
      </c>
      <c r="C35" s="240" t="s">
        <v>259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260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32</v>
      </c>
      <c r="C38" s="228" t="s">
        <v>261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31</v>
      </c>
      <c r="C44" s="197" t="s">
        <v>151</v>
      </c>
      <c r="D44" s="246" t="s">
        <v>262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263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32</v>
      </c>
      <c r="C46" s="199" t="s">
        <v>151</v>
      </c>
      <c r="D46" s="269" t="s">
        <v>264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264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31</v>
      </c>
      <c r="C50" s="240" t="s">
        <v>265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32</v>
      </c>
      <c r="C53" s="228" t="s">
        <v>266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31</v>
      </c>
      <c r="C58" s="240" t="s">
        <v>267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267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32</v>
      </c>
      <c r="C61" s="228" t="s">
        <v>268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269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31</v>
      </c>
      <c r="C67" s="240" t="s">
        <v>270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271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32</v>
      </c>
      <c r="C70" s="228" t="s">
        <v>272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273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31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32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31</v>
      </c>
      <c r="C85" s="240" t="s">
        <v>274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32</v>
      </c>
      <c r="C88" s="228" t="s">
        <v>275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31</v>
      </c>
      <c r="C96" s="240" t="s">
        <v>276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32</v>
      </c>
      <c r="C99" s="228" t="s">
        <v>277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278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31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32</v>
      </c>
      <c r="C110" s="228" t="s">
        <v>279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31</v>
      </c>
      <c r="C125" s="282"/>
      <c r="D125" s="294">
        <v>8</v>
      </c>
      <c r="E125" s="296">
        <v>9</v>
      </c>
      <c r="F125" s="280">
        <v>8</v>
      </c>
      <c r="G125" s="282">
        <f>C125*0.3 + (D125+E125+F125)/3*0.7</f>
        <v>5.833333333333333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32</v>
      </c>
      <c r="C127" s="284"/>
      <c r="D127" s="285">
        <v>10</v>
      </c>
      <c r="E127" s="287">
        <v>9</v>
      </c>
      <c r="F127" s="289">
        <v>8</v>
      </c>
      <c r="G127" s="284">
        <f>C127*0.3 + (D127+E127+F127)/3*0.7</f>
        <v>6.3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96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71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39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71</v>
      </c>
      <c r="C8" s="241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280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 t="s">
        <v>281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 t="s">
        <v>282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39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283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284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285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 t="s">
        <v>286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71</v>
      </c>
      <c r="C20" s="277" t="s">
        <v>287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39</v>
      </c>
      <c r="C22" s="228" t="s">
        <v>287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71</v>
      </c>
      <c r="C27" s="240" t="s">
        <v>288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 t="s">
        <v>289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39</v>
      </c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290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71</v>
      </c>
      <c r="C35" s="240" t="s">
        <v>291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292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 t="s">
        <v>293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39</v>
      </c>
      <c r="C38" s="228" t="s">
        <v>294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71</v>
      </c>
      <c r="C44" s="197" t="s">
        <v>151</v>
      </c>
      <c r="D44" s="246" t="s">
        <v>295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296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39</v>
      </c>
      <c r="C46" s="199" t="s">
        <v>151</v>
      </c>
      <c r="D46" s="269" t="s">
        <v>297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71</v>
      </c>
      <c r="C50" s="240" t="s">
        <v>298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39</v>
      </c>
      <c r="C53" s="228" t="s">
        <v>299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300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 t="s">
        <v>301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71</v>
      </c>
      <c r="C58" s="240" t="s">
        <v>302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 t="s">
        <v>303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39</v>
      </c>
      <c r="C61" s="228" t="s">
        <v>304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305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71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306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39</v>
      </c>
      <c r="C70" s="228" t="s">
        <v>307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71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39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71</v>
      </c>
      <c r="C85" s="240" t="s">
        <v>308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39</v>
      </c>
      <c r="C88" s="228" t="s">
        <v>210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71</v>
      </c>
      <c r="C96" s="240" t="s">
        <v>309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39</v>
      </c>
      <c r="C99" s="228" t="s">
        <v>310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311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 t="s">
        <v>312</v>
      </c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71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39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71</v>
      </c>
      <c r="C125" s="282"/>
      <c r="D125" s="294">
        <v>9</v>
      </c>
      <c r="E125" s="296">
        <v>9</v>
      </c>
      <c r="F125" s="280">
        <v>8</v>
      </c>
      <c r="G125" s="282">
        <f>C125*0.3 + (D125+E125+F125)/3*0.7</f>
        <v>6.0666666666666655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39</v>
      </c>
      <c r="C127" s="284"/>
      <c r="D127" s="285">
        <v>9</v>
      </c>
      <c r="E127" s="287">
        <v>9</v>
      </c>
      <c r="F127" s="289">
        <v>7</v>
      </c>
      <c r="G127" s="284">
        <f>C127*0.3 + (D127+E127+F127)/3*0.7</f>
        <v>5.833333333333333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C117:O117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116:O11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106:O106"/>
    <mergeCell ref="C86:O86"/>
    <mergeCell ref="C87:O87"/>
    <mergeCell ref="C88:O88"/>
    <mergeCell ref="C89:O89"/>
    <mergeCell ref="C90:O90"/>
    <mergeCell ref="C91:O91"/>
    <mergeCell ref="C92:O92"/>
    <mergeCell ref="C94:O94"/>
    <mergeCell ref="C96:O96"/>
    <mergeCell ref="C72:O72"/>
    <mergeCell ref="C74:O74"/>
    <mergeCell ref="C75:O75"/>
    <mergeCell ref="C76:O76"/>
    <mergeCell ref="C78:O78"/>
    <mergeCell ref="C79:O80"/>
    <mergeCell ref="C81:O82"/>
    <mergeCell ref="C84:O84"/>
    <mergeCell ref="C85:O85"/>
    <mergeCell ref="C62:O62"/>
    <mergeCell ref="C63:O63"/>
    <mergeCell ref="C65:O65"/>
    <mergeCell ref="C66:O66"/>
    <mergeCell ref="C67:O67"/>
    <mergeCell ref="C68:O68"/>
    <mergeCell ref="C69:O69"/>
    <mergeCell ref="C70:O70"/>
    <mergeCell ref="C71:O71"/>
    <mergeCell ref="C53:O53"/>
    <mergeCell ref="C54:O54"/>
    <mergeCell ref="C55:O55"/>
    <mergeCell ref="C57:O57"/>
    <mergeCell ref="C58:O58"/>
    <mergeCell ref="D125:D126"/>
    <mergeCell ref="E125:E126"/>
    <mergeCell ref="C127:C128"/>
    <mergeCell ref="D127:D128"/>
    <mergeCell ref="E127:E128"/>
    <mergeCell ref="F125:F126"/>
    <mergeCell ref="G125:G126"/>
    <mergeCell ref="F127:F128"/>
    <mergeCell ref="G127:G128"/>
    <mergeCell ref="C118:O118"/>
    <mergeCell ref="C119:O119"/>
    <mergeCell ref="C120:O120"/>
    <mergeCell ref="C123:C124"/>
    <mergeCell ref="D123:F123"/>
    <mergeCell ref="G123:G124"/>
    <mergeCell ref="C125:C126"/>
    <mergeCell ref="C59:O59"/>
    <mergeCell ref="C60:O60"/>
    <mergeCell ref="C61:O61"/>
    <mergeCell ref="C10:O10"/>
    <mergeCell ref="C13:O13"/>
    <mergeCell ref="C14:O14"/>
    <mergeCell ref="C15:O15"/>
    <mergeCell ref="B2:B3"/>
    <mergeCell ref="C2:O3"/>
    <mergeCell ref="B4:B5"/>
    <mergeCell ref="C4:O5"/>
    <mergeCell ref="B8:B12"/>
    <mergeCell ref="C8:O8"/>
    <mergeCell ref="B13:B17"/>
    <mergeCell ref="C16:O16"/>
    <mergeCell ref="C17:O17"/>
    <mergeCell ref="B127:B128"/>
    <mergeCell ref="B81:B82"/>
    <mergeCell ref="B85:B87"/>
    <mergeCell ref="B88:B90"/>
    <mergeCell ref="B91:B92"/>
    <mergeCell ref="B96:B98"/>
    <mergeCell ref="B99:B101"/>
    <mergeCell ref="B105:B109"/>
    <mergeCell ref="C11:O11"/>
    <mergeCell ref="C12:O12"/>
    <mergeCell ref="C19:O19"/>
    <mergeCell ref="B20:B21"/>
    <mergeCell ref="C20:O20"/>
    <mergeCell ref="C21:O21"/>
    <mergeCell ref="B22:B23"/>
    <mergeCell ref="C22:O22"/>
    <mergeCell ref="C23:O23"/>
    <mergeCell ref="C25:O25"/>
    <mergeCell ref="C26:O26"/>
    <mergeCell ref="C27:O27"/>
    <mergeCell ref="C28:O28"/>
    <mergeCell ref="C29:O29"/>
    <mergeCell ref="C51:O51"/>
    <mergeCell ref="C52:O52"/>
    <mergeCell ref="B61:B63"/>
    <mergeCell ref="B67:B69"/>
    <mergeCell ref="B70:B72"/>
    <mergeCell ref="B74:B76"/>
    <mergeCell ref="B79:B80"/>
    <mergeCell ref="B110:B114"/>
    <mergeCell ref="B116:B120"/>
    <mergeCell ref="B123:B124"/>
    <mergeCell ref="B125:B126"/>
    <mergeCell ref="B27:B29"/>
    <mergeCell ref="B30:B32"/>
    <mergeCell ref="B35:B37"/>
    <mergeCell ref="B38:B40"/>
    <mergeCell ref="B44:B45"/>
    <mergeCell ref="B46:B47"/>
    <mergeCell ref="B50:B52"/>
    <mergeCell ref="B53:B55"/>
    <mergeCell ref="B58:B60"/>
    <mergeCell ref="C49:O49"/>
    <mergeCell ref="C50:O50"/>
    <mergeCell ref="C40:O40"/>
    <mergeCell ref="C42:O42"/>
    <mergeCell ref="C43:O43"/>
    <mergeCell ref="D44:O44"/>
    <mergeCell ref="D45:O45"/>
    <mergeCell ref="D46:O46"/>
    <mergeCell ref="D47:O47"/>
    <mergeCell ref="C38:O38"/>
    <mergeCell ref="C39:O39"/>
    <mergeCell ref="C30:O30"/>
    <mergeCell ref="C31:O31"/>
    <mergeCell ref="C32:O32"/>
    <mergeCell ref="C34:O34"/>
    <mergeCell ref="C35:O35"/>
    <mergeCell ref="C36:O36"/>
    <mergeCell ref="C37:O37"/>
  </mergeCells>
  <phoneticPr fontId="2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topLeftCell="A96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43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44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43</v>
      </c>
      <c r="C8" s="277" t="s">
        <v>313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314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315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44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316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317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43</v>
      </c>
      <c r="C20" s="277" t="s">
        <v>287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44</v>
      </c>
      <c r="C22" s="228" t="s">
        <v>287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43</v>
      </c>
      <c r="C27" s="240" t="s">
        <v>318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 t="s">
        <v>319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 t="s">
        <v>320</v>
      </c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44</v>
      </c>
      <c r="C30" s="228" t="s">
        <v>321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322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43</v>
      </c>
      <c r="C35" s="240" t="s">
        <v>323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324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44</v>
      </c>
      <c r="C38" s="228" t="s">
        <v>325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43</v>
      </c>
      <c r="C44" s="197" t="s">
        <v>151</v>
      </c>
      <c r="D44" s="246" t="s">
        <v>208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208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44</v>
      </c>
      <c r="C46" s="199" t="s">
        <v>151</v>
      </c>
      <c r="D46" s="269" t="s">
        <v>326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326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43</v>
      </c>
      <c r="C50" s="24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 t="s">
        <v>327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44</v>
      </c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43</v>
      </c>
      <c r="C58" s="240" t="s">
        <v>328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44</v>
      </c>
      <c r="C61" s="228" t="s">
        <v>329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330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43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331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44</v>
      </c>
      <c r="C70" s="228" t="s">
        <v>332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43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44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43</v>
      </c>
      <c r="C85" s="240" t="s">
        <v>333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 t="s">
        <v>334</v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44</v>
      </c>
      <c r="C88" s="228" t="s">
        <v>335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43</v>
      </c>
      <c r="C96" s="240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336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44</v>
      </c>
      <c r="C99" s="228" t="s">
        <v>337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338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43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 t="s">
        <v>339</v>
      </c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44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 t="s">
        <v>339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 t="s">
        <v>340</v>
      </c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43</v>
      </c>
      <c r="C125" s="282"/>
      <c r="D125" s="294">
        <v>7</v>
      </c>
      <c r="E125" s="296">
        <v>6</v>
      </c>
      <c r="F125" s="280">
        <v>7</v>
      </c>
      <c r="G125" s="282">
        <f>C125*0.3 + (D125+E125+F125)/3*0.7</f>
        <v>4.666666666666667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44</v>
      </c>
      <c r="C127" s="284"/>
      <c r="D127" s="285">
        <v>9</v>
      </c>
      <c r="E127" s="287">
        <v>8</v>
      </c>
      <c r="F127" s="289">
        <v>9</v>
      </c>
      <c r="G127" s="284">
        <f>C127*0.3 + (D127+E127+F127)/3*0.7</f>
        <v>6.0666666666666655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topLeftCell="A96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48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49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48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341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 t="s">
        <v>342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 t="s">
        <v>343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49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344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345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48</v>
      </c>
      <c r="C20" s="277" t="s">
        <v>225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49</v>
      </c>
      <c r="C22" s="228" t="s">
        <v>346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48</v>
      </c>
      <c r="C27" s="240" t="s">
        <v>347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49</v>
      </c>
      <c r="C30" s="228" t="s">
        <v>348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48</v>
      </c>
      <c r="C35" s="240" t="s">
        <v>349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350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49</v>
      </c>
      <c r="C38" s="228" t="s">
        <v>294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 t="s">
        <v>351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48</v>
      </c>
      <c r="C44" s="197" t="s">
        <v>151</v>
      </c>
      <c r="D44" s="246" t="s">
        <v>352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208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49</v>
      </c>
      <c r="C46" s="199" t="s">
        <v>151</v>
      </c>
      <c r="D46" s="269" t="s">
        <v>353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354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48</v>
      </c>
      <c r="C50" s="240" t="s">
        <v>355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49</v>
      </c>
      <c r="C53" s="228" t="s">
        <v>356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357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48</v>
      </c>
      <c r="C58" s="240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49</v>
      </c>
      <c r="C61" s="228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48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358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 t="s">
        <v>359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49</v>
      </c>
      <c r="C70" s="228" t="s">
        <v>360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361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48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49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48</v>
      </c>
      <c r="C85" s="240" t="s">
        <v>209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 t="s">
        <v>362</v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49</v>
      </c>
      <c r="C88" s="228" t="s">
        <v>363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 t="s">
        <v>364</v>
      </c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48</v>
      </c>
      <c r="C96" s="240" t="s">
        <v>365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49</v>
      </c>
      <c r="C99" s="228" t="s">
        <v>366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367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48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 t="s">
        <v>368</v>
      </c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 t="s">
        <v>369</v>
      </c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49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48</v>
      </c>
      <c r="C125" s="282"/>
      <c r="D125" s="294">
        <v>9</v>
      </c>
      <c r="E125" s="296">
        <v>9</v>
      </c>
      <c r="F125" s="280">
        <v>9</v>
      </c>
      <c r="G125" s="282">
        <f>C125*0.3 + (D125+E125+F125)/3*0.7</f>
        <v>6.3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49</v>
      </c>
      <c r="C127" s="284"/>
      <c r="D127" s="285">
        <v>9</v>
      </c>
      <c r="E127" s="287">
        <v>8</v>
      </c>
      <c r="F127" s="289">
        <v>8</v>
      </c>
      <c r="G127" s="284">
        <f>C127*0.3 + (D127+E127+F127)/3*0.7</f>
        <v>5.833333333333333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topLeftCell="A96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52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53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52</v>
      </c>
      <c r="C8" s="277" t="s">
        <v>370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371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 t="s">
        <v>372</v>
      </c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53</v>
      </c>
      <c r="C13" s="228" t="s">
        <v>373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374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375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376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 t="s">
        <v>377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52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 t="s">
        <v>225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53</v>
      </c>
      <c r="C22" s="228" t="s">
        <v>225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52</v>
      </c>
      <c r="C27" s="240" t="s">
        <v>378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 t="s">
        <v>379</v>
      </c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53</v>
      </c>
      <c r="C30" s="228" t="s">
        <v>378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380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52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381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53</v>
      </c>
      <c r="C38" s="228" t="s">
        <v>382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52</v>
      </c>
      <c r="C44" s="197" t="s">
        <v>151</v>
      </c>
      <c r="D44" s="246" t="s">
        <v>383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208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53</v>
      </c>
      <c r="C46" s="199" t="s">
        <v>151</v>
      </c>
      <c r="D46" s="269" t="s">
        <v>208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52</v>
      </c>
      <c r="C50" s="240" t="s">
        <v>384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53</v>
      </c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385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 t="s">
        <v>386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52</v>
      </c>
      <c r="C58" s="240" t="s">
        <v>387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 t="s">
        <v>388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53</v>
      </c>
      <c r="C61" s="228" t="s">
        <v>389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 t="s">
        <v>390</v>
      </c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391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52</v>
      </c>
      <c r="C67" s="240" t="s">
        <v>392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393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 t="s">
        <v>394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53</v>
      </c>
      <c r="C70" s="228" t="s">
        <v>395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396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52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53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52</v>
      </c>
      <c r="C85" s="240" t="s">
        <v>397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53</v>
      </c>
      <c r="C88" s="228" t="s">
        <v>398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52</v>
      </c>
      <c r="C96" s="240" t="s">
        <v>399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53</v>
      </c>
      <c r="C99" s="228" t="s">
        <v>400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52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 t="s">
        <v>401</v>
      </c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53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402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52</v>
      </c>
      <c r="C125" s="282"/>
      <c r="D125" s="294">
        <v>9</v>
      </c>
      <c r="E125" s="296">
        <v>8</v>
      </c>
      <c r="F125" s="280">
        <v>9</v>
      </c>
      <c r="G125" s="282">
        <f>C125*0.3 + (D125+E125+F125)/3*0.7</f>
        <v>6.0666666666666655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53</v>
      </c>
      <c r="C127" s="284"/>
      <c r="D127" s="285">
        <v>9</v>
      </c>
      <c r="E127" s="287">
        <v>9</v>
      </c>
      <c r="F127" s="289">
        <v>9</v>
      </c>
      <c r="G127" s="284">
        <f>C127*0.3 + (D127+E127+F127)/3*0.7</f>
        <v>6.3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topLeftCell="A102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59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56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59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403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56</v>
      </c>
      <c r="C13" s="228" t="s">
        <v>404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59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 t="s">
        <v>225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56</v>
      </c>
      <c r="C22" s="228" t="s">
        <v>225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59</v>
      </c>
      <c r="C27" s="240" t="s">
        <v>405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56</v>
      </c>
      <c r="C30" s="228" t="s">
        <v>406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59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407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 t="s">
        <v>408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56</v>
      </c>
      <c r="C38" s="228" t="s">
        <v>409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 t="s">
        <v>410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59</v>
      </c>
      <c r="C44" s="197" t="s">
        <v>151</v>
      </c>
      <c r="D44" s="246" t="s">
        <v>208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208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56</v>
      </c>
      <c r="C46" s="199" t="s">
        <v>151</v>
      </c>
      <c r="D46" s="269" t="s">
        <v>208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262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59</v>
      </c>
      <c r="C50" s="24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 t="s">
        <v>411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56</v>
      </c>
      <c r="C53" s="228" t="s">
        <v>412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59</v>
      </c>
      <c r="C58" s="240" t="s">
        <v>413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414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56</v>
      </c>
      <c r="C61" s="228" t="s">
        <v>415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416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59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417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 t="s">
        <v>418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56</v>
      </c>
      <c r="C70" s="228" t="s">
        <v>419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420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59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56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59</v>
      </c>
      <c r="C85" s="240" t="s">
        <v>421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56</v>
      </c>
      <c r="C88" s="228" t="s">
        <v>421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59</v>
      </c>
      <c r="C96" s="240" t="s">
        <v>422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423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56</v>
      </c>
      <c r="C99" s="228" t="s">
        <v>424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425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 t="s">
        <v>426</v>
      </c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59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 t="s">
        <v>427</v>
      </c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56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59</v>
      </c>
      <c r="C125" s="282"/>
      <c r="D125" s="294">
        <v>10</v>
      </c>
      <c r="E125" s="296">
        <v>10</v>
      </c>
      <c r="F125" s="280"/>
      <c r="G125" s="282">
        <f>C125*0.3 + (D125+E125+F125)/3*0.7</f>
        <v>4.666666666666667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56</v>
      </c>
      <c r="C127" s="284"/>
      <c r="D127" s="285">
        <v>9</v>
      </c>
      <c r="E127" s="287">
        <v>7</v>
      </c>
      <c r="F127" s="289"/>
      <c r="G127" s="284">
        <f>C127*0.3 + (D127+E127+F127)/3*0.7</f>
        <v>3.7333333333333329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00"/>
  <sheetViews>
    <sheetView topLeftCell="A98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.28515625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63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/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63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/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63</v>
      </c>
      <c r="C20" s="277" t="s">
        <v>225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/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63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 t="s">
        <v>428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/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63</v>
      </c>
      <c r="C35" s="240" t="s">
        <v>429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430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/>
      <c r="C38" s="228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63</v>
      </c>
      <c r="C44" s="197" t="s">
        <v>151</v>
      </c>
      <c r="D44" s="246" t="s">
        <v>431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432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/>
      <c r="C46" s="199" t="s">
        <v>151</v>
      </c>
      <c r="D46" s="269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63</v>
      </c>
      <c r="C50" s="240" t="s">
        <v>433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/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63</v>
      </c>
      <c r="C58" s="240" t="s">
        <v>434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435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/>
      <c r="C61" s="228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63</v>
      </c>
      <c r="C67" s="240" t="s">
        <v>436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/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160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63</v>
      </c>
      <c r="C79" s="246" t="s">
        <v>208</v>
      </c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9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266" t="s">
        <v>166</v>
      </c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8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/>
      <c r="C81" s="269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8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270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2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63</v>
      </c>
      <c r="C85" s="240" t="s">
        <v>274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/>
      <c r="C88" s="228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63</v>
      </c>
      <c r="C96" s="240" t="s">
        <v>437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7" ht="16.5" customHeight="1">
      <c r="A97" s="188"/>
      <c r="B97" s="248"/>
      <c r="C97" s="241" t="s">
        <v>438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7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7" ht="16.5" customHeight="1">
      <c r="A99" s="188"/>
      <c r="B99" s="250"/>
      <c r="C99" s="228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7" ht="16.5" customHeight="1">
      <c r="A100" s="188"/>
      <c r="B100" s="248"/>
      <c r="C100" s="231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7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7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7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7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7" ht="16.5" customHeight="1">
      <c r="A105" s="188"/>
      <c r="B105" s="247" t="s">
        <v>63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7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 spans="1:27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 spans="1:27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 spans="1:27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 spans="1:27" ht="16.5" customHeight="1">
      <c r="A110" s="188"/>
      <c r="B110" s="250"/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 spans="1:27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 spans="1:27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 spans="1:27" ht="16.5" customHeight="1">
      <c r="A116" s="188"/>
      <c r="B116" s="255" t="s">
        <v>178</v>
      </c>
      <c r="C116" s="278" t="s">
        <v>179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 spans="1:27" ht="16.5" customHeight="1">
      <c r="A117" s="188"/>
      <c r="B117" s="248"/>
      <c r="C117" s="279" t="s">
        <v>180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 spans="1:27" ht="16.5" customHeight="1">
      <c r="A118" s="188"/>
      <c r="B118" s="248"/>
      <c r="C118" s="279" t="s">
        <v>181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 spans="1:27" ht="16.5" customHeight="1">
      <c r="A119" s="188"/>
      <c r="B119" s="248"/>
      <c r="C119" s="279" t="s">
        <v>182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 spans="1:27" ht="16.5" customHeight="1">
      <c r="A120" s="188"/>
      <c r="B120" s="251"/>
      <c r="C120" s="291" t="s">
        <v>183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29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08" t="s">
        <v>1</v>
      </c>
      <c r="E124" s="209" t="s">
        <v>5</v>
      </c>
      <c r="F124" s="210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63</v>
      </c>
      <c r="C125" s="282"/>
      <c r="D125" s="294">
        <v>8</v>
      </c>
      <c r="E125" s="296">
        <v>8</v>
      </c>
      <c r="F125" s="280"/>
      <c r="G125" s="282">
        <f>C125*0.3 + (D125+E125+F125)/3*0.7</f>
        <v>3.7333333333333329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/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3:O113"/>
    <mergeCell ref="C114:O114"/>
    <mergeCell ref="C116:O116"/>
    <mergeCell ref="C117:O117"/>
    <mergeCell ref="C118:O118"/>
    <mergeCell ref="C119:O119"/>
    <mergeCell ref="F125:F126"/>
    <mergeCell ref="G125:G126"/>
    <mergeCell ref="C127:C128"/>
    <mergeCell ref="D127:D128"/>
    <mergeCell ref="E127:E128"/>
    <mergeCell ref="F127:F128"/>
    <mergeCell ref="G127:G128"/>
    <mergeCell ref="C120:O120"/>
    <mergeCell ref="C123:C124"/>
    <mergeCell ref="D123:F123"/>
    <mergeCell ref="G123:G124"/>
    <mergeCell ref="C125:C126"/>
    <mergeCell ref="D125:D126"/>
    <mergeCell ref="E125:E126"/>
    <mergeCell ref="C104:O104"/>
    <mergeCell ref="C105:O105"/>
    <mergeCell ref="C106:O106"/>
    <mergeCell ref="C107:O107"/>
    <mergeCell ref="C108:O108"/>
    <mergeCell ref="C109:O109"/>
    <mergeCell ref="C110:O110"/>
    <mergeCell ref="C111:O111"/>
    <mergeCell ref="C112:O112"/>
    <mergeCell ref="C92:O92"/>
    <mergeCell ref="C94:O94"/>
    <mergeCell ref="C96:O96"/>
    <mergeCell ref="C97:O97"/>
    <mergeCell ref="C98:O98"/>
    <mergeCell ref="C99:O99"/>
    <mergeCell ref="C100:O100"/>
    <mergeCell ref="C101:O101"/>
    <mergeCell ref="C103:O103"/>
    <mergeCell ref="C82:O82"/>
    <mergeCell ref="C84:O84"/>
    <mergeCell ref="C85:O85"/>
    <mergeCell ref="C86:O86"/>
    <mergeCell ref="C87:O87"/>
    <mergeCell ref="C88:O88"/>
    <mergeCell ref="C89:O89"/>
    <mergeCell ref="C90:O90"/>
    <mergeCell ref="C91:O91"/>
    <mergeCell ref="C71:O71"/>
    <mergeCell ref="C72:O72"/>
    <mergeCell ref="C74:O74"/>
    <mergeCell ref="C75:O75"/>
    <mergeCell ref="C76:O76"/>
    <mergeCell ref="C78:O78"/>
    <mergeCell ref="C79:O79"/>
    <mergeCell ref="C80:O80"/>
    <mergeCell ref="C81:O81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00"/>
  <sheetViews>
    <sheetView topLeftCell="A98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67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68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67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68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439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440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441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 t="s">
        <v>442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67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68</v>
      </c>
      <c r="C22" s="228" t="s">
        <v>443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67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68</v>
      </c>
      <c r="C30" s="228" t="s">
        <v>444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67</v>
      </c>
      <c r="C35" s="240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68</v>
      </c>
      <c r="C38" s="228" t="s">
        <v>445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 t="s">
        <v>446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 t="s">
        <v>447</v>
      </c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67</v>
      </c>
      <c r="C44" s="197" t="s">
        <v>151</v>
      </c>
      <c r="D44" s="246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68</v>
      </c>
      <c r="C46" s="199" t="s">
        <v>151</v>
      </c>
      <c r="D46" s="269" t="s">
        <v>448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448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67</v>
      </c>
      <c r="C50" s="24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68</v>
      </c>
      <c r="C53" s="228" t="s">
        <v>449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67</v>
      </c>
      <c r="C58" s="240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68</v>
      </c>
      <c r="C61" s="228" t="s">
        <v>450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451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67</v>
      </c>
      <c r="C67" s="24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68</v>
      </c>
      <c r="C70" s="228" t="s">
        <v>452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67</v>
      </c>
      <c r="C79" s="311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68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67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68</v>
      </c>
      <c r="C88" s="228" t="s">
        <v>453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67</v>
      </c>
      <c r="C96" s="240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68</v>
      </c>
      <c r="C99" s="228" t="s">
        <v>454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455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67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68</v>
      </c>
      <c r="C110" s="228" t="s">
        <v>456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67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68</v>
      </c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0"/>
  <sheetViews>
    <sheetView topLeftCell="A102"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72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74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72</v>
      </c>
      <c r="C8" s="277" t="s">
        <v>457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 t="s">
        <v>458</v>
      </c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74</v>
      </c>
      <c r="C13" s="228" t="s">
        <v>459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460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461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 t="s">
        <v>462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72</v>
      </c>
      <c r="C20" s="277" t="s">
        <v>225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74</v>
      </c>
      <c r="C22" s="228" t="s">
        <v>225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72</v>
      </c>
      <c r="C27" s="240" t="s">
        <v>463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74</v>
      </c>
      <c r="C30" s="228" t="s">
        <v>464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465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72</v>
      </c>
      <c r="C35" s="240" t="s">
        <v>466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467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74</v>
      </c>
      <c r="C38" s="228" t="s">
        <v>468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 t="s">
        <v>469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72</v>
      </c>
      <c r="C44" s="197" t="s">
        <v>151</v>
      </c>
      <c r="D44" s="246" t="s">
        <v>208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470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74</v>
      </c>
      <c r="C46" s="199" t="s">
        <v>151</v>
      </c>
      <c r="D46" s="269" t="s">
        <v>471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72</v>
      </c>
      <c r="C50" s="240" t="s">
        <v>472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74</v>
      </c>
      <c r="C53" s="228" t="s">
        <v>473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72</v>
      </c>
      <c r="C58" s="240" t="s">
        <v>474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475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74</v>
      </c>
      <c r="C61" s="228" t="s">
        <v>476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477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72</v>
      </c>
      <c r="C67" s="240" t="s">
        <v>478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 t="s">
        <v>479</v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74</v>
      </c>
      <c r="C70" s="228" t="s">
        <v>480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481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72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74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72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 t="s">
        <v>453</v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74</v>
      </c>
      <c r="C88" s="228" t="s">
        <v>482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72</v>
      </c>
      <c r="C96" s="240" t="s">
        <v>483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74</v>
      </c>
      <c r="C99" s="228" t="s">
        <v>484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485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72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 t="s">
        <v>486</v>
      </c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 t="s">
        <v>487</v>
      </c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74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488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72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74</v>
      </c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75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82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75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489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82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490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75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82</v>
      </c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75</v>
      </c>
      <c r="C27" s="240" t="s">
        <v>491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82</v>
      </c>
      <c r="C30" s="228" t="s">
        <v>492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493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75</v>
      </c>
      <c r="C35" s="240" t="s">
        <v>494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82</v>
      </c>
      <c r="C38" s="228" t="s">
        <v>495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75</v>
      </c>
      <c r="C44" s="197" t="s">
        <v>151</v>
      </c>
      <c r="D44" s="246" t="s">
        <v>208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208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82</v>
      </c>
      <c r="C46" s="199" t="s">
        <v>151</v>
      </c>
      <c r="D46" s="269" t="s">
        <v>208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208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75</v>
      </c>
      <c r="C50" s="240" t="s">
        <v>496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82</v>
      </c>
      <c r="C53" s="228" t="s">
        <v>497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75</v>
      </c>
      <c r="C58" s="240" t="s">
        <v>498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499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82</v>
      </c>
      <c r="C61" s="228" t="s">
        <v>500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501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75</v>
      </c>
      <c r="C67" s="240" t="s">
        <v>502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82</v>
      </c>
      <c r="C70" s="228" t="s">
        <v>503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75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82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75</v>
      </c>
      <c r="C85" s="240" t="s">
        <v>333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82</v>
      </c>
      <c r="C88" s="228" t="s">
        <v>504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75</v>
      </c>
      <c r="C96" s="240" t="s">
        <v>505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506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82</v>
      </c>
      <c r="C99" s="228" t="s">
        <v>507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508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75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82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 t="s">
        <v>509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75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82</v>
      </c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 t="s">
        <v>510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78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79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78</v>
      </c>
      <c r="C8" s="277" t="s">
        <v>511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512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79</v>
      </c>
      <c r="C13" s="228" t="s">
        <v>513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514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78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 t="s">
        <v>225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79</v>
      </c>
      <c r="C22" s="228" t="s">
        <v>225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78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79</v>
      </c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78</v>
      </c>
      <c r="C35" s="240" t="s">
        <v>294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79</v>
      </c>
      <c r="C38" s="228" t="s">
        <v>515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 t="s">
        <v>516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78</v>
      </c>
      <c r="C44" s="197" t="s">
        <v>151</v>
      </c>
      <c r="D44" s="246" t="s">
        <v>431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517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79</v>
      </c>
      <c r="C46" s="199" t="s">
        <v>151</v>
      </c>
      <c r="D46" s="269" t="s">
        <v>518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78</v>
      </c>
      <c r="C50" s="240" t="s">
        <v>519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79</v>
      </c>
      <c r="C53" s="228" t="s">
        <v>520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78</v>
      </c>
      <c r="C58" s="240" t="s">
        <v>521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522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79</v>
      </c>
      <c r="C61" s="228" t="s">
        <v>523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524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78</v>
      </c>
      <c r="C67" s="240" t="s">
        <v>525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79</v>
      </c>
      <c r="C70" s="228" t="s">
        <v>526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527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78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79</v>
      </c>
      <c r="C81" s="312" t="s">
        <v>208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78</v>
      </c>
      <c r="C85" s="240" t="s">
        <v>421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79</v>
      </c>
      <c r="C88" s="228" t="s">
        <v>528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78</v>
      </c>
      <c r="C96" s="240" t="s">
        <v>529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530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79</v>
      </c>
      <c r="C99" s="228" t="s">
        <v>531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532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78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79</v>
      </c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78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79</v>
      </c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/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/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89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533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96</v>
      </c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534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535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89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/>
      <c r="C22" s="228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89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/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 t="s">
        <v>536</v>
      </c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89</v>
      </c>
      <c r="C35" s="240" t="s">
        <v>537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/>
      <c r="C38" s="228" t="s">
        <v>538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89</v>
      </c>
      <c r="C44" s="197" t="s">
        <v>151</v>
      </c>
      <c r="D44" s="246" t="s">
        <v>539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540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/>
      <c r="C46" s="199" t="s">
        <v>151</v>
      </c>
      <c r="D46" s="269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89</v>
      </c>
      <c r="C50" s="240" t="s">
        <v>541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 t="s">
        <v>542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 t="s">
        <v>543</v>
      </c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/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544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89</v>
      </c>
      <c r="C58" s="240" t="s">
        <v>545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 t="s">
        <v>546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/>
      <c r="C61" s="228" t="s">
        <v>547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 t="s">
        <v>548</v>
      </c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89</v>
      </c>
      <c r="C67" s="240" t="s">
        <v>549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/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550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89</v>
      </c>
      <c r="C79" s="311" t="s">
        <v>208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/>
      <c r="C81" s="312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89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 t="s">
        <v>551</v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/>
      <c r="C88" s="228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89</v>
      </c>
      <c r="C96" s="240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552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/>
      <c r="C99" s="228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553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89</v>
      </c>
      <c r="C105" s="277" t="s">
        <v>554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/>
      <c r="C110" s="228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89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/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92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 t="s">
        <v>93</v>
      </c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92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555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 t="s">
        <v>93</v>
      </c>
      <c r="C13" s="228" t="s">
        <v>556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 t="s">
        <v>557</v>
      </c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 t="s">
        <v>558</v>
      </c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92</v>
      </c>
      <c r="C20" s="277" t="s">
        <v>287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 t="s">
        <v>93</v>
      </c>
      <c r="C22" s="228" t="s">
        <v>287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92</v>
      </c>
      <c r="C27" s="240" t="s">
        <v>559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 t="s">
        <v>93</v>
      </c>
      <c r="C30" s="228" t="s">
        <v>560</v>
      </c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92</v>
      </c>
      <c r="C35" s="240" t="s">
        <v>561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 t="s">
        <v>93</v>
      </c>
      <c r="C38" s="228" t="s">
        <v>562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92</v>
      </c>
      <c r="C44" s="197" t="s">
        <v>151</v>
      </c>
      <c r="D44" s="246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563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 t="s">
        <v>93</v>
      </c>
      <c r="C46" s="199" t="s">
        <v>151</v>
      </c>
      <c r="D46" s="269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 t="s">
        <v>564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92</v>
      </c>
      <c r="C50" s="240" t="s">
        <v>565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 t="s">
        <v>93</v>
      </c>
      <c r="C53" s="228" t="s">
        <v>566</v>
      </c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 t="s">
        <v>567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92</v>
      </c>
      <c r="C58" s="240" t="s">
        <v>568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 t="s">
        <v>569</v>
      </c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 t="s">
        <v>93</v>
      </c>
      <c r="C61" s="228" t="s">
        <v>570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 t="s">
        <v>571</v>
      </c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92</v>
      </c>
      <c r="C67" s="240" t="s">
        <v>572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 t="s">
        <v>93</v>
      </c>
      <c r="C70" s="228" t="s">
        <v>573</v>
      </c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92</v>
      </c>
      <c r="C79" s="311" t="s">
        <v>574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 t="s">
        <v>93</v>
      </c>
      <c r="C81" s="312" t="s">
        <v>574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92</v>
      </c>
      <c r="C85" s="240" t="s">
        <v>575</v>
      </c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 t="s">
        <v>93</v>
      </c>
      <c r="C88" s="228" t="s">
        <v>576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92</v>
      </c>
      <c r="C96" s="240" t="s">
        <v>577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93</v>
      </c>
      <c r="C99" s="228" t="s">
        <v>578</v>
      </c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92</v>
      </c>
      <c r="C105" s="277" t="s">
        <v>579</v>
      </c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 t="s">
        <v>580</v>
      </c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93</v>
      </c>
      <c r="C110" s="228" t="s">
        <v>581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 t="s">
        <v>582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92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 t="s">
        <v>93</v>
      </c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00"/>
  <sheetViews>
    <sheetView workbookViewId="0"/>
  </sheetViews>
  <sheetFormatPr defaultColWidth="14.42578125" defaultRowHeight="15" customHeight="1"/>
  <cols>
    <col min="1" max="1" width="2.28515625" customWidth="1"/>
    <col min="2" max="2" width="14.28515625" customWidth="1"/>
    <col min="3" max="13" width="8.7109375" customWidth="1"/>
    <col min="14" max="14" width="11.28515625" customWidth="1"/>
    <col min="15" max="15" width="37" customWidth="1"/>
    <col min="16" max="27" width="8.7109375" customWidth="1"/>
  </cols>
  <sheetData>
    <row r="1" spans="1:23" ht="16.5" customHeight="1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</row>
    <row r="2" spans="1:23" ht="16.5" customHeight="1">
      <c r="A2" s="188"/>
      <c r="B2" s="252" t="s">
        <v>85</v>
      </c>
      <c r="C2" s="298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188"/>
      <c r="Q2" s="188"/>
      <c r="R2" s="188"/>
      <c r="S2" s="188"/>
      <c r="T2" s="188"/>
      <c r="U2" s="188"/>
      <c r="V2" s="188"/>
      <c r="W2" s="188"/>
    </row>
    <row r="3" spans="1:23" ht="16.5" customHeight="1">
      <c r="A3" s="188"/>
      <c r="B3" s="253"/>
      <c r="C3" s="301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88"/>
      <c r="Q3" s="188"/>
      <c r="R3" s="188"/>
      <c r="S3" s="188"/>
      <c r="T3" s="188"/>
      <c r="U3" s="188"/>
      <c r="V3" s="188"/>
      <c r="W3" s="188"/>
    </row>
    <row r="4" spans="1:23" ht="16.5" customHeight="1">
      <c r="A4" s="188"/>
      <c r="B4" s="250"/>
      <c r="C4" s="304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88"/>
      <c r="Q4" s="188"/>
      <c r="R4" s="188"/>
      <c r="S4" s="188"/>
      <c r="T4" s="188"/>
      <c r="U4" s="188"/>
      <c r="V4" s="188"/>
      <c r="W4" s="188"/>
    </row>
    <row r="5" spans="1:23" ht="16.5" customHeight="1">
      <c r="A5" s="188"/>
      <c r="B5" s="251"/>
      <c r="C5" s="307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9"/>
      <c r="P5" s="188"/>
      <c r="Q5" s="188"/>
      <c r="R5" s="188"/>
      <c r="S5" s="188"/>
      <c r="T5" s="188"/>
      <c r="U5" s="188"/>
      <c r="V5" s="188"/>
      <c r="W5" s="188"/>
    </row>
    <row r="6" spans="1:23" ht="16.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1:23" ht="16.5" customHeight="1">
      <c r="A7" s="188"/>
      <c r="B7" s="189" t="s">
        <v>139</v>
      </c>
      <c r="C7" s="190" t="s">
        <v>140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2"/>
      <c r="P7" s="188"/>
      <c r="Q7" s="188"/>
      <c r="R7" s="188"/>
      <c r="S7" s="188"/>
      <c r="T7" s="188"/>
      <c r="U7" s="188"/>
      <c r="V7" s="188"/>
      <c r="W7" s="188"/>
    </row>
    <row r="8" spans="1:23" ht="16.5" customHeight="1">
      <c r="A8" s="188"/>
      <c r="B8" s="247" t="s">
        <v>85</v>
      </c>
      <c r="C8" s="277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4"/>
      <c r="P8" s="188"/>
      <c r="Q8" s="188"/>
      <c r="R8" s="188"/>
      <c r="S8" s="188"/>
      <c r="T8" s="188"/>
      <c r="U8" s="188"/>
      <c r="V8" s="188"/>
      <c r="W8" s="188"/>
    </row>
    <row r="9" spans="1:23" ht="16.5" customHeight="1">
      <c r="A9" s="188"/>
      <c r="B9" s="248"/>
      <c r="C9" s="241" t="s">
        <v>583</v>
      </c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188"/>
      <c r="Q9" s="188"/>
      <c r="R9" s="188"/>
      <c r="S9" s="188"/>
      <c r="T9" s="188"/>
      <c r="U9" s="188"/>
      <c r="V9" s="188"/>
      <c r="W9" s="188"/>
    </row>
    <row r="10" spans="1:23" ht="16.5" customHeight="1">
      <c r="A10" s="188"/>
      <c r="B10" s="248"/>
      <c r="C10" s="241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3"/>
      <c r="P10" s="188"/>
      <c r="Q10" s="188"/>
      <c r="R10" s="188"/>
      <c r="S10" s="188"/>
      <c r="T10" s="188"/>
      <c r="U10" s="188"/>
      <c r="V10" s="188"/>
      <c r="W10" s="188"/>
    </row>
    <row r="11" spans="1:23" ht="16.5" customHeight="1">
      <c r="A11" s="188"/>
      <c r="B11" s="248"/>
      <c r="C11" s="241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188"/>
      <c r="Q11" s="188"/>
      <c r="R11" s="188"/>
      <c r="S11" s="188"/>
      <c r="T11" s="188"/>
      <c r="U11" s="188"/>
      <c r="V11" s="188"/>
      <c r="W11" s="188"/>
    </row>
    <row r="12" spans="1:23" ht="16.5" customHeight="1">
      <c r="A12" s="188"/>
      <c r="B12" s="249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7"/>
      <c r="P12" s="188"/>
      <c r="Q12" s="188"/>
      <c r="R12" s="188"/>
      <c r="S12" s="188"/>
      <c r="T12" s="188"/>
      <c r="U12" s="188"/>
      <c r="V12" s="188"/>
      <c r="W12" s="188"/>
    </row>
    <row r="13" spans="1:23" ht="16.5" customHeight="1">
      <c r="A13" s="188"/>
      <c r="B13" s="250"/>
      <c r="C13" s="228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0"/>
      <c r="P13" s="188"/>
      <c r="Q13" s="188"/>
      <c r="R13" s="188"/>
      <c r="S13" s="188"/>
      <c r="T13" s="188"/>
      <c r="U13" s="188"/>
      <c r="V13" s="188"/>
      <c r="W13" s="188"/>
    </row>
    <row r="14" spans="1:23" ht="16.5" customHeight="1">
      <c r="A14" s="188"/>
      <c r="B14" s="248"/>
      <c r="C14" s="231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188"/>
      <c r="Q14" s="188"/>
      <c r="R14" s="188"/>
      <c r="S14" s="188"/>
      <c r="T14" s="188"/>
      <c r="U14" s="188"/>
      <c r="V14" s="188"/>
      <c r="W14" s="188"/>
    </row>
    <row r="15" spans="1:23" ht="16.5" customHeight="1">
      <c r="A15" s="188"/>
      <c r="B15" s="248"/>
      <c r="C15" s="231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  <c r="P15" s="188"/>
      <c r="Q15" s="188"/>
      <c r="R15" s="188"/>
      <c r="S15" s="188"/>
      <c r="T15" s="188"/>
      <c r="U15" s="188"/>
      <c r="V15" s="188"/>
      <c r="W15" s="188"/>
    </row>
    <row r="16" spans="1:23" ht="16.5" customHeight="1">
      <c r="A16" s="188"/>
      <c r="B16" s="248"/>
      <c r="C16" s="231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3"/>
      <c r="P16" s="188"/>
      <c r="Q16" s="188"/>
      <c r="R16" s="188"/>
      <c r="S16" s="188"/>
      <c r="T16" s="188"/>
      <c r="U16" s="188"/>
      <c r="V16" s="188"/>
      <c r="W16" s="188"/>
    </row>
    <row r="17" spans="1:23" ht="16.5" customHeight="1">
      <c r="A17" s="188"/>
      <c r="B17" s="251"/>
      <c r="C17" s="234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6"/>
      <c r="P17" s="188"/>
      <c r="Q17" s="188"/>
      <c r="R17" s="188"/>
      <c r="S17" s="188"/>
      <c r="T17" s="188"/>
      <c r="U17" s="188"/>
      <c r="V17" s="188"/>
      <c r="W17" s="188"/>
    </row>
    <row r="18" spans="1:23" ht="16.5" customHeight="1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</row>
    <row r="19" spans="1:23" ht="16.5" customHeight="1">
      <c r="A19" s="188"/>
      <c r="B19" s="189" t="s">
        <v>141</v>
      </c>
      <c r="C19" s="265" t="s">
        <v>142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188"/>
      <c r="Q19" s="188"/>
      <c r="R19" s="188"/>
      <c r="S19" s="188"/>
      <c r="T19" s="188"/>
      <c r="U19" s="188"/>
      <c r="V19" s="188"/>
      <c r="W19" s="188"/>
    </row>
    <row r="20" spans="1:23" ht="16.5" customHeight="1">
      <c r="A20" s="188"/>
      <c r="B20" s="252" t="s">
        <v>85</v>
      </c>
      <c r="C20" s="277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4"/>
      <c r="P20" s="188"/>
      <c r="Q20" s="188"/>
      <c r="R20" s="188"/>
      <c r="S20" s="188"/>
      <c r="T20" s="188"/>
      <c r="U20" s="188"/>
      <c r="V20" s="188"/>
      <c r="W20" s="188"/>
    </row>
    <row r="21" spans="1:23" ht="16.5" customHeight="1">
      <c r="A21" s="188"/>
      <c r="B21" s="253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7"/>
      <c r="P21" s="188"/>
      <c r="Q21" s="188"/>
      <c r="R21" s="188"/>
      <c r="S21" s="188"/>
      <c r="T21" s="188"/>
      <c r="U21" s="188"/>
      <c r="V21" s="188"/>
      <c r="W21" s="188"/>
    </row>
    <row r="22" spans="1:23" ht="16.5" customHeight="1">
      <c r="A22" s="188"/>
      <c r="B22" s="250"/>
      <c r="C22" s="228" t="s">
        <v>584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0"/>
      <c r="P22" s="188"/>
      <c r="Q22" s="188"/>
      <c r="R22" s="188"/>
      <c r="S22" s="188"/>
      <c r="T22" s="188"/>
      <c r="U22" s="188"/>
      <c r="V22" s="188"/>
      <c r="W22" s="188"/>
    </row>
    <row r="23" spans="1:23" ht="16.5" customHeight="1">
      <c r="A23" s="188"/>
      <c r="B23" s="251"/>
      <c r="C23" s="234" t="s">
        <v>585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6"/>
      <c r="P23" s="188"/>
      <c r="Q23" s="188"/>
      <c r="R23" s="188"/>
      <c r="S23" s="188"/>
      <c r="T23" s="188"/>
      <c r="U23" s="188"/>
      <c r="V23" s="188"/>
      <c r="W23" s="188"/>
    </row>
    <row r="24" spans="1:23" ht="16.5" customHeight="1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</row>
    <row r="25" spans="1:23" ht="16.5" customHeight="1">
      <c r="A25" s="188"/>
      <c r="B25" s="193" t="s">
        <v>143</v>
      </c>
      <c r="C25" s="242" t="s">
        <v>144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4"/>
      <c r="P25" s="188"/>
      <c r="Q25" s="188"/>
      <c r="R25" s="188"/>
      <c r="S25" s="188"/>
      <c r="T25" s="188"/>
      <c r="U25" s="188"/>
      <c r="V25" s="188"/>
      <c r="W25" s="188"/>
    </row>
    <row r="26" spans="1:23" ht="16.5" customHeight="1">
      <c r="A26" s="188"/>
      <c r="B26" s="195"/>
      <c r="C26" s="276" t="s">
        <v>145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7"/>
      <c r="P26" s="188"/>
      <c r="Q26" s="188"/>
      <c r="R26" s="188"/>
      <c r="S26" s="188"/>
      <c r="T26" s="188"/>
      <c r="U26" s="188"/>
      <c r="V26" s="188"/>
      <c r="W26" s="188"/>
    </row>
    <row r="27" spans="1:23" ht="16.5" customHeight="1">
      <c r="A27" s="188"/>
      <c r="B27" s="254" t="s">
        <v>85</v>
      </c>
      <c r="C27" s="240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  <c r="P27" s="188"/>
      <c r="Q27" s="188"/>
      <c r="R27" s="188"/>
      <c r="S27" s="188"/>
      <c r="T27" s="188"/>
      <c r="U27" s="188"/>
      <c r="V27" s="188"/>
      <c r="W27" s="188"/>
    </row>
    <row r="28" spans="1:23" ht="16.5" customHeight="1">
      <c r="A28" s="188"/>
      <c r="B28" s="248"/>
      <c r="C28" s="241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3"/>
      <c r="P28" s="188"/>
      <c r="Q28" s="188"/>
      <c r="R28" s="188"/>
      <c r="S28" s="188"/>
      <c r="T28" s="188"/>
      <c r="U28" s="188"/>
      <c r="V28" s="188"/>
      <c r="W28" s="188"/>
    </row>
    <row r="29" spans="1:23" ht="16.5" customHeight="1">
      <c r="A29" s="188"/>
      <c r="B29" s="249"/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7"/>
      <c r="P29" s="188"/>
      <c r="Q29" s="188"/>
      <c r="R29" s="188"/>
      <c r="S29" s="188"/>
      <c r="T29" s="188"/>
      <c r="U29" s="188"/>
      <c r="V29" s="188"/>
      <c r="W29" s="188"/>
    </row>
    <row r="30" spans="1:23" ht="16.5" customHeight="1">
      <c r="A30" s="188"/>
      <c r="B30" s="250"/>
      <c r="C30" s="228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0"/>
      <c r="P30" s="188"/>
      <c r="Q30" s="188"/>
      <c r="R30" s="188"/>
      <c r="S30" s="188"/>
      <c r="T30" s="188"/>
      <c r="U30" s="188"/>
      <c r="V30" s="188"/>
      <c r="W30" s="188"/>
    </row>
    <row r="31" spans="1:23" ht="16.5" customHeight="1">
      <c r="A31" s="188"/>
      <c r="B31" s="248"/>
      <c r="C31" s="231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  <c r="P31" s="188"/>
      <c r="Q31" s="188"/>
      <c r="R31" s="188"/>
      <c r="S31" s="188"/>
      <c r="T31" s="188"/>
      <c r="U31" s="188"/>
      <c r="V31" s="188"/>
      <c r="W31" s="188"/>
    </row>
    <row r="32" spans="1:23" ht="16.5" customHeight="1">
      <c r="A32" s="188"/>
      <c r="B32" s="251"/>
      <c r="C32" s="234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6"/>
      <c r="P32" s="188"/>
      <c r="Q32" s="188"/>
      <c r="R32" s="188"/>
      <c r="S32" s="188"/>
      <c r="T32" s="188"/>
      <c r="U32" s="188"/>
      <c r="V32" s="188"/>
      <c r="W32" s="188"/>
    </row>
    <row r="33" spans="1:23" ht="16.5" customHeight="1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</row>
    <row r="34" spans="1:23" ht="16.5" customHeight="1">
      <c r="A34" s="188"/>
      <c r="B34" s="193" t="s">
        <v>146</v>
      </c>
      <c r="C34" s="237" t="s">
        <v>147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9"/>
      <c r="P34" s="188"/>
      <c r="Q34" s="188"/>
      <c r="R34" s="188"/>
      <c r="S34" s="188"/>
      <c r="T34" s="188"/>
      <c r="U34" s="188"/>
      <c r="V34" s="188"/>
      <c r="W34" s="188"/>
    </row>
    <row r="35" spans="1:23" ht="16.5" customHeight="1">
      <c r="A35" s="188"/>
      <c r="B35" s="254" t="s">
        <v>85</v>
      </c>
      <c r="C35" s="240" t="s">
        <v>586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30"/>
      <c r="P35" s="188"/>
      <c r="Q35" s="188"/>
      <c r="R35" s="188"/>
      <c r="S35" s="188"/>
      <c r="T35" s="188"/>
      <c r="U35" s="188"/>
      <c r="V35" s="188"/>
      <c r="W35" s="188"/>
    </row>
    <row r="36" spans="1:23" ht="16.5" customHeight="1">
      <c r="A36" s="188"/>
      <c r="B36" s="248"/>
      <c r="C36" s="241" t="s">
        <v>587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188"/>
      <c r="Q36" s="188"/>
      <c r="R36" s="188"/>
      <c r="S36" s="188"/>
      <c r="T36" s="188"/>
      <c r="U36" s="188"/>
      <c r="V36" s="188"/>
      <c r="W36" s="188"/>
    </row>
    <row r="37" spans="1:23" ht="16.5" customHeight="1">
      <c r="A37" s="188"/>
      <c r="B37" s="249"/>
      <c r="C37" s="225" t="s">
        <v>588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7"/>
      <c r="P37" s="188"/>
      <c r="Q37" s="188"/>
      <c r="R37" s="188"/>
      <c r="S37" s="188"/>
      <c r="T37" s="188"/>
      <c r="U37" s="188"/>
      <c r="V37" s="188"/>
      <c r="W37" s="188"/>
    </row>
    <row r="38" spans="1:23" ht="16.5" customHeight="1">
      <c r="A38" s="188"/>
      <c r="B38" s="250"/>
      <c r="C38" s="228" t="s">
        <v>589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188"/>
      <c r="Q38" s="188"/>
      <c r="R38" s="188"/>
      <c r="S38" s="188"/>
      <c r="T38" s="188"/>
      <c r="U38" s="188"/>
      <c r="V38" s="188"/>
      <c r="W38" s="188"/>
    </row>
    <row r="39" spans="1:23" ht="16.5" customHeight="1">
      <c r="A39" s="188"/>
      <c r="B39" s="248"/>
      <c r="C39" s="231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3"/>
      <c r="P39" s="188"/>
      <c r="Q39" s="188"/>
      <c r="R39" s="188"/>
      <c r="S39" s="188"/>
      <c r="T39" s="188"/>
      <c r="U39" s="188"/>
      <c r="V39" s="188"/>
      <c r="W39" s="188"/>
    </row>
    <row r="40" spans="1:23" ht="16.5" customHeight="1">
      <c r="A40" s="188"/>
      <c r="B40" s="251"/>
      <c r="C40" s="234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6"/>
      <c r="P40" s="188"/>
      <c r="Q40" s="188"/>
      <c r="R40" s="188"/>
      <c r="S40" s="188"/>
      <c r="T40" s="188"/>
      <c r="U40" s="188"/>
      <c r="V40" s="188"/>
      <c r="W40" s="188"/>
    </row>
    <row r="41" spans="1:23" ht="16.5" customHeight="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</row>
    <row r="42" spans="1:23" ht="16.5" customHeight="1">
      <c r="A42" s="188"/>
      <c r="B42" s="193" t="s">
        <v>148</v>
      </c>
      <c r="C42" s="242" t="s">
        <v>149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4"/>
      <c r="P42" s="188"/>
      <c r="Q42" s="188"/>
      <c r="R42" s="188"/>
      <c r="S42" s="188"/>
      <c r="T42" s="188"/>
      <c r="U42" s="188"/>
      <c r="V42" s="188"/>
      <c r="W42" s="188"/>
    </row>
    <row r="43" spans="1:23" ht="16.5" customHeight="1">
      <c r="A43" s="188"/>
      <c r="B43" s="196"/>
      <c r="C43" s="245" t="s">
        <v>150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6"/>
      <c r="P43" s="188"/>
      <c r="Q43" s="188"/>
      <c r="R43" s="188"/>
      <c r="S43" s="188"/>
      <c r="T43" s="188"/>
      <c r="U43" s="188"/>
      <c r="V43" s="188"/>
      <c r="W43" s="188"/>
    </row>
    <row r="44" spans="1:23" ht="16.5" customHeight="1">
      <c r="A44" s="188"/>
      <c r="B44" s="247" t="s">
        <v>85</v>
      </c>
      <c r="C44" s="197" t="s">
        <v>151</v>
      </c>
      <c r="D44" s="246" t="s">
        <v>590</v>
      </c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188"/>
      <c r="Q44" s="188"/>
      <c r="R44" s="188"/>
      <c r="S44" s="188"/>
      <c r="T44" s="188"/>
      <c r="U44" s="188"/>
      <c r="V44" s="188"/>
      <c r="W44" s="188"/>
    </row>
    <row r="45" spans="1:23" ht="16.5" customHeight="1">
      <c r="A45" s="188"/>
      <c r="B45" s="249"/>
      <c r="C45" s="198" t="s">
        <v>152</v>
      </c>
      <c r="D45" s="266" t="s">
        <v>591</v>
      </c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8"/>
      <c r="P45" s="188"/>
      <c r="Q45" s="188"/>
      <c r="R45" s="188"/>
      <c r="S45" s="188"/>
      <c r="T45" s="188"/>
      <c r="U45" s="188"/>
      <c r="V45" s="188"/>
      <c r="W45" s="188"/>
    </row>
    <row r="46" spans="1:23" ht="16.5" customHeight="1">
      <c r="A46" s="188"/>
      <c r="B46" s="250"/>
      <c r="C46" s="199" t="s">
        <v>151</v>
      </c>
      <c r="D46" s="269" t="s">
        <v>592</v>
      </c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8"/>
      <c r="P46" s="188"/>
      <c r="Q46" s="188"/>
      <c r="R46" s="188"/>
      <c r="S46" s="188"/>
      <c r="T46" s="188"/>
      <c r="U46" s="188"/>
      <c r="V46" s="188"/>
      <c r="W46" s="188"/>
    </row>
    <row r="47" spans="1:23" ht="16.5" customHeight="1">
      <c r="A47" s="188"/>
      <c r="B47" s="251"/>
      <c r="C47" s="200" t="s">
        <v>152</v>
      </c>
      <c r="D47" s="310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2"/>
      <c r="P47" s="188"/>
      <c r="Q47" s="188"/>
      <c r="R47" s="188"/>
      <c r="S47" s="188"/>
      <c r="T47" s="188"/>
      <c r="U47" s="188"/>
      <c r="V47" s="188"/>
      <c r="W47" s="188"/>
    </row>
    <row r="48" spans="1:23" ht="16.5" customHeight="1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</row>
    <row r="49" spans="1:23" ht="16.5" customHeight="1">
      <c r="A49" s="188"/>
      <c r="B49" s="193" t="s">
        <v>153</v>
      </c>
      <c r="C49" s="237" t="s">
        <v>154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188"/>
      <c r="Q49" s="188"/>
      <c r="R49" s="188"/>
      <c r="S49" s="188"/>
      <c r="T49" s="188"/>
      <c r="U49" s="188"/>
      <c r="V49" s="188"/>
      <c r="W49" s="188"/>
    </row>
    <row r="50" spans="1:23" ht="16.5" customHeight="1">
      <c r="A50" s="188"/>
      <c r="B50" s="254" t="s">
        <v>85</v>
      </c>
      <c r="C50" s="240" t="s">
        <v>593</v>
      </c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30"/>
      <c r="P50" s="188"/>
      <c r="Q50" s="188"/>
      <c r="R50" s="188"/>
      <c r="S50" s="188"/>
      <c r="T50" s="188"/>
      <c r="U50" s="188"/>
      <c r="V50" s="188"/>
      <c r="W50" s="188"/>
    </row>
    <row r="51" spans="1:23" ht="16.5" customHeight="1">
      <c r="A51" s="188"/>
      <c r="B51" s="248"/>
      <c r="C51" s="241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188"/>
      <c r="Q51" s="188"/>
      <c r="R51" s="188"/>
      <c r="S51" s="188"/>
      <c r="T51" s="188"/>
      <c r="U51" s="188"/>
      <c r="V51" s="188"/>
      <c r="W51" s="188"/>
    </row>
    <row r="52" spans="1:23" ht="16.5" customHeight="1">
      <c r="A52" s="188"/>
      <c r="B52" s="249"/>
      <c r="C52" s="225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7"/>
      <c r="P52" s="188"/>
      <c r="Q52" s="188"/>
      <c r="R52" s="188"/>
      <c r="S52" s="188"/>
      <c r="T52" s="188"/>
      <c r="U52" s="188"/>
      <c r="V52" s="188"/>
      <c r="W52" s="188"/>
    </row>
    <row r="53" spans="1:23" ht="16.5" customHeight="1">
      <c r="A53" s="188"/>
      <c r="B53" s="250"/>
      <c r="C53" s="228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30"/>
      <c r="P53" s="188"/>
      <c r="Q53" s="188"/>
      <c r="R53" s="188"/>
      <c r="S53" s="188"/>
      <c r="T53" s="188"/>
      <c r="U53" s="188"/>
      <c r="V53" s="188"/>
      <c r="W53" s="188"/>
    </row>
    <row r="54" spans="1:23" ht="16.5" customHeight="1">
      <c r="A54" s="188"/>
      <c r="B54" s="248"/>
      <c r="C54" s="231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3"/>
      <c r="P54" s="188"/>
      <c r="Q54" s="188"/>
      <c r="R54" s="188"/>
      <c r="S54" s="188"/>
      <c r="T54" s="188"/>
      <c r="U54" s="188"/>
      <c r="V54" s="188"/>
      <c r="W54" s="188"/>
    </row>
    <row r="55" spans="1:23" ht="16.5" customHeight="1">
      <c r="A55" s="188"/>
      <c r="B55" s="251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6"/>
      <c r="P55" s="188"/>
      <c r="Q55" s="188"/>
      <c r="R55" s="188"/>
      <c r="S55" s="188"/>
      <c r="T55" s="188"/>
      <c r="U55" s="188"/>
      <c r="V55" s="188"/>
      <c r="W55" s="188"/>
    </row>
    <row r="56" spans="1:23" ht="16.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 ht="16.5" customHeight="1">
      <c r="A57" s="188"/>
      <c r="B57" s="193" t="s">
        <v>155</v>
      </c>
      <c r="C57" s="237" t="s">
        <v>156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188"/>
      <c r="Q57" s="188"/>
      <c r="R57" s="188"/>
      <c r="S57" s="188"/>
      <c r="T57" s="188"/>
      <c r="U57" s="188"/>
      <c r="V57" s="188"/>
      <c r="W57" s="188"/>
    </row>
    <row r="58" spans="1:23" ht="16.5" customHeight="1">
      <c r="A58" s="188"/>
      <c r="B58" s="254" t="s">
        <v>85</v>
      </c>
      <c r="C58" s="240" t="s">
        <v>594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P58" s="188"/>
      <c r="Q58" s="188"/>
      <c r="R58" s="188"/>
      <c r="S58" s="188"/>
      <c r="T58" s="188"/>
      <c r="U58" s="188"/>
      <c r="V58" s="188"/>
      <c r="W58" s="188"/>
    </row>
    <row r="59" spans="1:23" ht="16.5" customHeight="1">
      <c r="A59" s="188"/>
      <c r="B59" s="248"/>
      <c r="C59" s="241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3"/>
      <c r="P59" s="188"/>
      <c r="Q59" s="188"/>
      <c r="R59" s="188"/>
      <c r="S59" s="188"/>
      <c r="T59" s="188"/>
      <c r="U59" s="188"/>
      <c r="V59" s="188"/>
      <c r="W59" s="188"/>
    </row>
    <row r="60" spans="1:23" ht="16.5" customHeight="1">
      <c r="A60" s="188"/>
      <c r="B60" s="249"/>
      <c r="C60" s="225" t="s">
        <v>595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7"/>
      <c r="P60" s="188"/>
      <c r="Q60" s="188"/>
      <c r="R60" s="188"/>
      <c r="S60" s="188"/>
      <c r="T60" s="188"/>
      <c r="U60" s="188"/>
      <c r="V60" s="188"/>
      <c r="W60" s="188"/>
    </row>
    <row r="61" spans="1:23" ht="16.5" customHeight="1">
      <c r="A61" s="188"/>
      <c r="B61" s="250"/>
      <c r="C61" s="228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30"/>
      <c r="P61" s="188"/>
      <c r="Q61" s="188"/>
      <c r="R61" s="188"/>
      <c r="S61" s="188"/>
      <c r="T61" s="188"/>
      <c r="U61" s="188"/>
      <c r="V61" s="188"/>
      <c r="W61" s="188"/>
    </row>
    <row r="62" spans="1:23" ht="16.5" customHeight="1">
      <c r="A62" s="188"/>
      <c r="B62" s="248"/>
      <c r="C62" s="231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3"/>
      <c r="P62" s="188"/>
      <c r="Q62" s="188"/>
      <c r="R62" s="188"/>
      <c r="S62" s="188"/>
      <c r="T62" s="188"/>
      <c r="U62" s="188"/>
      <c r="V62" s="188"/>
      <c r="W62" s="188"/>
    </row>
    <row r="63" spans="1:23" ht="16.5" customHeight="1">
      <c r="A63" s="188"/>
      <c r="B63" s="251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6"/>
      <c r="P63" s="188"/>
      <c r="Q63" s="188"/>
      <c r="R63" s="188"/>
      <c r="S63" s="188"/>
      <c r="T63" s="188"/>
      <c r="U63" s="188"/>
      <c r="V63" s="188"/>
      <c r="W63" s="188"/>
    </row>
    <row r="64" spans="1:23" ht="16.5" customHeigh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 ht="16.5" customHeight="1">
      <c r="A65" s="188"/>
      <c r="B65" s="193" t="s">
        <v>157</v>
      </c>
      <c r="C65" s="242" t="s">
        <v>158</v>
      </c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4"/>
      <c r="P65" s="188"/>
      <c r="Q65" s="188"/>
      <c r="R65" s="188"/>
      <c r="S65" s="188"/>
      <c r="T65" s="188"/>
      <c r="U65" s="188"/>
      <c r="V65" s="188"/>
      <c r="W65" s="188"/>
    </row>
    <row r="66" spans="1:23" ht="16.5" customHeight="1">
      <c r="A66" s="188"/>
      <c r="B66" s="201"/>
      <c r="C66" s="276" t="s">
        <v>159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7"/>
      <c r="P66" s="188"/>
      <c r="Q66" s="188"/>
      <c r="R66" s="188"/>
      <c r="S66" s="188"/>
      <c r="T66" s="188"/>
      <c r="U66" s="188"/>
      <c r="V66" s="188"/>
      <c r="W66" s="188"/>
    </row>
    <row r="67" spans="1:23" ht="16.5" customHeight="1">
      <c r="A67" s="188"/>
      <c r="B67" s="254" t="s">
        <v>85</v>
      </c>
      <c r="C67" s="240" t="s">
        <v>596</v>
      </c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30"/>
      <c r="P67" s="188"/>
      <c r="Q67" s="188"/>
      <c r="R67" s="188"/>
      <c r="S67" s="188"/>
      <c r="T67" s="188"/>
      <c r="U67" s="188"/>
      <c r="V67" s="188"/>
      <c r="W67" s="188"/>
    </row>
    <row r="68" spans="1:23" ht="16.5" customHeight="1">
      <c r="A68" s="188"/>
      <c r="B68" s="248"/>
      <c r="C68" s="241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188"/>
      <c r="Q68" s="188"/>
      <c r="R68" s="188"/>
      <c r="S68" s="188"/>
      <c r="T68" s="188"/>
      <c r="U68" s="188"/>
      <c r="V68" s="188"/>
      <c r="W68" s="188"/>
    </row>
    <row r="69" spans="1:23" ht="16.5" customHeight="1">
      <c r="A69" s="188"/>
      <c r="B69" s="249"/>
      <c r="C69" s="225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7"/>
      <c r="P69" s="188"/>
      <c r="Q69" s="188"/>
      <c r="R69" s="188"/>
      <c r="S69" s="188"/>
      <c r="T69" s="188"/>
      <c r="U69" s="188"/>
      <c r="V69" s="188"/>
      <c r="W69" s="188"/>
    </row>
    <row r="70" spans="1:23" ht="16.5" customHeight="1">
      <c r="A70" s="188"/>
      <c r="B70" s="250"/>
      <c r="C70" s="228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30"/>
      <c r="P70" s="188"/>
      <c r="Q70" s="188"/>
      <c r="R70" s="188"/>
      <c r="S70" s="188"/>
      <c r="T70" s="188"/>
      <c r="U70" s="188"/>
      <c r="V70" s="188"/>
      <c r="W70" s="188"/>
    </row>
    <row r="71" spans="1:23" ht="16.5" customHeight="1">
      <c r="A71" s="188"/>
      <c r="B71" s="248"/>
      <c r="C71" s="231" t="s">
        <v>597</v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3"/>
      <c r="P71" s="188"/>
      <c r="Q71" s="188"/>
      <c r="R71" s="188"/>
      <c r="S71" s="188"/>
      <c r="T71" s="188"/>
      <c r="U71" s="188"/>
      <c r="V71" s="188"/>
      <c r="W71" s="188"/>
    </row>
    <row r="72" spans="1:23" ht="16.5" customHeight="1">
      <c r="A72" s="188"/>
      <c r="B72" s="251"/>
      <c r="C72" s="234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188"/>
      <c r="Q72" s="188"/>
      <c r="R72" s="188"/>
      <c r="S72" s="188"/>
      <c r="T72" s="188"/>
      <c r="U72" s="188"/>
      <c r="V72" s="188"/>
      <c r="W72" s="188"/>
    </row>
    <row r="73" spans="1:23" ht="16.5" customHeight="1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 ht="16.5" customHeight="1">
      <c r="A74" s="188"/>
      <c r="B74" s="260" t="s">
        <v>207</v>
      </c>
      <c r="C74" s="262" t="s">
        <v>161</v>
      </c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4"/>
      <c r="P74" s="188"/>
      <c r="Q74" s="188"/>
      <c r="R74" s="188"/>
      <c r="S74" s="188"/>
      <c r="T74" s="188"/>
      <c r="U74" s="188"/>
      <c r="V74" s="188"/>
      <c r="W74" s="188"/>
    </row>
    <row r="75" spans="1:23" ht="16.5" customHeight="1">
      <c r="A75" s="188"/>
      <c r="B75" s="248"/>
      <c r="C75" s="263" t="s">
        <v>162</v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3"/>
      <c r="P75" s="188"/>
      <c r="Q75" s="188"/>
      <c r="R75" s="188"/>
      <c r="S75" s="188"/>
      <c r="T75" s="188"/>
      <c r="U75" s="188"/>
      <c r="V75" s="188"/>
      <c r="W75" s="188"/>
    </row>
    <row r="76" spans="1:23" ht="16.5" customHeight="1">
      <c r="A76" s="188"/>
      <c r="B76" s="251"/>
      <c r="C76" s="264" t="s">
        <v>163</v>
      </c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188"/>
      <c r="Q76" s="188"/>
      <c r="R76" s="188"/>
      <c r="S76" s="188"/>
      <c r="T76" s="188"/>
      <c r="U76" s="188"/>
      <c r="V76" s="188"/>
      <c r="W76" s="188"/>
    </row>
    <row r="77" spans="1:23" ht="16.5" customHeight="1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 ht="16.5" customHeight="1">
      <c r="A78" s="188"/>
      <c r="B78" s="189" t="s">
        <v>164</v>
      </c>
      <c r="C78" s="265" t="s">
        <v>165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8"/>
      <c r="P78" s="188"/>
      <c r="Q78" s="188"/>
      <c r="R78" s="188"/>
      <c r="S78" s="188"/>
      <c r="T78" s="188"/>
      <c r="U78" s="188"/>
      <c r="V78" s="188"/>
      <c r="W78" s="188"/>
    </row>
    <row r="79" spans="1:23" ht="16.5" customHeight="1">
      <c r="A79" s="188"/>
      <c r="B79" s="252" t="s">
        <v>85</v>
      </c>
      <c r="C79" s="311" t="s">
        <v>598</v>
      </c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188"/>
      <c r="Q79" s="188"/>
      <c r="R79" s="188"/>
      <c r="S79" s="188"/>
      <c r="T79" s="188"/>
      <c r="U79" s="188"/>
      <c r="V79" s="188"/>
      <c r="W79" s="188"/>
    </row>
    <row r="80" spans="1:23" ht="16.5" customHeight="1">
      <c r="A80" s="188"/>
      <c r="B80" s="253"/>
      <c r="C80" s="301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188"/>
      <c r="Q80" s="188"/>
      <c r="R80" s="188"/>
      <c r="S80" s="188"/>
      <c r="T80" s="188"/>
      <c r="U80" s="188"/>
      <c r="V80" s="188"/>
      <c r="W80" s="188"/>
    </row>
    <row r="81" spans="1:23" ht="16.5" customHeight="1">
      <c r="A81" s="188"/>
      <c r="B81" s="250"/>
      <c r="C81" s="312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6"/>
      <c r="P81" s="188"/>
      <c r="Q81" s="188"/>
      <c r="R81" s="188"/>
      <c r="S81" s="188"/>
      <c r="T81" s="188"/>
      <c r="U81" s="188"/>
      <c r="V81" s="188"/>
      <c r="W81" s="188"/>
    </row>
    <row r="82" spans="1:23" ht="16.5" customHeight="1">
      <c r="A82" s="188"/>
      <c r="B82" s="251"/>
      <c r="C82" s="307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9"/>
      <c r="P82" s="188"/>
      <c r="Q82" s="188"/>
      <c r="R82" s="188"/>
      <c r="S82" s="188"/>
      <c r="T82" s="188"/>
      <c r="U82" s="188"/>
      <c r="V82" s="188"/>
      <c r="W82" s="188"/>
    </row>
    <row r="83" spans="1:23" ht="16.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 ht="16.5" customHeight="1">
      <c r="A84" s="188"/>
      <c r="B84" s="193" t="s">
        <v>167</v>
      </c>
      <c r="C84" s="242" t="s">
        <v>168</v>
      </c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4"/>
      <c r="P84" s="188"/>
      <c r="Q84" s="188"/>
      <c r="R84" s="188"/>
      <c r="S84" s="188"/>
      <c r="T84" s="188"/>
      <c r="U84" s="188"/>
      <c r="V84" s="188"/>
      <c r="W84" s="188"/>
    </row>
    <row r="85" spans="1:23" ht="16.5" customHeight="1">
      <c r="A85" s="188"/>
      <c r="B85" s="254" t="s">
        <v>85</v>
      </c>
      <c r="C85" s="24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30"/>
      <c r="P85" s="188"/>
      <c r="Q85" s="188"/>
      <c r="R85" s="188"/>
      <c r="S85" s="188"/>
      <c r="T85" s="188"/>
      <c r="U85" s="188"/>
      <c r="V85" s="188"/>
      <c r="W85" s="188"/>
    </row>
    <row r="86" spans="1:23" ht="16.5" customHeight="1">
      <c r="A86" s="188"/>
      <c r="B86" s="248"/>
      <c r="C86" s="241" t="s">
        <v>453</v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3"/>
      <c r="P86" s="188"/>
      <c r="Q86" s="188"/>
      <c r="R86" s="188"/>
      <c r="S86" s="188"/>
      <c r="T86" s="188"/>
      <c r="U86" s="188"/>
      <c r="V86" s="188"/>
      <c r="W86" s="188"/>
    </row>
    <row r="87" spans="1:23" ht="16.5" customHeight="1">
      <c r="A87" s="188"/>
      <c r="B87" s="249"/>
      <c r="C87" s="225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7"/>
      <c r="P87" s="188"/>
      <c r="Q87" s="188"/>
      <c r="R87" s="188"/>
      <c r="S87" s="188"/>
      <c r="T87" s="188"/>
      <c r="U87" s="188"/>
      <c r="V87" s="188"/>
      <c r="W87" s="188"/>
    </row>
    <row r="88" spans="1:23" ht="16.5" customHeight="1">
      <c r="A88" s="188"/>
      <c r="B88" s="250"/>
      <c r="C88" s="228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0"/>
      <c r="P88" s="188"/>
      <c r="Q88" s="188"/>
      <c r="R88" s="188"/>
      <c r="S88" s="188"/>
      <c r="T88" s="188"/>
      <c r="U88" s="188"/>
      <c r="V88" s="188"/>
      <c r="W88" s="188"/>
    </row>
    <row r="89" spans="1:23" ht="16.5" customHeight="1">
      <c r="A89" s="188"/>
      <c r="B89" s="248"/>
      <c r="C89" s="231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3"/>
      <c r="P89" s="188"/>
      <c r="Q89" s="188"/>
      <c r="R89" s="188"/>
      <c r="S89" s="188"/>
      <c r="T89" s="188"/>
      <c r="U89" s="188"/>
      <c r="V89" s="188"/>
      <c r="W89" s="188"/>
    </row>
    <row r="90" spans="1:23" ht="16.5" customHeight="1">
      <c r="A90" s="188"/>
      <c r="B90" s="249"/>
      <c r="C90" s="273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7"/>
      <c r="P90" s="188"/>
      <c r="Q90" s="188"/>
      <c r="R90" s="188"/>
      <c r="S90" s="188"/>
      <c r="T90" s="188"/>
      <c r="U90" s="188"/>
      <c r="V90" s="188"/>
      <c r="W90" s="188"/>
    </row>
    <row r="91" spans="1:23" ht="16.5" customHeight="1">
      <c r="A91" s="188"/>
      <c r="B91" s="261" t="s">
        <v>169</v>
      </c>
      <c r="C91" s="274" t="s">
        <v>170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30"/>
      <c r="P91" s="188"/>
      <c r="Q91" s="188"/>
      <c r="R91" s="188"/>
      <c r="S91" s="188"/>
      <c r="T91" s="188"/>
      <c r="U91" s="188"/>
      <c r="V91" s="188"/>
      <c r="W91" s="188"/>
    </row>
    <row r="92" spans="1:23" ht="16.5" customHeight="1">
      <c r="A92" s="188"/>
      <c r="B92" s="251"/>
      <c r="C92" s="245" t="s">
        <v>171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6"/>
      <c r="P92" s="188"/>
      <c r="Q92" s="188"/>
      <c r="R92" s="188"/>
      <c r="S92" s="188"/>
      <c r="T92" s="188"/>
      <c r="U92" s="188"/>
      <c r="V92" s="188"/>
      <c r="W92" s="188"/>
    </row>
    <row r="93" spans="1:23" ht="16.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</row>
    <row r="94" spans="1:23" ht="16.5" customHeight="1">
      <c r="A94" s="188"/>
      <c r="B94" s="193" t="s">
        <v>172</v>
      </c>
      <c r="C94" s="275" t="s">
        <v>173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4"/>
      <c r="P94" s="188"/>
      <c r="Q94" s="188"/>
      <c r="R94" s="188"/>
      <c r="S94" s="188"/>
      <c r="T94" s="188"/>
      <c r="U94" s="188"/>
      <c r="V94" s="188"/>
      <c r="W94" s="188"/>
    </row>
    <row r="95" spans="1:23" ht="16.5" customHeight="1">
      <c r="A95" s="188"/>
      <c r="B95" s="203"/>
      <c r="C95" s="204" t="s">
        <v>174</v>
      </c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5"/>
      <c r="O95" s="206"/>
      <c r="P95" s="188"/>
      <c r="Q95" s="188"/>
      <c r="R95" s="188"/>
      <c r="S95" s="188"/>
      <c r="T95" s="188"/>
      <c r="U95" s="188"/>
      <c r="V95" s="188"/>
      <c r="W95" s="188"/>
    </row>
    <row r="96" spans="1:23" ht="16.5" customHeight="1">
      <c r="A96" s="188"/>
      <c r="B96" s="254" t="s">
        <v>85</v>
      </c>
      <c r="C96" s="240" t="s">
        <v>599</v>
      </c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30"/>
      <c r="P96" s="188"/>
      <c r="Q96" s="188"/>
      <c r="R96" s="188"/>
      <c r="S96" s="188"/>
      <c r="T96" s="188"/>
      <c r="U96" s="188"/>
      <c r="V96" s="188"/>
      <c r="W96" s="188"/>
    </row>
    <row r="97" spans="1:23" ht="16.5" customHeight="1">
      <c r="A97" s="188"/>
      <c r="B97" s="248"/>
      <c r="C97" s="241" t="s">
        <v>600</v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3"/>
      <c r="P97" s="188"/>
      <c r="Q97" s="188"/>
      <c r="R97" s="188"/>
      <c r="S97" s="188"/>
      <c r="T97" s="188"/>
      <c r="U97" s="188"/>
      <c r="V97" s="188"/>
      <c r="W97" s="188"/>
    </row>
    <row r="98" spans="1:23" ht="16.5" customHeight="1">
      <c r="A98" s="188"/>
      <c r="B98" s="249"/>
      <c r="C98" s="225" t="s">
        <v>601</v>
      </c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7"/>
      <c r="P98" s="188"/>
      <c r="Q98" s="188"/>
      <c r="R98" s="188"/>
      <c r="S98" s="188"/>
      <c r="T98" s="188"/>
      <c r="U98" s="188"/>
      <c r="V98" s="188"/>
      <c r="W98" s="188"/>
    </row>
    <row r="99" spans="1:23" ht="16.5" customHeight="1">
      <c r="A99" s="188"/>
      <c r="B99" s="250" t="s">
        <v>95</v>
      </c>
      <c r="C99" s="228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30"/>
      <c r="P99" s="188"/>
      <c r="Q99" s="188"/>
      <c r="R99" s="188"/>
      <c r="S99" s="188"/>
      <c r="T99" s="188"/>
      <c r="U99" s="188"/>
      <c r="V99" s="188"/>
      <c r="W99" s="188"/>
    </row>
    <row r="100" spans="1:23" ht="16.5" customHeight="1">
      <c r="A100" s="188"/>
      <c r="B100" s="248"/>
      <c r="C100" s="231" t="s">
        <v>602</v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3"/>
      <c r="P100" s="188"/>
      <c r="Q100" s="188"/>
      <c r="R100" s="188"/>
      <c r="S100" s="188"/>
      <c r="T100" s="188"/>
      <c r="U100" s="188"/>
      <c r="V100" s="188"/>
      <c r="W100" s="188"/>
    </row>
    <row r="101" spans="1:23" ht="16.5" customHeight="1">
      <c r="A101" s="188"/>
      <c r="B101" s="251"/>
      <c r="C101" s="234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188"/>
      <c r="Q101" s="188"/>
      <c r="R101" s="188"/>
      <c r="S101" s="188"/>
      <c r="T101" s="188"/>
      <c r="U101" s="188"/>
      <c r="V101" s="188"/>
      <c r="W101" s="188"/>
    </row>
    <row r="102" spans="1:23" ht="16.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 ht="16.5" customHeight="1">
      <c r="A103" s="188"/>
      <c r="B103" s="193" t="s">
        <v>175</v>
      </c>
      <c r="C103" s="242" t="s">
        <v>176</v>
      </c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4"/>
      <c r="P103" s="188"/>
      <c r="Q103" s="188"/>
      <c r="R103" s="188"/>
      <c r="S103" s="188"/>
      <c r="T103" s="188"/>
      <c r="U103" s="188"/>
      <c r="V103" s="188"/>
      <c r="W103" s="188"/>
    </row>
    <row r="104" spans="1:23" ht="16.5" customHeight="1">
      <c r="A104" s="188"/>
      <c r="B104" s="207"/>
      <c r="C104" s="276" t="s">
        <v>177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7"/>
      <c r="P104" s="188"/>
      <c r="Q104" s="188"/>
      <c r="R104" s="188"/>
      <c r="S104" s="188"/>
      <c r="T104" s="188"/>
      <c r="U104" s="188"/>
      <c r="V104" s="188"/>
      <c r="W104" s="188"/>
    </row>
    <row r="105" spans="1:23" ht="16.5" customHeight="1">
      <c r="A105" s="188"/>
      <c r="B105" s="247" t="s">
        <v>85</v>
      </c>
      <c r="C105" s="277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4"/>
      <c r="P105" s="188"/>
      <c r="Q105" s="188"/>
      <c r="R105" s="188"/>
      <c r="S105" s="188"/>
      <c r="T105" s="188"/>
      <c r="U105" s="188"/>
      <c r="V105" s="188"/>
      <c r="W105" s="188"/>
    </row>
    <row r="106" spans="1:23" ht="16.5" customHeight="1">
      <c r="A106" s="188"/>
      <c r="B106" s="248"/>
      <c r="C106" s="241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3"/>
      <c r="P106" s="188"/>
      <c r="Q106" s="188"/>
      <c r="R106" s="188"/>
      <c r="S106" s="188"/>
      <c r="T106" s="188"/>
      <c r="U106" s="188"/>
      <c r="V106" s="188"/>
      <c r="W106" s="188"/>
    </row>
    <row r="107" spans="1:23" ht="16.5" customHeight="1">
      <c r="A107" s="188"/>
      <c r="B107" s="248"/>
      <c r="C107" s="241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3"/>
      <c r="P107" s="188"/>
      <c r="Q107" s="188"/>
      <c r="R107" s="188"/>
      <c r="S107" s="188"/>
      <c r="T107" s="188"/>
      <c r="U107" s="188"/>
      <c r="V107" s="188"/>
      <c r="W107" s="188"/>
    </row>
    <row r="108" spans="1:23" ht="16.5" customHeight="1">
      <c r="A108" s="188"/>
      <c r="B108" s="248"/>
      <c r="C108" s="241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3"/>
      <c r="P108" s="188"/>
      <c r="Q108" s="188"/>
      <c r="R108" s="188"/>
      <c r="S108" s="188"/>
      <c r="T108" s="188"/>
      <c r="U108" s="188"/>
      <c r="V108" s="188"/>
      <c r="W108" s="188"/>
    </row>
    <row r="109" spans="1:23" ht="16.5" customHeight="1">
      <c r="A109" s="188"/>
      <c r="B109" s="249"/>
      <c r="C109" s="225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7"/>
      <c r="P109" s="188"/>
      <c r="Q109" s="188"/>
      <c r="R109" s="188"/>
      <c r="S109" s="188"/>
      <c r="T109" s="188"/>
      <c r="U109" s="188"/>
      <c r="V109" s="188"/>
      <c r="W109" s="188"/>
    </row>
    <row r="110" spans="1:23" ht="16.5" customHeight="1">
      <c r="A110" s="188"/>
      <c r="B110" s="250" t="s">
        <v>95</v>
      </c>
      <c r="C110" s="228" t="s">
        <v>603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30"/>
      <c r="P110" s="188"/>
      <c r="Q110" s="188"/>
      <c r="R110" s="188"/>
      <c r="S110" s="188"/>
      <c r="T110" s="188"/>
      <c r="U110" s="188"/>
      <c r="V110" s="188"/>
      <c r="W110" s="188"/>
    </row>
    <row r="111" spans="1:23" ht="16.5" customHeight="1">
      <c r="A111" s="188"/>
      <c r="B111" s="248"/>
      <c r="C111" s="231" t="s">
        <v>604</v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3"/>
      <c r="P111" s="188"/>
      <c r="Q111" s="188"/>
      <c r="R111" s="188"/>
      <c r="S111" s="188"/>
      <c r="T111" s="188"/>
      <c r="U111" s="188"/>
      <c r="V111" s="188"/>
      <c r="W111" s="188"/>
    </row>
    <row r="112" spans="1:23" ht="16.5" customHeight="1">
      <c r="A112" s="188"/>
      <c r="B112" s="248"/>
      <c r="C112" s="231" t="s">
        <v>368</v>
      </c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3"/>
      <c r="P112" s="188"/>
      <c r="Q112" s="188"/>
      <c r="R112" s="188"/>
      <c r="S112" s="188"/>
      <c r="T112" s="188"/>
      <c r="U112" s="188"/>
      <c r="V112" s="188"/>
      <c r="W112" s="188"/>
    </row>
    <row r="113" spans="1:27" ht="16.5" customHeight="1">
      <c r="A113" s="188"/>
      <c r="B113" s="248"/>
      <c r="C113" s="231" t="s">
        <v>605</v>
      </c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3"/>
      <c r="P113" s="188"/>
      <c r="Q113" s="188"/>
      <c r="R113" s="188"/>
      <c r="S113" s="188"/>
      <c r="T113" s="188"/>
      <c r="U113" s="188"/>
      <c r="V113" s="188"/>
      <c r="W113" s="188"/>
    </row>
    <row r="114" spans="1:27" ht="16.5" customHeight="1">
      <c r="A114" s="188"/>
      <c r="B114" s="251"/>
      <c r="C114" s="234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6"/>
      <c r="P114" s="188"/>
      <c r="Q114" s="188"/>
      <c r="R114" s="188"/>
      <c r="S114" s="188"/>
      <c r="T114" s="188"/>
      <c r="U114" s="188"/>
      <c r="V114" s="188"/>
      <c r="W114" s="188"/>
    </row>
    <row r="115" spans="1:27" ht="16.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7" ht="16.5" customHeight="1">
      <c r="A116" s="188"/>
      <c r="B116" s="255" t="s">
        <v>178</v>
      </c>
      <c r="C116" s="278" t="s">
        <v>216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4"/>
      <c r="P116" s="188"/>
      <c r="Q116" s="188"/>
      <c r="R116" s="188"/>
      <c r="S116" s="188"/>
      <c r="T116" s="188"/>
      <c r="U116" s="188"/>
      <c r="V116" s="188"/>
      <c r="W116" s="188"/>
    </row>
    <row r="117" spans="1:27" ht="16.5" customHeight="1">
      <c r="A117" s="188"/>
      <c r="B117" s="248"/>
      <c r="C117" s="279" t="s">
        <v>217</v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3"/>
      <c r="P117" s="188"/>
      <c r="Q117" s="188"/>
      <c r="R117" s="188"/>
      <c r="S117" s="188"/>
      <c r="T117" s="188"/>
      <c r="U117" s="188"/>
      <c r="V117" s="188"/>
      <c r="W117" s="188"/>
    </row>
    <row r="118" spans="1:27" ht="16.5" customHeight="1">
      <c r="A118" s="188"/>
      <c r="B118" s="248"/>
      <c r="C118" s="279" t="s">
        <v>218</v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3"/>
      <c r="P118" s="188"/>
      <c r="Q118" s="188"/>
      <c r="R118" s="188"/>
      <c r="S118" s="188"/>
      <c r="T118" s="188"/>
      <c r="U118" s="188"/>
      <c r="V118" s="188"/>
      <c r="W118" s="188"/>
    </row>
    <row r="119" spans="1:27" ht="16.5" customHeight="1">
      <c r="A119" s="188"/>
      <c r="B119" s="248"/>
      <c r="C119" s="279" t="s">
        <v>219</v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3"/>
      <c r="P119" s="188"/>
      <c r="Q119" s="188"/>
      <c r="R119" s="188"/>
      <c r="S119" s="188"/>
      <c r="T119" s="188"/>
      <c r="U119" s="188"/>
      <c r="V119" s="188"/>
      <c r="W119" s="188"/>
    </row>
    <row r="120" spans="1:27" ht="16.5" customHeight="1">
      <c r="A120" s="188"/>
      <c r="B120" s="251"/>
      <c r="C120" s="291" t="s">
        <v>220</v>
      </c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6"/>
      <c r="P120" s="188"/>
      <c r="Q120" s="188"/>
      <c r="R120" s="188"/>
      <c r="S120" s="188"/>
      <c r="T120" s="188"/>
      <c r="U120" s="188"/>
      <c r="V120" s="188"/>
      <c r="W120" s="188"/>
    </row>
    <row r="121" spans="1:27" ht="16.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spans="1:27" ht="16.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spans="1:27" ht="16.5" customHeight="1">
      <c r="A123" s="188"/>
      <c r="B123" s="256" t="s">
        <v>184</v>
      </c>
      <c r="C123" s="292" t="s">
        <v>185</v>
      </c>
      <c r="D123" s="313" t="s">
        <v>186</v>
      </c>
      <c r="E123" s="238"/>
      <c r="F123" s="239"/>
      <c r="G123" s="292" t="s">
        <v>15</v>
      </c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spans="1:27" ht="16.5" customHeight="1">
      <c r="A124" s="188"/>
      <c r="B124" s="257"/>
      <c r="C124" s="220"/>
      <c r="D124" s="211" t="s">
        <v>1</v>
      </c>
      <c r="E124" s="212" t="s">
        <v>5</v>
      </c>
      <c r="F124" s="213" t="s">
        <v>2</v>
      </c>
      <c r="G124" s="220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spans="1:27" ht="16.5" customHeight="1">
      <c r="A125" s="188"/>
      <c r="B125" s="252" t="s">
        <v>85</v>
      </c>
      <c r="C125" s="282"/>
      <c r="D125" s="294"/>
      <c r="E125" s="296"/>
      <c r="F125" s="280"/>
      <c r="G125" s="282">
        <f>C125*0.3 + (D125+E125+F125)/3*0.7</f>
        <v>0</v>
      </c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spans="1:27" ht="16.5" customHeight="1">
      <c r="A126" s="188"/>
      <c r="B126" s="253"/>
      <c r="C126" s="283"/>
      <c r="D126" s="295"/>
      <c r="E126" s="297"/>
      <c r="F126" s="281"/>
      <c r="G126" s="283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spans="1:27" ht="16.5" customHeight="1">
      <c r="A127" s="188"/>
      <c r="B127" s="258"/>
      <c r="C127" s="284"/>
      <c r="D127" s="285"/>
      <c r="E127" s="287"/>
      <c r="F127" s="289"/>
      <c r="G127" s="284">
        <f>C127*0.3 + (D127+E127+F127)/3*0.7</f>
        <v>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spans="1:27" ht="16.5" customHeight="1">
      <c r="A128" s="188"/>
      <c r="B128" s="259"/>
      <c r="C128" s="220"/>
      <c r="D128" s="286"/>
      <c r="E128" s="288"/>
      <c r="F128" s="290"/>
      <c r="G128" s="220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spans="1:27" ht="16.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spans="1:27" ht="16.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spans="1:27" ht="16.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spans="1:27" ht="16.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spans="1:27" ht="16.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spans="1:27" ht="16.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spans="1:27" ht="16.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spans="1:27" ht="16.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spans="1:27" ht="16.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spans="1:27" ht="16.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spans="1:27" ht="16.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spans="1:27" ht="16.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spans="1:27" ht="16.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spans="1:27" ht="16.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spans="1:27" ht="16.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spans="1:27" ht="16.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spans="1:27" ht="16.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spans="1:27" ht="16.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spans="1:27" ht="16.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spans="1:27" ht="16.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spans="1:27" ht="16.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spans="1:27" ht="16.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spans="1:27" ht="16.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spans="1:27" ht="16.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spans="1:27" ht="16.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spans="1:27" ht="16.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spans="1:27" ht="16.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spans="1:27" ht="16.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spans="1:27" ht="16.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spans="1:27" ht="16.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spans="1:27" ht="16.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spans="1:27" ht="16.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spans="1:27" ht="16.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spans="1:27" ht="16.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spans="1:27" ht="16.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spans="1:27" ht="16.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spans="1:27" ht="16.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spans="1:27" ht="16.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spans="1:27" ht="16.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spans="1:27" ht="16.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spans="1:27" ht="16.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spans="1:27" ht="16.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spans="1:27" ht="16.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spans="1:27" ht="16.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spans="1:27" ht="16.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spans="1:27" ht="16.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spans="1:27" ht="16.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spans="1:27" ht="16.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63:O63"/>
    <mergeCell ref="C65:O65"/>
    <mergeCell ref="C66:O66"/>
    <mergeCell ref="C67:O67"/>
    <mergeCell ref="C68:O68"/>
    <mergeCell ref="C69:O69"/>
    <mergeCell ref="C70:O70"/>
    <mergeCell ref="C23:O23"/>
    <mergeCell ref="C25:O25"/>
    <mergeCell ref="C26:O26"/>
    <mergeCell ref="C27:O27"/>
    <mergeCell ref="C28:O28"/>
    <mergeCell ref="D45:O45"/>
    <mergeCell ref="D46:O46"/>
    <mergeCell ref="D47:O47"/>
    <mergeCell ref="C49:O49"/>
    <mergeCell ref="C13:O13"/>
    <mergeCell ref="C14:O14"/>
    <mergeCell ref="C15:O15"/>
    <mergeCell ref="C16:O16"/>
    <mergeCell ref="C17:O17"/>
    <mergeCell ref="C19:O19"/>
    <mergeCell ref="C20:O20"/>
    <mergeCell ref="C21:O21"/>
    <mergeCell ref="C22:O22"/>
    <mergeCell ref="C10:O10"/>
    <mergeCell ref="C11:O11"/>
    <mergeCell ref="B2:B3"/>
    <mergeCell ref="C2:O3"/>
    <mergeCell ref="B4:B5"/>
    <mergeCell ref="C4:O5"/>
    <mergeCell ref="C8:O8"/>
    <mergeCell ref="C9:O9"/>
    <mergeCell ref="C12:O12"/>
    <mergeCell ref="C116:O116"/>
    <mergeCell ref="C117:O117"/>
    <mergeCell ref="C118:O118"/>
    <mergeCell ref="C119:O119"/>
    <mergeCell ref="C120:O120"/>
    <mergeCell ref="C123:C124"/>
    <mergeCell ref="C127:C128"/>
    <mergeCell ref="D127:D128"/>
    <mergeCell ref="E127:E128"/>
    <mergeCell ref="F127:F128"/>
    <mergeCell ref="G127:G128"/>
    <mergeCell ref="D123:F123"/>
    <mergeCell ref="G123:G124"/>
    <mergeCell ref="C125:C126"/>
    <mergeCell ref="D125:D126"/>
    <mergeCell ref="E125:E126"/>
    <mergeCell ref="F125:F126"/>
    <mergeCell ref="G125:G126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96:O96"/>
    <mergeCell ref="C97:O97"/>
    <mergeCell ref="C98:O98"/>
    <mergeCell ref="C99:O99"/>
    <mergeCell ref="C100:O100"/>
    <mergeCell ref="C101:O101"/>
    <mergeCell ref="C103:O103"/>
    <mergeCell ref="C104:O104"/>
    <mergeCell ref="C105:O105"/>
    <mergeCell ref="C85:O85"/>
    <mergeCell ref="C86:O86"/>
    <mergeCell ref="C87:O87"/>
    <mergeCell ref="C88:O88"/>
    <mergeCell ref="C89:O89"/>
    <mergeCell ref="C90:O90"/>
    <mergeCell ref="C91:O91"/>
    <mergeCell ref="C92:O92"/>
    <mergeCell ref="C94:O94"/>
    <mergeCell ref="C71:O71"/>
    <mergeCell ref="C72:O72"/>
    <mergeCell ref="C74:O74"/>
    <mergeCell ref="C75:O75"/>
    <mergeCell ref="C76:O76"/>
    <mergeCell ref="C78:O78"/>
    <mergeCell ref="C79:O80"/>
    <mergeCell ref="C81:O82"/>
    <mergeCell ref="C84:O84"/>
    <mergeCell ref="B123:B124"/>
    <mergeCell ref="B125:B126"/>
    <mergeCell ref="B127:B128"/>
    <mergeCell ref="B74:B76"/>
    <mergeCell ref="B79:B80"/>
    <mergeCell ref="B81:B82"/>
    <mergeCell ref="B85:B87"/>
    <mergeCell ref="B88:B90"/>
    <mergeCell ref="B91:B92"/>
    <mergeCell ref="B96:B98"/>
    <mergeCell ref="B46:B47"/>
    <mergeCell ref="B50:B52"/>
    <mergeCell ref="B53:B55"/>
    <mergeCell ref="B58:B60"/>
    <mergeCell ref="B61:B63"/>
    <mergeCell ref="B99:B101"/>
    <mergeCell ref="B105:B109"/>
    <mergeCell ref="B110:B114"/>
    <mergeCell ref="B116:B120"/>
    <mergeCell ref="B67:B69"/>
    <mergeCell ref="B70:B72"/>
    <mergeCell ref="B8:B12"/>
    <mergeCell ref="B13:B17"/>
    <mergeCell ref="B20:B21"/>
    <mergeCell ref="B22:B23"/>
    <mergeCell ref="B27:B29"/>
    <mergeCell ref="B30:B32"/>
    <mergeCell ref="B35:B37"/>
    <mergeCell ref="B38:B40"/>
    <mergeCell ref="B44:B45"/>
    <mergeCell ref="C39:O39"/>
    <mergeCell ref="C40:O40"/>
    <mergeCell ref="C42:O42"/>
    <mergeCell ref="C43:O43"/>
    <mergeCell ref="D44:O44"/>
    <mergeCell ref="C61:O61"/>
    <mergeCell ref="C62:O62"/>
    <mergeCell ref="C53:O53"/>
    <mergeCell ref="C54:O54"/>
    <mergeCell ref="C55:O55"/>
    <mergeCell ref="C57:O57"/>
    <mergeCell ref="C58:O58"/>
    <mergeCell ref="C59:O59"/>
    <mergeCell ref="C60:O60"/>
    <mergeCell ref="C50:O50"/>
    <mergeCell ref="C51:O51"/>
    <mergeCell ref="C52:O52"/>
    <mergeCell ref="C29:O29"/>
    <mergeCell ref="C30:O30"/>
    <mergeCell ref="C31:O31"/>
    <mergeCell ref="C32:O32"/>
    <mergeCell ref="C34:O34"/>
    <mergeCell ref="C35:O35"/>
    <mergeCell ref="C36:O36"/>
    <mergeCell ref="C37:O37"/>
    <mergeCell ref="C38:O38"/>
  </mergeCells>
  <phoneticPr fontId="2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지원서 평가</vt:lpstr>
      <vt:lpstr>면접 시간표</vt:lpstr>
      <vt:lpstr>유의사항</vt:lpstr>
      <vt:lpstr>예시</vt:lpstr>
      <vt:lpstr>점수총합</vt:lpstr>
      <vt:lpstr>1240~1300</vt:lpstr>
      <vt:lpstr>1300~1320</vt:lpstr>
      <vt:lpstr>1320~1340</vt:lpstr>
      <vt:lpstr>1340~1400</vt:lpstr>
      <vt:lpstr>1400~1420</vt:lpstr>
      <vt:lpstr>1420~1440</vt:lpstr>
      <vt:lpstr>1440~1500</vt:lpstr>
      <vt:lpstr>1500~1520</vt:lpstr>
      <vt:lpstr>1540~1600</vt:lpstr>
      <vt:lpstr>1600~1620</vt:lpstr>
      <vt:lpstr>1620~1640</vt:lpstr>
      <vt:lpstr>1700~1720</vt:lpstr>
      <vt:lpstr>1720~1740</vt:lpstr>
      <vt:lpstr>1740~1800</vt:lpstr>
      <vt:lpstr>320 1800</vt:lpstr>
      <vt:lpstr>320 1900</vt:lpstr>
      <vt:lpstr>1810~1830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2023-01-04T10:24:17Z</dcterms:created>
  <dcterms:modified xsi:type="dcterms:W3CDTF">2023-03-24T05:36:30Z</dcterms:modified>
</cp:coreProperties>
</file>