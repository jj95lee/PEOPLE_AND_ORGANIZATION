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회장\신입 모집\"/>
    </mc:Choice>
  </mc:AlternateContent>
  <xr:revisionPtr revIDLastSave="0" documentId="13_ncr:1_{BD83F773-14F0-4FB1-9D0C-AC12B5575711}" xr6:coauthVersionLast="47" xr6:coauthVersionMax="47" xr10:uidLastSave="{00000000-0000-0000-0000-000000000000}"/>
  <bookViews>
    <workbookView xWindow="-120" yWindow="-120" windowWidth="29040" windowHeight="15840" tabRatio="934" activeTab="1" xr2:uid="{00000000-000D-0000-FFFF-FFFF00000000}"/>
  </bookViews>
  <sheets>
    <sheet name="면접 시간표" sheetId="1" r:id="rId1"/>
    <sheet name="유의사항" sheetId="2" r:id="rId2"/>
    <sheet name="1300" sheetId="3" r:id="rId3"/>
    <sheet name="1320" sheetId="4" r:id="rId4"/>
    <sheet name="1340" sheetId="5" r:id="rId5"/>
    <sheet name="1400" sheetId="6" r:id="rId6"/>
    <sheet name="1420" sheetId="7" r:id="rId7"/>
    <sheet name="1440" sheetId="8" r:id="rId8"/>
    <sheet name="1500" sheetId="9" r:id="rId9"/>
    <sheet name="1520" sheetId="10" r:id="rId10"/>
    <sheet name="1640" sheetId="11" r:id="rId11"/>
    <sheet name="1700" sheetId="12" r:id="rId12"/>
    <sheet name="1740" sheetId="13" r:id="rId13"/>
    <sheet name="1800" sheetId="14" r:id="rId14"/>
    <sheet name="1820" sheetId="15" r:id="rId15"/>
    <sheet name="1840" sheetId="16" r:id="rId16"/>
    <sheet name="1900" sheetId="17" r:id="rId17"/>
    <sheet name="비대면" sheetId="20" r:id="rId18"/>
    <sheet name="점수총합" sheetId="18" r:id="rId19"/>
    <sheet name="예시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7We8W1Tw2q1lXkFYVhLmhKkmo6MJ0y8f2p+oxsxFP+E="/>
    </ext>
  </extLst>
</workbook>
</file>

<file path=xl/calcChain.xml><?xml version="1.0" encoding="utf-8"?>
<calcChain xmlns="http://schemas.openxmlformats.org/spreadsheetml/2006/main">
  <c r="G127" i="20" l="1"/>
  <c r="G125" i="20"/>
  <c r="G127" i="19"/>
  <c r="G125" i="19"/>
  <c r="AJ26" i="18" a="1"/>
  <c r="AJ26" i="18" s="1"/>
  <c r="AI26" i="18" a="1"/>
  <c r="AI26" i="18" s="1"/>
  <c r="AJ25" i="18" a="1"/>
  <c r="AJ25" i="18" s="1"/>
  <c r="AI25" i="18" a="1"/>
  <c r="AI25" i="18" s="1"/>
  <c r="AJ24" i="18" a="1"/>
  <c r="AJ24" i="18" s="1"/>
  <c r="AI24" i="18" a="1"/>
  <c r="AI24" i="18" s="1"/>
  <c r="AJ23" i="18" a="1"/>
  <c r="AJ23" i="18" s="1"/>
  <c r="AI23" i="18" a="1"/>
  <c r="AI23" i="18" s="1"/>
  <c r="AJ22" i="18" a="1"/>
  <c r="AJ22" i="18" s="1"/>
  <c r="AI22" i="18" a="1"/>
  <c r="AI22" i="18" s="1"/>
  <c r="AJ21" i="18" a="1"/>
  <c r="AJ21" i="18" s="1"/>
  <c r="AI21" i="18" a="1"/>
  <c r="AI21" i="18" s="1"/>
  <c r="AJ20" i="18" a="1"/>
  <c r="AJ20" i="18" s="1"/>
  <c r="AI20" i="18" a="1"/>
  <c r="AI20" i="18" s="1"/>
  <c r="AJ19" i="18" a="1"/>
  <c r="AJ19" i="18" s="1"/>
  <c r="AI19" i="18" a="1"/>
  <c r="AI19" i="18" s="1"/>
  <c r="AJ18" i="18" a="1"/>
  <c r="AJ18" i="18" s="1"/>
  <c r="AI18" i="18" a="1"/>
  <c r="AI18" i="18" s="1"/>
  <c r="AJ17" i="18" a="1"/>
  <c r="AJ17" i="18" s="1"/>
  <c r="AI17" i="18" a="1"/>
  <c r="AI17" i="18" s="1"/>
  <c r="AJ16" i="18" a="1"/>
  <c r="AJ16" i="18" s="1"/>
  <c r="AI16" i="18" a="1"/>
  <c r="AI16" i="18" s="1"/>
  <c r="AJ15" i="18" a="1"/>
  <c r="AJ15" i="18" s="1"/>
  <c r="AI15" i="18" a="1"/>
  <c r="AI15" i="18" s="1"/>
  <c r="AJ12" i="18"/>
  <c r="AI12" i="18"/>
  <c r="AJ11" i="18" a="1"/>
  <c r="AJ11" i="18" s="1"/>
  <c r="AI11" i="18" a="1"/>
  <c r="AI11" i="18" s="1"/>
  <c r="AJ10" i="18" a="1"/>
  <c r="AJ10" i="18" s="1"/>
  <c r="AI10" i="18" a="1"/>
  <c r="AI10" i="18" s="1"/>
  <c r="AJ9" i="18" a="1"/>
  <c r="AJ9" i="18" s="1"/>
  <c r="AI9" i="18" a="1"/>
  <c r="AI9" i="18" s="1"/>
  <c r="J9" i="18"/>
  <c r="I9" i="18"/>
  <c r="AJ8" i="18" a="1"/>
  <c r="AJ8" i="18"/>
  <c r="AI8" i="18" a="1"/>
  <c r="AI8" i="18"/>
  <c r="K8" i="18"/>
  <c r="AJ7" i="18" a="1"/>
  <c r="AJ7" i="18" s="1"/>
  <c r="AI7" i="18" a="1"/>
  <c r="AI7" i="18" s="1"/>
  <c r="K7" i="18"/>
  <c r="K9" i="18" s="1"/>
  <c r="AJ6" i="18" a="1"/>
  <c r="AJ6" i="18"/>
  <c r="AI6" i="18" a="1"/>
  <c r="AI6" i="18"/>
  <c r="L4" i="18"/>
  <c r="L3" i="18"/>
  <c r="G127" i="17"/>
  <c r="G125" i="17"/>
  <c r="G127" i="16"/>
  <c r="G125" i="16"/>
  <c r="G127" i="15"/>
  <c r="G125" i="15"/>
  <c r="G127" i="14"/>
  <c r="G125" i="14"/>
  <c r="G127" i="13"/>
  <c r="G125" i="13"/>
  <c r="G127" i="12"/>
  <c r="G125" i="12"/>
  <c r="G127" i="11"/>
  <c r="G125" i="11"/>
  <c r="G127" i="10"/>
  <c r="G125" i="10"/>
  <c r="G127" i="9"/>
  <c r="G125" i="9"/>
  <c r="G127" i="8"/>
  <c r="G125" i="8"/>
  <c r="G127" i="7"/>
  <c r="G125" i="7"/>
  <c r="G127" i="6"/>
  <c r="G125" i="6"/>
  <c r="G127" i="5"/>
  <c r="G125" i="5"/>
  <c r="G127" i="4"/>
  <c r="G125" i="4"/>
  <c r="G127" i="3"/>
  <c r="AJ5" i="18" s="1" a="1"/>
  <c r="AJ5" i="18" s="1"/>
  <c r="G125" i="3"/>
  <c r="AJ4" i="18" s="1" a="1"/>
  <c r="AJ4" i="18" s="1"/>
</calcChain>
</file>

<file path=xl/sharedStrings.xml><?xml version="1.0" encoding="utf-8"?>
<sst xmlns="http://schemas.openxmlformats.org/spreadsheetml/2006/main" count="1931" uniqueCount="680">
  <si>
    <t xml:space="preserve"> </t>
  </si>
  <si>
    <t>13:00 ~ 13:20</t>
  </si>
  <si>
    <t>13:20 ~ 13:40</t>
  </si>
  <si>
    <t>13:40 ~ 14:00</t>
  </si>
  <si>
    <t>14:00 ~ 14:20</t>
  </si>
  <si>
    <t>14:20 ~ 14:40</t>
  </si>
  <si>
    <t>14:40 ~ 15:00</t>
  </si>
  <si>
    <t>15:00 ~ 15:20</t>
  </si>
  <si>
    <t>15:20 ~ 15:40</t>
  </si>
  <si>
    <t>15:40 ~ 16:00</t>
  </si>
  <si>
    <t>16:00 ~ 16:20</t>
  </si>
  <si>
    <t>16:20 ~ 16:40</t>
  </si>
  <si>
    <t>16:40 ~ 17:00</t>
  </si>
  <si>
    <t>17:00 ~ 17:20</t>
  </si>
  <si>
    <t>17:20 ~ 17:40</t>
  </si>
  <si>
    <t>17:40 ~ 18:00</t>
  </si>
  <si>
    <t>18:00 ~ 18:20</t>
  </si>
  <si>
    <t>18:20 ~ 18:40</t>
  </si>
  <si>
    <t>18:40 ~ 19:00</t>
  </si>
  <si>
    <t>시간</t>
  </si>
  <si>
    <t>확정</t>
  </si>
  <si>
    <t>회신 대기</t>
  </si>
  <si>
    <t>기권</t>
  </si>
  <si>
    <t>김용현</t>
  </si>
  <si>
    <t>O</t>
  </si>
  <si>
    <t>08/24</t>
  </si>
  <si>
    <t>13:00~13:20</t>
  </si>
  <si>
    <t>배규현</t>
  </si>
  <si>
    <t>이주연</t>
  </si>
  <si>
    <t>김영준</t>
  </si>
  <si>
    <t>13:20~13:40</t>
  </si>
  <si>
    <t>백준규</t>
  </si>
  <si>
    <t>정강현</t>
  </si>
  <si>
    <t>김현기</t>
  </si>
  <si>
    <t>13:40~14:00</t>
  </si>
  <si>
    <t>류영훈</t>
  </si>
  <si>
    <t>배종훈</t>
  </si>
  <si>
    <t>14:00~14:20</t>
  </si>
  <si>
    <t>송재민</t>
  </si>
  <si>
    <t>권희연</t>
  </si>
  <si>
    <t>김민성</t>
  </si>
  <si>
    <t>14:20~14:40</t>
  </si>
  <si>
    <t>최가원</t>
  </si>
  <si>
    <t>이의찬</t>
  </si>
  <si>
    <t>신희찬</t>
  </si>
  <si>
    <t>14:40~15:00</t>
  </si>
  <si>
    <t>권순호</t>
  </si>
  <si>
    <t>안정현</t>
  </si>
  <si>
    <t>15:00~15:20</t>
  </si>
  <si>
    <t>안현</t>
  </si>
  <si>
    <t>안우석</t>
  </si>
  <si>
    <t>15:20~15:40</t>
  </si>
  <si>
    <t>전현성</t>
  </si>
  <si>
    <t>주말 가능</t>
  </si>
  <si>
    <t>15:40~16:00</t>
  </si>
  <si>
    <t>16:00~16:20</t>
  </si>
  <si>
    <t>김도현</t>
  </si>
  <si>
    <t>문제원</t>
  </si>
  <si>
    <t>한시우</t>
  </si>
  <si>
    <t>16:20~16:40</t>
  </si>
  <si>
    <t>안지윤</t>
  </si>
  <si>
    <t>배환규</t>
  </si>
  <si>
    <t>19시 이후</t>
  </si>
  <si>
    <t>16:40~17:00</t>
  </si>
  <si>
    <t>17:00~17:20</t>
  </si>
  <si>
    <t>17:20~17:40</t>
  </si>
  <si>
    <t>유지훈</t>
  </si>
  <si>
    <t>백성옥</t>
  </si>
  <si>
    <t>17:40~18:00</t>
  </si>
  <si>
    <t>권지연</t>
  </si>
  <si>
    <t>18:00~18:20</t>
  </si>
  <si>
    <t>민현호</t>
  </si>
  <si>
    <t>오승준</t>
  </si>
  <si>
    <t>25일 이후</t>
  </si>
  <si>
    <t>18:20~18:40</t>
  </si>
  <si>
    <t>박한웅</t>
  </si>
  <si>
    <t>18:40~19:00</t>
  </si>
  <si>
    <t>19:00~19:20</t>
  </si>
  <si>
    <t>08/28</t>
  </si>
  <si>
    <t>김준형</t>
  </si>
  <si>
    <t>공덕</t>
  </si>
  <si>
    <t>신촌</t>
  </si>
  <si>
    <t>19:30~19:50</t>
  </si>
  <si>
    <t>비대면</t>
  </si>
  <si>
    <t>-</t>
  </si>
  <si>
    <t>화상 면접</t>
  </si>
  <si>
    <t>김강엽</t>
  </si>
  <si>
    <t>남 (12)</t>
  </si>
  <si>
    <t>여 (6)</t>
  </si>
  <si>
    <t>활동회원</t>
  </si>
  <si>
    <t>휴면회원</t>
  </si>
  <si>
    <t>전체</t>
  </si>
  <si>
    <t>남</t>
  </si>
  <si>
    <t>여</t>
  </si>
  <si>
    <t>면접관</t>
  </si>
  <si>
    <t>이진진</t>
  </si>
  <si>
    <t>김세미</t>
  </si>
  <si>
    <t>이규엽</t>
  </si>
  <si>
    <t>도우미</t>
  </si>
  <si>
    <t>윤민식</t>
  </si>
  <si>
    <t>이원준</t>
  </si>
  <si>
    <t>&lt;면접 시 유의사항&gt;</t>
  </si>
  <si>
    <t xml:space="preserve"> ① 면접자의 답변에 적절한 호응을 해주며 너무 질의 응답만 이어지지 않게 유의</t>
  </si>
  <si>
    <t xml:space="preserve"> ② 면접관 및 동아리 회원들의 신상정보 공개 금지 (이름, 직책, 나이, 출신학교 등)</t>
  </si>
  <si>
    <t xml:space="preserve"> ③ 여성 지원자들은 대부분 합격이다 등의 말들은 언급 금지 </t>
  </si>
  <si>
    <t xml:space="preserve">     (남성 지원자에 비해 경쟁률은 낮지만 서류 탈락자도 있으며, 면접 이후 최종 불합격이 될 수 있음을 명시)</t>
  </si>
  <si>
    <t xml:space="preserve"> ④ 작성된 내용과 다른 점은 없는지 체크하면서 듣기 (복붙충 검거 목적)</t>
  </si>
  <si>
    <t xml:space="preserve"> ⑤ 면접 마무리시에, 합격임을 암시하는 말들 언급 금지 (오리엔테이션 때 뵙겠습니다 등)</t>
  </si>
  <si>
    <t xml:space="preserve"> ⑥ 면접 대상자가 시야에서 사라지기 전까지는 면접 소감 언급 금지</t>
  </si>
  <si>
    <t xml:space="preserve"> 1. 면접자 도착 전</t>
  </si>
  <si>
    <t xml:space="preserve"> - 해당 지원자의 지원서 반드시 다시 한 번 읽기</t>
  </si>
  <si>
    <t xml:space="preserve"> - 지원서 내용 중 (양식 외에)추가로 질문할 것들 미리 상의해두기</t>
  </si>
  <si>
    <t xml:space="preserve"> 2. 면접자 도착시</t>
  </si>
  <si>
    <t xml:space="preserve"> - 친절하게 맞이해주고 준비하는 동안 가벼운 안부로 긴장 풀어주기</t>
  </si>
  <si>
    <t xml:space="preserve"> - 동아리에 대해 간략히 소개한 후 면접 목적 및 공지사항에 대한 안내하기</t>
  </si>
  <si>
    <t xml:space="preserve"> 면접 시작 멘트 예시</t>
  </si>
  <si>
    <t xml:space="preserve"> 안녕하십니까. 저희는 20대 중후반을 위한 연합친목 동아리 꼰대라떼 입니다. 귀한 시간 내주셔서 감사드립니다.</t>
  </si>
  <si>
    <t xml:space="preserve"> 오늘 이 자리를 마련한 이유는 ○○○님이 저희 단체의 일원이 되기 전의 마지막 준비 단계이기도 한만큼 동아리에</t>
  </si>
  <si>
    <t xml:space="preserve"> 대해 간단히 소개해드린 후에, 직접 대화를 통해 어떤 분인지 더 알고싶어서 준비하게 되었습니다. 그러니 부담갖지</t>
  </si>
  <si>
    <t xml:space="preserve"> 말고 편하게 답변해주시면 되겠습니다. (지원자가 많아 한 타임에 두 분이서 함께 면접이 진행되는 점 양해 부탁드립니다.)</t>
  </si>
  <si>
    <t xml:space="preserve"> 동아리 간략 소개 내용</t>
  </si>
  <si>
    <t xml:space="preserve"> • 어떤 활동을 하는지 예를 들며 소개 </t>
  </si>
  <si>
    <t xml:space="preserve"> • 매주 금요일 토요일 오후에 번갈아가면서 모임이 진행된다는 점 안내</t>
  </si>
  <si>
    <t xml:space="preserve"> • 모임 장소는 대부분 수도권 내 이며, 참여회원의 거주지에 따라 모임 지역이 유동적이라는 점 안내</t>
  </si>
  <si>
    <t xml:space="preserve"> • 정기모임뿐만 아니라 회원이 주최할 수 있는 번개도 참여할 수 있다는 점 안내</t>
  </si>
  <si>
    <t>3. 면접 진행 시 (질문 내용은 다음 시트에 첨부)</t>
  </si>
  <si>
    <t xml:space="preserve"> - 지원서 참고하여 듣기</t>
  </si>
  <si>
    <t xml:space="preserve"> - 특이사항 타이핑</t>
  </si>
  <si>
    <t xml:space="preserve"> 4. 질문 답변 시 참고사항 (회원들의 신상 및 동아리 상세 규정 등의 민감한 질문들은 답변 피하기)</t>
  </si>
  <si>
    <t xml:space="preserve"> Q. 주 활동 지역이 어디인가요?</t>
  </si>
  <si>
    <t xml:space="preserve"> A. 활동지역은 주로 수도권 내에서 진행될 예정. 하지만 활동유형 및 내용에 따라 변경될 수 있음. (MT, 여행 등)</t>
  </si>
  <si>
    <t xml:space="preserve"> Q. 활동 기간은 언제까지인가요?</t>
  </si>
  <si>
    <t xml:space="preserve"> A. 이번 기수 활동 기간은 2월말까지. 이후에 활동연장, 휴면 및 탈퇴 선택.</t>
  </si>
  <si>
    <t xml:space="preserve"> Q. 회비는 얼마인가요?</t>
  </si>
  <si>
    <t xml:space="preserve"> A. 회비는 가입비 20,000원과 활동보증금 10,000원을 합쳐 총 30,000원. </t>
  </si>
  <si>
    <t xml:space="preserve">     보증금은 정해진 참여점수 달성시에 반환되며 사용되지 않고 남은 전체 회비는 기수 종료 시에 균등하게 분배됨.</t>
  </si>
  <si>
    <t xml:space="preserve"> Q. 동아리 인원은 어느정도 되나요?</t>
  </si>
  <si>
    <t xml:space="preserve"> A. 현재 활동인원은 20명 내외이며 최대 40명까지 유지할 예정.</t>
  </si>
  <si>
    <t xml:space="preserve"> Q. 지원자 수는 얼마나 되나요?</t>
  </si>
  <si>
    <t xml:space="preserve"> A. 지원자는 총 50명 가까이 되고 오늘 면접 대상자는 30명 정도.</t>
  </si>
  <si>
    <t xml:space="preserve"> Q. 경쟁률은 얼마나 되나요?</t>
  </si>
  <si>
    <t xml:space="preserve"> A. 결원을 반드시 가득 채워서 선발하지는 않기 때문에 절대적인 수치로 안내드리긴 어려움. </t>
  </si>
  <si>
    <t xml:space="preserve">    지원자들의 역량에 따라 상대적으로 결정됨.</t>
  </si>
  <si>
    <t xml:space="preserve"> Q. 여자와 남자 지원자 수, 경쟁률?</t>
  </si>
  <si>
    <t xml:space="preserve"> A. 남자는 40명 이상, 여자는 20명 이상 지원. </t>
  </si>
  <si>
    <t xml:space="preserve">     여성은 남성 지원자에 비해 경쟁률은 낮지만 서류 탈락자도 있으며, 면접 이후 최종 불합격이 될 수 있음.</t>
  </si>
  <si>
    <t xml:space="preserve"> Q. 성비는 어떻게 되나요?</t>
  </si>
  <si>
    <t xml:space="preserve"> A. 현재는 남자가 조금 더 많은 정도이지만 이번 모집을 통해 1대 1에 가깝게 맞출 예정.</t>
  </si>
  <si>
    <t xml:space="preserve"> Q. 면접 선발 기준이 따로 있나요?</t>
  </si>
  <si>
    <t xml:space="preserve"> A. 정해둔 기준이 있으며 이에 따라 점수가 합산되어 결정. 형평성을 위해 상세한 안내는 어려움.</t>
  </si>
  <si>
    <t xml:space="preserve"> Q. 면접 점수 비중은 어떻게 결정되나요?</t>
  </si>
  <si>
    <t xml:space="preserve"> A. 지원서 30% + 면접 70% 로 결정될 예정.</t>
  </si>
  <si>
    <t xml:space="preserve"> 5. 마무리</t>
  </si>
  <si>
    <t xml:space="preserve"> 내일(월요일) 중으로 합격여부 통지.</t>
  </si>
  <si>
    <t xml:space="preserve"> 최종합격이 될 시에 문자메시지로 보내드리는 동아리 계좌로 회비 30,000원을 입금해야 단체 카톡방에 초대됨.</t>
  </si>
  <si>
    <t xml:space="preserve"> (활동비 20,000원 + 활동보증금 10,000원)</t>
  </si>
  <si>
    <t xml:space="preserve"> 회비 납부 후, 톡방에 초대되면 전반적인 동아리 공지 및 첫 모임에 대한 안내가 있을 예정. </t>
  </si>
  <si>
    <t xml:space="preserve"> 불합격이더라도 다음 모집이 있다면 다시 지원 가능.</t>
  </si>
  <si>
    <t>최범진</t>
  </si>
  <si>
    <t>지각 1520으로</t>
  </si>
  <si>
    <t xml:space="preserve">1. </t>
  </si>
  <si>
    <t xml:space="preserve"> 그럼 본격적인 면접을 시작하기에 앞서 간단히 자기소개를 부탁드려도 될까요?</t>
  </si>
  <si>
    <t>친구랑 같이 지원. 친구는 어케됐는지 모르겠어용</t>
  </si>
  <si>
    <t>96. 성북구 대학원생</t>
  </si>
  <si>
    <t>저녁 시간대가 여유로움. 심심</t>
  </si>
  <si>
    <t xml:space="preserve">2. </t>
  </si>
  <si>
    <t xml:space="preserve"> 동아리를 알게된 경로가 어떻게 되시나요?  동아리 전용 인스타그램은 보신적이 있나요?</t>
  </si>
  <si>
    <t>에타</t>
  </si>
  <si>
    <t>인스타 봄</t>
  </si>
  <si>
    <t xml:space="preserve">3. </t>
  </si>
  <si>
    <t xml:space="preserve"> 에브리타임(또는 인스타그램)을 통해 저희 동아리에 지원해주셨다고 했는데요, 홍보게시판에 다른 동아리들도 많았을텐데 굳이 저희 동아리를</t>
  </si>
  <si>
    <t xml:space="preserve"> 선택해 주신 이유는 무엇인가요? 어떤 점에서 매력을 느끼게 되었나요? - 1번과 중복되면 패스</t>
  </si>
  <si>
    <t>다양한 활동, 체험을 다같이 하고 싶어서</t>
  </si>
  <si>
    <t xml:space="preserve">4. </t>
  </si>
  <si>
    <t xml:space="preserve"> 동아리에 들어오게 된다면 가장 하고 싶은 활동과 이유를 말씀해 주세요. (지원서와 다른 점이 있는 지 체크) - 1, 3번과 중복되면 패스</t>
  </si>
  <si>
    <t>캠핑 + 요리</t>
  </si>
  <si>
    <t>텐트부터 하나씩</t>
  </si>
  <si>
    <t xml:space="preserve">5. </t>
  </si>
  <si>
    <t xml:space="preserve"> 저희는 매주 금요일, 또는 토요일 저녁에 번갈아가면서 정기모임이 열리기 때문에 지원자들을 대상으로 금, 토요일 일정을 조사하고 있습니다. </t>
  </si>
  <si>
    <t xml:space="preserve"> 매주 금요일, 토요일에 스케줄이 어떻게 되시는지 알려주시면 감사하겠습니다.</t>
  </si>
  <si>
    <t>금</t>
  </si>
  <si>
    <t>토</t>
  </si>
  <si>
    <t>없음. 학기당 한두번 결시 정도(학회)</t>
  </si>
  <si>
    <t xml:space="preserve">6. </t>
  </si>
  <si>
    <t xml:space="preserve"> 현재 하고있거나 이전에 하셨던 다른 동아리나 단체가 있나요? </t>
  </si>
  <si>
    <t>사진 촬영 동아리 (이번도 할지는 미지수)</t>
  </si>
  <si>
    <t xml:space="preserve">7. </t>
  </si>
  <si>
    <t xml:space="preserve"> 자신이 생각하는 장점과 단점에 대해 말씀해주세요.</t>
  </si>
  <si>
    <t xml:space="preserve"> 장점) 시간약속, 밖돌이, 출석률 높음</t>
  </si>
  <si>
    <t xml:space="preserve"> 단점) 대학원생이라 갑자기 주말에 교수님 호출 (1년에 한두번)</t>
  </si>
  <si>
    <t>성격단점은 다음에 말해드린다는 넉살</t>
  </si>
  <si>
    <t xml:space="preserve">8. </t>
  </si>
  <si>
    <t xml:space="preserve"> 동아리나 단체 (또는 자신의 경험 중에서) 리더를 맡았던 경험이 있나요? </t>
  </si>
  <si>
    <t xml:space="preserve"> 만약, 그런 자리가 주어진다면 기꺼이 하는 받아들이는지, 아니면 어느정도는 부담을 느끼는 편인지 자유롭게 말씀해주세요.</t>
  </si>
  <si>
    <t>학부때 했던 동아리 - 활동을 주체적으로 이끌어나갈 수 있을 것 같아서 했는데</t>
  </si>
  <si>
    <t>친한 한명을 회장으로 두고 다같이 하고싶은 활동을 꾸려나감</t>
  </si>
  <si>
    <t>서포터 역할 잘 하는 편 -&gt; 본인 스케줄에 따라 확답은 어려움, 책임감ㅇ</t>
  </si>
  <si>
    <t>OT 안내</t>
  </si>
  <si>
    <t xml:space="preserve"> 동아리에 가입하게 되면 첫 행사로 신입회원을 대상으로 오리엔테이션이 있을 예정입니다. 저희 식구가 된다면 동아리의 체제나, 운영되는 방식, </t>
  </si>
  <si>
    <t xml:space="preserve"> 그리고 내가 지불한 회비가 어떻게 사용되는지 정도는 알 권리가 있기 때문에 이 내용들을 짧게 교육하고 회원들과 친해지는 자리입니다.</t>
  </si>
  <si>
    <t xml:space="preserve"> 교육도 교육이지만 앞으로 함께 활동할 회원들의 얼굴들을 처음 보는 중요한 자리인만큼 가급적 참여를 권장해드립니다.</t>
  </si>
  <si>
    <t xml:space="preserve">9. </t>
  </si>
  <si>
    <t xml:space="preserve"> 이번 신입 오리엔테이션 같은 경우에는 3월 9일 토요일, 오후 7시에 진행될 예정입니다. 참여 가능하신가요?</t>
  </si>
  <si>
    <t>가능 / 3/1(금) 가능</t>
  </si>
  <si>
    <t xml:space="preserve">10. </t>
  </si>
  <si>
    <t xml:space="preserve"> 동아리 활동을 하다보면 음주를 하는 경우가 많을텐데요, 실례가 안된다면 주량이 어떻게 되는 지 알고 싶습니다.</t>
  </si>
  <si>
    <t xml:space="preserve"> 2-3병</t>
  </si>
  <si>
    <t xml:space="preserve"> 교수님과 다이다이 전적.. 잘마시는듯</t>
  </si>
  <si>
    <t>답변 들은 후</t>
  </si>
  <si>
    <t xml:space="preserve">답변은 면접결과와 관련 없으며 좀더 신경쓰기 위해 확인하는 것이니 술자리에 부담을 느끼실 필요는 전혀 없습니다. </t>
  </si>
  <si>
    <t>동아리 내에 술 강요는 일절 없다는 것을 분명히 말씀드릴 수 있습니다.</t>
  </si>
  <si>
    <t xml:space="preserve">11. </t>
  </si>
  <si>
    <t xml:space="preserve"> 이번 질문이 마지막이 될 것 같은데요, 어려울 수도 있지만 시간을 넉넉히 드릴테니 충분히 생각하고 답해주셔도 괜찮습니다.</t>
  </si>
  <si>
    <t xml:space="preserve"> 본인을 한 단어로 표현한다면 어떤 것이 좋을까요? 사람, 동물, 사물 등 본인에 대해 가장 잘 나타내 수 있는 것이면 무엇이든 좋습니다.</t>
  </si>
  <si>
    <t xml:space="preserve"> 목표: '이ㅇㅇ교수님' </t>
  </si>
  <si>
    <t xml:space="preserve"> 할 일 잘하고 놀건 놀면서. 야망</t>
  </si>
  <si>
    <t xml:space="preserve">12. </t>
  </si>
  <si>
    <t xml:space="preserve"> 네 답변 잘 들었습니다. 여기까지가 저희가 준비한 공식질문이었고요. 그외에 저희 동아리에 대해 그동안 궁금한게 많으셨을텐데 지금 질문해주시면 </t>
  </si>
  <si>
    <t xml:space="preserve"> 친절히 답변해드리겠습니다. </t>
  </si>
  <si>
    <t xml:space="preserve">면접자30명 중 몇명 뽑는지 - </t>
  </si>
  <si>
    <t xml:space="preserve"> 기존 회원 중 기수연장 얼마나 하는지 </t>
  </si>
  <si>
    <t>마무리</t>
  </si>
  <si>
    <t xml:space="preserve">질문이 더 없으시면 면접 마치도록 하겠습니다. 합격이든 불합격이든 문자메시지로 내일 통보가 될 예정입니다. </t>
  </si>
  <si>
    <t xml:space="preserve">회비는 활동비 20,000원과 보증금 10,000원을 합하여 30,000원이고, 안내해드리는 계좌로 입금해주시면 단체카톡방에 초대가 됩니다. </t>
  </si>
  <si>
    <t xml:space="preserve">초대가 된 이후에는 전반적인 동아리 공지와 함께 신입 오리엔테이션 참가 안내를 해드릴 예정이니 내용을 숙지하시고 잘 따라주시면 되겠습니다. </t>
  </si>
  <si>
    <t>또한, 불합격이 되시더라도 다음 모집기간 때 다시 지원할 수 있으니 너무 낙담하지 않으셔도 됩니다.</t>
  </si>
  <si>
    <t>오늘 바쁜 시간 내주셔서 감사드리고 좋은 모습으로 뵐 수 있길 바라겠습니다. 수고하셨습니다.</t>
  </si>
  <si>
    <t xml:space="preserve">평가 </t>
  </si>
  <si>
    <t>지원서</t>
  </si>
  <si>
    <t>면접</t>
  </si>
  <si>
    <t>합계</t>
  </si>
  <si>
    <t>이예림</t>
  </si>
  <si>
    <t xml:space="preserve"> 강민수</t>
  </si>
  <si>
    <t>지각</t>
  </si>
  <si>
    <t>강민수</t>
  </si>
  <si>
    <t xml:space="preserve"> 이번 신입 오리엔테이션 같은 경우에는 3월 24일 금요일, 오후 7시에 진행될 예정입니다. 참여 가능하신가요?</t>
  </si>
  <si>
    <t>양정우</t>
  </si>
  <si>
    <t>가천대 00</t>
  </si>
  <si>
    <t xml:space="preserve"> 양정우</t>
  </si>
  <si>
    <t>가천대 istp 남 이야기 잘 들어줌</t>
  </si>
  <si>
    <t>까이는 포지션. 성남 캠퍼스</t>
  </si>
  <si>
    <t xml:space="preserve"> 에타 -&gt; 인스타</t>
  </si>
  <si>
    <t>좋아하는 활동 - 보드게임, 방탈출, 술</t>
  </si>
  <si>
    <t>나이 또래 + 형누나들과 교류하고 싶어서</t>
  </si>
  <si>
    <t>배드민턴, 낚시(1년에 한번)</t>
  </si>
  <si>
    <t>당장은 비워져있음. 알바시간 최대한 맞출 예정</t>
  </si>
  <si>
    <t>전 학기 - 보드게임, 게임 ) 알바때문에 자주 못나갔음</t>
  </si>
  <si>
    <t>장점) 분위기에 따라가는 편, 탱커, 방탈출&amp;보드게임 좋아함</t>
  </si>
  <si>
    <t>단점) 텐션이 확 떨어질 때가 있음. 기빨림. i 니까연..</t>
  </si>
  <si>
    <t>주어진 자리에 최선을 다 하는 편.</t>
  </si>
  <si>
    <t>군대 - 상담병사</t>
  </si>
  <si>
    <t xml:space="preserve"> 이번 신입 오리엔테이션 같은 경우에는 3월 24일 금요일, 오후 7시에 진행될 예정입니다. 참여 가능하신가요?ㄱ</t>
  </si>
  <si>
    <t>가능. 3/1 - 가능</t>
  </si>
  <si>
    <t>최대 3병 - 확 죽어요</t>
  </si>
  <si>
    <t>자리에 누워버림..</t>
  </si>
  <si>
    <t>개미</t>
  </si>
  <si>
    <t>시키면 일단 일은 하고, 생각함</t>
  </si>
  <si>
    <t>직장인 : 대학생 : 대학원생 비율</t>
  </si>
  <si>
    <t>신민철</t>
  </si>
  <si>
    <t>고대 신소재 99</t>
  </si>
  <si>
    <t>서대문구 홍제 거주</t>
  </si>
  <si>
    <t>고려대 공대생 - 공부만 하느라 비슷한 나이 또래 사람들 만나고 싶어서</t>
  </si>
  <si>
    <t xml:space="preserve">에타 </t>
  </si>
  <si>
    <t>인스타 x</t>
  </si>
  <si>
    <t>팀워크로 할 수 있는 활동, 친구들 형 누나들</t>
  </si>
  <si>
    <t xml:space="preserve">방탈출, 보드게임, 캐비, 바다 - 여럿이서 </t>
  </si>
  <si>
    <t>없음</t>
  </si>
  <si>
    <t xml:space="preserve">과거에 연합(대규모 대학)- 본인 나이가 제일 많아서 막내 포지션 하고 싶음, 중동(영어회화) </t>
  </si>
  <si>
    <t>지금은 하고 있지 않음</t>
  </si>
  <si>
    <t>장점) 분위기 주도 이야기 잘 이끌어냄, 사람 감정 잘 알아차리고</t>
  </si>
  <si>
    <t>단점) 손재주는 좀 없을지도</t>
  </si>
  <si>
    <t>성인 이전 - 전교회장</t>
  </si>
  <si>
    <t>책임감, 열심히 해용</t>
  </si>
  <si>
    <t>가능 | 3/1- 가능</t>
  </si>
  <si>
    <t>1-2병</t>
  </si>
  <si>
    <t>의자</t>
  </si>
  <si>
    <t>나한테 편하게 기대라, 앉아라,</t>
  </si>
  <si>
    <t>나에게 기댈 수 있는 따뜻한 사람</t>
  </si>
  <si>
    <t>유동훈</t>
  </si>
  <si>
    <t>연세대 99 화공</t>
  </si>
  <si>
    <t xml:space="preserve"> 양지현</t>
  </si>
  <si>
    <t>숙대 97 미디어학부 ( 연락두절 )</t>
  </si>
  <si>
    <t>연대 화공 18, 막학기</t>
  </si>
  <si>
    <t xml:space="preserve">동년배 친구들 </t>
  </si>
  <si>
    <t>자대 랩실 다니는중, 취준하긴 할 듯</t>
  </si>
  <si>
    <t>양지현</t>
  </si>
  <si>
    <t>에타 인스타</t>
  </si>
  <si>
    <t>활동적인 액티비티 좋아함</t>
  </si>
  <si>
    <t>여행, 빠지, 놀이공원</t>
  </si>
  <si>
    <t>1,2학년때 스키동아리</t>
  </si>
  <si>
    <t>교환학생</t>
  </si>
  <si>
    <t xml:space="preserve">중동-봉사(현재는 잘 x), 연합x </t>
  </si>
  <si>
    <t>장점) 활동적이라 친구들을 끌어모으는 편</t>
  </si>
  <si>
    <t>단점)  잘 안될 때 서운해함ㅜ ENTJ</t>
  </si>
  <si>
    <t>운영진(기획)</t>
  </si>
  <si>
    <t>큰 부담 없이 책임감 있는 편</t>
  </si>
  <si>
    <t>불가능(가족행사) / 3/1 - 가능</t>
  </si>
  <si>
    <t>1병 반</t>
  </si>
  <si>
    <t>교환학생 당시 들은 말</t>
  </si>
  <si>
    <t>끊임없이 뭘 할까? 호기심? 이 많다</t>
  </si>
  <si>
    <t xml:space="preserve">규모 </t>
  </si>
  <si>
    <t>김태훈</t>
  </si>
  <si>
    <t>00 한성대</t>
  </si>
  <si>
    <t>한성대 4학년 일산 거주</t>
  </si>
  <si>
    <t>여행, 수상스키, 놀이공원, 수도권 모임</t>
  </si>
  <si>
    <t>20대 중후반 - 동생보단 형누나들이 편함</t>
  </si>
  <si>
    <t xml:space="preserve">오전 수업. </t>
  </si>
  <si>
    <t>패러글라이딩 동아리 - 실 인원 3-4명</t>
  </si>
  <si>
    <t>장점) 친구들간 불화 시, 중재자 역할 잘함. 모나지 않음. 친화력</t>
  </si>
  <si>
    <t>단점) 소심한 편</t>
  </si>
  <si>
    <t>경험 없음. 팀플 조장 정도</t>
  </si>
  <si>
    <t>술고래 (3병반 이상..?)</t>
  </si>
  <si>
    <t>친구들끼리 장난치는 정도</t>
  </si>
  <si>
    <t>북극곰, 팬더</t>
  </si>
  <si>
    <t>성격, 외모 - 온순</t>
  </si>
  <si>
    <t>김동현</t>
  </si>
  <si>
    <t>김민제</t>
  </si>
  <si>
    <t>인하대 전기 97</t>
  </si>
  <si>
    <t>본가 대구, 서울 온지 한달(관악) - 직장인</t>
  </si>
  <si>
    <t>중앙대 국어국문 00</t>
  </si>
  <si>
    <t>3학년, 상도 자취 중</t>
  </si>
  <si>
    <t>인스타</t>
  </si>
  <si>
    <t>체계적인 것 같아서</t>
  </si>
  <si>
    <t>활동하고 싶어서. 술만 마시는 것 보단..</t>
  </si>
  <si>
    <t>나이가 차다보니 비슷한 또래. 형 누나들이 더 편함</t>
  </si>
  <si>
    <t>MT, 타지에서 와서 사람들과 교류하고 싶음</t>
  </si>
  <si>
    <t>코로나 학번</t>
  </si>
  <si>
    <t xml:space="preserve">축제, 페스티벌 </t>
  </si>
  <si>
    <t>지금은 x</t>
  </si>
  <si>
    <t>지금은. x</t>
  </si>
  <si>
    <t>장점) 친해지면 활발</t>
  </si>
  <si>
    <t>단점) 낯가림</t>
  </si>
  <si>
    <t>장점) 신중하게 행동하는 편</t>
  </si>
  <si>
    <t>단점) 낯가리고 조용함</t>
  </si>
  <si>
    <t>가능 3/1- 미정</t>
  </si>
  <si>
    <t>가능 3/1 -가능</t>
  </si>
  <si>
    <t>1병반</t>
  </si>
  <si>
    <t>물</t>
  </si>
  <si>
    <t>ㅇㅓ디서든 잘 어울리고. 어떤 용기에든 잘 맞춰 서</t>
  </si>
  <si>
    <t>영화</t>
  </si>
  <si>
    <t xml:space="preserve">볼수록 재밌는 빠져드는. 여운을 주는 </t>
  </si>
  <si>
    <t>김석원</t>
  </si>
  <si>
    <t>안옴</t>
  </si>
  <si>
    <t>97 휴학중 군복무중(산업기능요원)</t>
  </si>
  <si>
    <t xml:space="preserve">제조업체 회사에 재직하면서 군복무 중 </t>
  </si>
  <si>
    <t>한학기 다니다, 일도 하고, 20학번으로 평택대학교 입학</t>
  </si>
  <si>
    <t xml:space="preserve">영화 좋아함 - </t>
  </si>
  <si>
    <t>에타.</t>
  </si>
  <si>
    <t>활동 보다 새로은 사람들과 함께 한다는 거에 의의.</t>
  </si>
  <si>
    <t>술, 영화만 해도 좋음</t>
  </si>
  <si>
    <t>5시 군포 조기 퇴근</t>
  </si>
  <si>
    <t>장점) estp 행동파. 경험 중시. 재지 않음</t>
  </si>
  <si>
    <t xml:space="preserve">단점) 행동이 앞서다보니 </t>
  </si>
  <si>
    <t>가능. 3/1-가능할 듯</t>
  </si>
  <si>
    <t>2병</t>
  </si>
  <si>
    <t>무대뽀 !!</t>
  </si>
  <si>
    <t>준비성이 부족한 단점, 행동력이 좋은 장점. 추진력</t>
  </si>
  <si>
    <t>이수현</t>
  </si>
  <si>
    <t xml:space="preserve">96 시립대 </t>
  </si>
  <si>
    <t>심준보</t>
  </si>
  <si>
    <t xml:space="preserve">96 설로 </t>
  </si>
  <si>
    <t>김포 거주, 29살, 서초구 직장(금융업), 김포 거주</t>
  </si>
  <si>
    <t>다양한 사람들과 추억을 쌓고싶어 지원</t>
  </si>
  <si>
    <t>29살, 관악구 거주, 로스쿨 휴학중</t>
  </si>
  <si>
    <t>로스쿨 2년 다니고, 다양한+새로운 인연 만나고 싶어서</t>
  </si>
  <si>
    <t>에타, 캠퍼스픽</t>
  </si>
  <si>
    <t>ㅂㅏ빠서 지원 안하고 있다가 여유가 나서 지원</t>
  </si>
  <si>
    <t>MT, 영화, 맛집 탐방</t>
  </si>
  <si>
    <t>번개</t>
  </si>
  <si>
    <t>많은 대화, 나이대에 맞게 인생관, 가치관 깊은 얘기들</t>
  </si>
  <si>
    <t>5시 칼퇴</t>
  </si>
  <si>
    <t>과거에 많이 함</t>
  </si>
  <si>
    <t>학부때 많이 함, 서울대 응원단, 영어토론, 뮤지컬</t>
  </si>
  <si>
    <t>단체에 대한 애정이 생겨 임원</t>
  </si>
  <si>
    <t>장점) 차분/ 팔로워 역할</t>
  </si>
  <si>
    <t>여러 동아리 경험으로 팀원간 트러블이 있을 때 잘 중재함</t>
  </si>
  <si>
    <t>단점) 성격이 급한 편</t>
  </si>
  <si>
    <t>장점) 리드하는 편 ESTJ, 오디오 공백 채우려고 노력, 말 많은 편</t>
  </si>
  <si>
    <t>단점) 자기비하적 조크가 심해져서, 진중해보이지 않을 수 있다</t>
  </si>
  <si>
    <t>이성현</t>
  </si>
  <si>
    <t>동아리 참여율 저조 &amp; 단톡에서 조용한거 &amp; 투표율 - 관련 고민</t>
  </si>
  <si>
    <t xml:space="preserve">동아리원들의 애정이 있었으면 좋겠음 </t>
  </si>
  <si>
    <t xml:space="preserve">-&gt; 참여율 낮은 부원들 겉돌지 않도록 </t>
  </si>
  <si>
    <t>가능, 3/1-(선택)</t>
  </si>
  <si>
    <t>(가능), 3/1-가능</t>
  </si>
  <si>
    <t>1병</t>
  </si>
  <si>
    <t>강할 땐 강하고, 부드럽고 유하고</t>
  </si>
  <si>
    <t>아보카도</t>
  </si>
  <si>
    <t>겉으로 보이는 것보다 내면이 실하고 진중한 사람이다</t>
  </si>
  <si>
    <t>박상현</t>
  </si>
  <si>
    <t>원준 친구, 설 약 99</t>
  </si>
  <si>
    <t>박상민</t>
  </si>
  <si>
    <t>고신 98</t>
  </si>
  <si>
    <t>서울대 약대 18, 지금 졸업</t>
  </si>
  <si>
    <t xml:space="preserve">3월 중순부터 약국 </t>
  </si>
  <si>
    <t>고신 22학번,  3학년, 98</t>
  </si>
  <si>
    <t>친구들 졸업 후 새로운 사람 만나고자</t>
  </si>
  <si>
    <t>ㅂ</t>
  </si>
  <si>
    <t>페스티벌, 락페, 가고싶음</t>
  </si>
  <si>
    <t>스포츠 관람 (야구, 격투기)</t>
  </si>
  <si>
    <t>백수</t>
  </si>
  <si>
    <t>오전) 학교에 조정 훈련</t>
  </si>
  <si>
    <t>학생회, 연합동아리는 가끔</t>
  </si>
  <si>
    <t>밴드는 1년에 한두번 시즌으로</t>
  </si>
  <si>
    <t>카투사 - 외국인 교환</t>
  </si>
  <si>
    <t>조정부</t>
  </si>
  <si>
    <t>장점) 여유있는 성격, 인생의 모토- '그럴 수 있지'</t>
  </si>
  <si>
    <t>단점) 일 벌리고 뒷심은 살짝 부족할지도 (여행가자!)</t>
  </si>
  <si>
    <t>장점) 친해지면 말 잘한다.</t>
  </si>
  <si>
    <t>단점) 내향적이지만</t>
  </si>
  <si>
    <t>약대 학생회장</t>
  </si>
  <si>
    <t>제안을 받으면 오히려 뿌듯</t>
  </si>
  <si>
    <t>경험 없음</t>
  </si>
  <si>
    <t>부담은 되겠지만 시키면 잘하겠다</t>
  </si>
  <si>
    <t>가능 3/1- 아뭐랬지</t>
  </si>
  <si>
    <t>가능  3/1-가능</t>
  </si>
  <si>
    <t>1병 (빨개짐)</t>
  </si>
  <si>
    <t>대가리꽃밭</t>
  </si>
  <si>
    <t>여유로운데 일도 벌리고, ENTP 온화하고</t>
  </si>
  <si>
    <t>곰</t>
  </si>
  <si>
    <t>istp</t>
  </si>
  <si>
    <t>방규현</t>
  </si>
  <si>
    <t>고대 생명 96</t>
  </si>
  <si>
    <t>박민기</t>
  </si>
  <si>
    <t>연대 천문우주 98</t>
  </si>
  <si>
    <t>29살 고대 생명 졸업, 자대 대학원</t>
  </si>
  <si>
    <t>실험실 갑갑티비. 다양한 분들 만나고자 지원</t>
  </si>
  <si>
    <t>연대 천문우주학과 98, 4-1 재학</t>
  </si>
  <si>
    <t xml:space="preserve">동아리 활동하고자 찾아봤었는데 20대 중후반 </t>
  </si>
  <si>
    <t>보드게임, 방탈출, 한강</t>
  </si>
  <si>
    <t>축구 야구 관람</t>
  </si>
  <si>
    <t>6시 이후 ㄱㅊ (칼퇴할게여)</t>
  </si>
  <si>
    <t>3-4시까지 과외 예정</t>
  </si>
  <si>
    <t>금공강</t>
  </si>
  <si>
    <t>학부 보컬동아리 1년</t>
  </si>
  <si>
    <t>군대 후 연합동아리 (버킷리스트), 볼링동아리</t>
  </si>
  <si>
    <t>연대 메이플 운영진</t>
  </si>
  <si>
    <t>1학년때 연합동아리(문화탐방)-플레이그라운드</t>
  </si>
  <si>
    <t>제이팝</t>
  </si>
  <si>
    <t>장점) 친해지면 깊은 이야기도 하고, 이야기 잘 함</t>
  </si>
  <si>
    <t>단점) intj 깊게 사귀다보니 넓진 않음, 다양하고 넓게 사귀</t>
  </si>
  <si>
    <t>장점) 주변사람들이 의지, 상담, F 90% ISFP, 공감 잘 해줌, 듣는거 좋아함</t>
  </si>
  <si>
    <t>단점) 처음엔 낯가리지만, 지금 이미지랑 다르다</t>
  </si>
  <si>
    <t>불가능. 3/1-가능</t>
  </si>
  <si>
    <t>가능. 3/1-가능</t>
  </si>
  <si>
    <t>1병반까지</t>
  </si>
  <si>
    <t>2병반</t>
  </si>
  <si>
    <t>노예</t>
  </si>
  <si>
    <t xml:space="preserve">자유를 갈망하는 </t>
  </si>
  <si>
    <t>굴곡많은 인생에 잘 일어서서</t>
  </si>
  <si>
    <t>오뚝이</t>
  </si>
  <si>
    <t>이태성</t>
  </si>
  <si>
    <t>연대 98 건설환경공학과</t>
  </si>
  <si>
    <t xml:space="preserve">연대 98 건환공 21학번 4학년 </t>
  </si>
  <si>
    <t>신촌 자취 분당 본가</t>
  </si>
  <si>
    <t>밖돌이, 밖에서 하는 활동, 관계 지향.</t>
  </si>
  <si>
    <t>활동 뿐 아니라 주변인들은 군대가고 취업하궁궁궁 라스트 댄스</t>
  </si>
  <si>
    <t>막걸리 테마 지역 여행 경험 있음.</t>
  </si>
  <si>
    <t xml:space="preserve">지역적인 특성 살리는 </t>
  </si>
  <si>
    <t xml:space="preserve">당구, 야구, 탁구 소규모 스포츠 </t>
  </si>
  <si>
    <t>방탈출 동아리(작년부터) - 번개로 평일에 자주 나가는 중</t>
  </si>
  <si>
    <t>교내동아리(야구 플레이동아리) 쇠방망이</t>
  </si>
  <si>
    <t>장점) 어린 친구들과 오래 생활을 했다보니 열정, 에너지, 의지가 살아있음</t>
  </si>
  <si>
    <t>경기 출신이라 거리가 먼 것에 부담x. 어디든!</t>
  </si>
  <si>
    <t>단점) 술을 과하게 좋아했었어서, 혼술도... 술을 넘넘넘 좋아해용</t>
  </si>
  <si>
    <t>가능. 3/1-불가능</t>
  </si>
  <si>
    <t>2-3병ㅇ</t>
  </si>
  <si>
    <t>장수막걸리, 소백산막걸리</t>
  </si>
  <si>
    <t>학생회 지원시 답변 : 베개</t>
  </si>
  <si>
    <t>남들한테 맞춰줘야 나도 편한, 나에게 기댈 수 있는, 편안한 성격</t>
  </si>
  <si>
    <t>규몽몽몽</t>
  </si>
  <si>
    <t>묭묭묘용옹옹앙</t>
  </si>
  <si>
    <t>번개 빵빵 뿡빵빵 뿅뾰롱 쀼류융</t>
  </si>
  <si>
    <t>ㅁㅔ롱 메롱</t>
  </si>
  <si>
    <t>뮹먕묭</t>
  </si>
  <si>
    <t>뽀로봉뇽냥뇽</t>
  </si>
  <si>
    <t>송예나</t>
  </si>
  <si>
    <t>00 연대 경영 휴학</t>
  </si>
  <si>
    <t>김태호</t>
  </si>
  <si>
    <t>98 연대 영어영문 infp</t>
  </si>
  <si>
    <t>00 연대 경영 수료상태</t>
  </si>
  <si>
    <t xml:space="preserve">98 연대 영어영문 </t>
  </si>
  <si>
    <t>술을 좋아함. 술친구 만들고자</t>
  </si>
  <si>
    <t>한강 좋아함</t>
  </si>
  <si>
    <t xml:space="preserve">따릉이, 피크닉 </t>
  </si>
  <si>
    <t>여사친 별로 없어서</t>
  </si>
  <si>
    <t>공연을 본다던지 하고 싶음</t>
  </si>
  <si>
    <t>학원 일 10시 이후 가능</t>
  </si>
  <si>
    <t>1학년때 전시회 동아리</t>
  </si>
  <si>
    <t>2학년 경영대 학생회</t>
  </si>
  <si>
    <t>소설 쓰는 동아리 - 지금은x</t>
  </si>
  <si>
    <t>장점) 영어 잘 함, 맛집 잘알</t>
  </si>
  <si>
    <t>단점) 낯 가리는 편</t>
  </si>
  <si>
    <t>장점) 성대모사 심슨 - 마지심슨.... ..</t>
  </si>
  <si>
    <t>단점) 낯을 많이 가리는 편</t>
  </si>
  <si>
    <t>가능 3/1- 가능</t>
  </si>
  <si>
    <t>가능 3/1 - 가능</t>
  </si>
  <si>
    <t>한병</t>
  </si>
  <si>
    <t>2병 이상.. 술고래 5병까쥐~</t>
  </si>
  <si>
    <t>외국에서 오래 살았어서 적응력이 좋다</t>
  </si>
  <si>
    <t>스펀지</t>
  </si>
  <si>
    <t>양파</t>
  </si>
  <si>
    <t xml:space="preserve">까고 까고 </t>
  </si>
  <si>
    <t>서정민</t>
  </si>
  <si>
    <t>99 성신여대</t>
  </si>
  <si>
    <t xml:space="preserve">99 성신여대 조소과 2학년 / 8살오빠 있음 </t>
  </si>
  <si>
    <t>회사 일을 하다가 진로선택</t>
  </si>
  <si>
    <t>낯을 가리지만 다른 사람들 이야기 듣고 싶어서</t>
  </si>
  <si>
    <t>여행도 좋아하고</t>
  </si>
  <si>
    <t>여행, 레저</t>
  </si>
  <si>
    <t>없음. 이제 놀아야징</t>
  </si>
  <si>
    <t>장점) 편견없다, 긍정적으로 본다</t>
  </si>
  <si>
    <t>단점) 너무 편견이 없당, 그럴수 있지, 낯 쪼금</t>
  </si>
  <si>
    <t>가능, 3/1 - 가능</t>
  </si>
  <si>
    <t>1병반, 소주보단 소맥 맥주 막소사 룰루랄라뿡빵뽕</t>
  </si>
  <si>
    <t>고양이.. 고양시</t>
  </si>
  <si>
    <t>김혜연</t>
  </si>
  <si>
    <t>서울교대 00 졸업, 일하려고</t>
  </si>
  <si>
    <t>ESFP, 새로운 사람들 만나고 싶고 나이 또래</t>
  </si>
  <si>
    <t xml:space="preserve">적극적, 수다떠는거 좋아하고 들려주는것도 좋아하고, </t>
  </si>
  <si>
    <t>ㅇ</t>
  </si>
  <si>
    <t>요리 대회</t>
  </si>
  <si>
    <t>뭐하는지 보다 누구랑 하는지</t>
  </si>
  <si>
    <t xml:space="preserve">주식경제연합동아리 1년 경험, </t>
  </si>
  <si>
    <t>여행동아리 소속 - 6개월에 한 번</t>
  </si>
  <si>
    <t>장점) 예민하지 않은 편, 적극적, 상대방을 배려해서 말을 조심하려고 함,</t>
  </si>
  <si>
    <t>웃긴편 술 잘마심</t>
  </si>
  <si>
    <t>단점) 없어용 술마시고 집갈때 붙잡는 정도 ㅋㅋ 난데?</t>
  </si>
  <si>
    <t>가능, 3/1-가능</t>
  </si>
  <si>
    <t>한병반</t>
  </si>
  <si>
    <t>천천히 마시면 술고래 난뎅?</t>
  </si>
  <si>
    <t>카멜레온</t>
  </si>
  <si>
    <t>어떠한 환경에서든 잘 적응하고 분위기에 잘 맞춰서 ㄱㄴㄱㄴㄱㄴㄱㄴㄱㄴ</t>
  </si>
  <si>
    <t>순위</t>
  </si>
  <si>
    <t>신입회원</t>
  </si>
  <si>
    <t>면접 대상자</t>
  </si>
  <si>
    <t>날짜조율</t>
  </si>
  <si>
    <t>이름</t>
  </si>
  <si>
    <t>점수</t>
  </si>
  <si>
    <t>A</t>
  </si>
  <si>
    <t>10.00</t>
  </si>
  <si>
    <t>B</t>
  </si>
  <si>
    <t>9.70</t>
  </si>
  <si>
    <t>C</t>
  </si>
  <si>
    <t>9.30</t>
  </si>
  <si>
    <t>기존회원</t>
  </si>
  <si>
    <t>모집인원</t>
  </si>
  <si>
    <t>총합</t>
  </si>
  <si>
    <t>D</t>
  </si>
  <si>
    <t>9.07</t>
  </si>
  <si>
    <t>E</t>
  </si>
  <si>
    <t>7.83</t>
  </si>
  <si>
    <t>F</t>
  </si>
  <si>
    <t>9.40</t>
  </si>
  <si>
    <t xml:space="preserve">총합 </t>
  </si>
  <si>
    <t>G</t>
  </si>
  <si>
    <t>7.53</t>
  </si>
  <si>
    <t>남자</t>
  </si>
  <si>
    <t>여자</t>
  </si>
  <si>
    <t>H</t>
  </si>
  <si>
    <t>I</t>
  </si>
  <si>
    <t>J</t>
  </si>
  <si>
    <t>K</t>
  </si>
  <si>
    <t>L</t>
  </si>
  <si>
    <t>M</t>
  </si>
  <si>
    <t>N</t>
  </si>
  <si>
    <t>보류</t>
  </si>
  <si>
    <t>P</t>
  </si>
  <si>
    <t>Q</t>
  </si>
  <si>
    <t>R</t>
  </si>
  <si>
    <t>S</t>
  </si>
  <si>
    <t>T</t>
  </si>
  <si>
    <t>U</t>
  </si>
  <si>
    <t>V</t>
  </si>
  <si>
    <t>W</t>
  </si>
  <si>
    <t xml:space="preserve"> 재지원 가산점. 활발한 활동에 대한 강한 각오가 있음. 최대한 합격처리 권장.</t>
  </si>
  <si>
    <t xml:space="preserve"> 자기소개에 본인의 성격을 잘 드러냄. 지원동기 희망활동 명확.</t>
  </si>
  <si>
    <t>반전매력 가진 사람이고 반전을 주고 싶다</t>
  </si>
  <si>
    <r>
      <rPr>
        <sz val="11"/>
        <color theme="1"/>
        <rFont val="Malgun Gothic"/>
        <family val="3"/>
        <charset val="129"/>
      </rPr>
      <t>얌전해보이지만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3"/>
        <charset val="129"/>
      </rPr>
      <t>활발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Malgun Gothic"/>
        <family val="3"/>
        <charset val="129"/>
      </rPr>
      <t>힙합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3"/>
        <charset val="129"/>
      </rPr>
      <t>좋아함</t>
    </r>
    <r>
      <rPr>
        <sz val="11"/>
        <color theme="1"/>
        <rFont val="Calibri"/>
        <family val="2"/>
      </rPr>
      <t xml:space="preserve"> </t>
    </r>
  </si>
  <si>
    <t>모두에게 편안함을 줄 수 있는 사람</t>
  </si>
  <si>
    <t>먼저 다가가는 그런 사람 소외되는 사람 없게끔 할거당</t>
  </si>
  <si>
    <t>인간관계 넓히고 싶다 마지막일지도 모르는 공유할수있는 장소</t>
  </si>
  <si>
    <t>에브리타임</t>
  </si>
  <si>
    <t>이름에 꽂혔당 나이가 있다보니 어린친구랑 안맞음</t>
  </si>
  <si>
    <t>공감대를 나눌수있는 사람 얻고싶었다</t>
  </si>
  <si>
    <t>동아리가 활성화 되어있는거 같다.</t>
  </si>
  <si>
    <t>한강에서 자전거</t>
  </si>
  <si>
    <t>자유로운 느낌 얻고 싶어서</t>
  </si>
  <si>
    <t>지원서 보면 거의 기획자임. 해볼만 할듯</t>
  </si>
  <si>
    <t>페스티벌</t>
  </si>
  <si>
    <t>모임 있음 격주에 한번정도 6시에</t>
  </si>
  <si>
    <t>일정 없음</t>
  </si>
  <si>
    <t>저녁에는 가능</t>
  </si>
  <si>
    <t>가능</t>
  </si>
  <si>
    <t>배드민턴 동아리. 이전에 여행, 사진 동아리.</t>
  </si>
  <si>
    <t>지금은 없고</t>
  </si>
  <si>
    <t>농구봉사동아리 해봄</t>
  </si>
  <si>
    <t>연합친목동아리 회장</t>
  </si>
  <si>
    <t>남의 의견을 잘 포용함</t>
  </si>
  <si>
    <t>실패에 대한 두려움이 크다. 도전보다는 회피를 한다</t>
  </si>
  <si>
    <t>융퉁성있다 무계획처럼 보이지만 틀 안에서 발휘를 한다</t>
  </si>
  <si>
    <t xml:space="preserve">완벽주의 성향이 강하게 있음 </t>
  </si>
  <si>
    <t>리더가 될 준비 되어있다. 내가 하기에 효율적이라면 함. 나보다 뛰어난 사람있으면 양보함</t>
  </si>
  <si>
    <t>외향적이고 주도적인 성격이다 보니 기꺼이 누군가를 돕기 위해서 함 의견에 대해 표용력이 좋다</t>
  </si>
  <si>
    <t>반병~1병</t>
  </si>
  <si>
    <t>소주 3병</t>
  </si>
  <si>
    <t>콜택시</t>
  </si>
  <si>
    <t>부르면 언제든 달려온다</t>
  </si>
  <si>
    <t>짱구</t>
  </si>
  <si>
    <t xml:space="preserve">관심있어하는 것에 대해 자신의 벽이 낮아짐 </t>
  </si>
  <si>
    <t>장난기가 많다</t>
  </si>
  <si>
    <t>경쟁률</t>
  </si>
  <si>
    <t>연령층</t>
  </si>
  <si>
    <t>오티 시간</t>
  </si>
  <si>
    <t>단톡방 대화 활발한지</t>
  </si>
  <si>
    <t>결과 발표 시간대</t>
  </si>
  <si>
    <t>홍석범</t>
  </si>
  <si>
    <t>백다은</t>
  </si>
  <si>
    <t>양지현</t>
    <phoneticPr fontId="18" type="noConversion"/>
  </si>
  <si>
    <t>숙대 졸업하고 일하고 대학교 편입</t>
    <phoneticPr fontId="18" type="noConversion"/>
  </si>
  <si>
    <t>동아리 활동 많이 했다</t>
    <phoneticPr fontId="18" type="noConversion"/>
  </si>
  <si>
    <t>스키 여행 등등</t>
    <phoneticPr fontId="18" type="noConversion"/>
  </si>
  <si>
    <t>다른학교 다니는건 임용준비할 생각인데 회사 교원대</t>
    <phoneticPr fontId="18" type="noConversion"/>
  </si>
  <si>
    <t>여름 되면 가평 레저, 한강가서 간단하게 피크닉, 내친소 등</t>
    <phoneticPr fontId="18" type="noConversion"/>
  </si>
  <si>
    <t>클라이밍, 러닝 취미로 많이 한다.</t>
    <phoneticPr fontId="18" type="noConversion"/>
  </si>
  <si>
    <t>아무것도 없습니다.</t>
    <phoneticPr fontId="18" type="noConversion"/>
  </si>
  <si>
    <t>안한지 좀 오래됐다.</t>
    <phoneticPr fontId="18" type="noConversion"/>
  </si>
  <si>
    <t>소속감이 있거나 책임감을 조금이라도 있다면 적극적으로 한다</t>
    <phoneticPr fontId="18" type="noConversion"/>
  </si>
  <si>
    <t>회사 다닐때도 리더</t>
    <phoneticPr fontId="18" type="noConversion"/>
  </si>
  <si>
    <t>3/9 토요일 가능, 3.1 금요일</t>
    <phoneticPr fontId="18" type="noConversion"/>
  </si>
  <si>
    <t>주량은 한병정도.</t>
    <phoneticPr fontId="18" type="noConversion"/>
  </si>
  <si>
    <t>긍정적이다. 친화력이 좋다</t>
    <phoneticPr fontId="18" type="noConversion"/>
  </si>
  <si>
    <t>덜렁거린다</t>
    <phoneticPr fontId="18" type="noConversion"/>
  </si>
  <si>
    <t>탱탱볼 - 성격이 통통 튄다</t>
    <phoneticPr fontId="18" type="noConversion"/>
  </si>
  <si>
    <t>윤기화</t>
    <phoneticPr fontId="18" type="noConversion"/>
  </si>
  <si>
    <t>김소영</t>
    <phoneticPr fontId="18" type="noConversion"/>
  </si>
  <si>
    <t xml:space="preserve">서경대 소프트웨어학과 21학번 02년생 </t>
    <phoneticPr fontId="18" type="noConversion"/>
  </si>
  <si>
    <t>동아리에 가면 맏언니라 동아리원 중에서는 나이가 제일 많아서</t>
    <phoneticPr fontId="18" type="noConversion"/>
  </si>
  <si>
    <t>임원진을 하기에는 시간이 부족하기에, 회원으로 참여하기엔 좀 그래서</t>
    <phoneticPr fontId="18" type="noConversion"/>
  </si>
  <si>
    <t xml:space="preserve">연합동아리는 </t>
    <phoneticPr fontId="18" type="noConversion"/>
  </si>
  <si>
    <t xml:space="preserve">보드게임 카페, 방탈출 카페, 게임쪽에 참여할수는 </t>
    <phoneticPr fontId="18" type="noConversion"/>
  </si>
  <si>
    <t>아르바이트를 안하고 있어서 학교수업만 있다 3시에 끝난다</t>
    <phoneticPr fontId="18" type="noConversion"/>
  </si>
  <si>
    <t>교내동아리만 해봤다 스케이트보드, 피구</t>
    <phoneticPr fontId="18" type="noConversion"/>
  </si>
  <si>
    <t>리더 자리는 개인이 원해서 되는 것이 아니고 사람이 그 사람을 원해서 하는거다. 누군가가 추천해주면 하겠지만 자원</t>
    <phoneticPr fontId="18" type="noConversion"/>
  </si>
  <si>
    <t xml:space="preserve">3/9 토요일 참여 가능. 3/1 금요일 </t>
    <phoneticPr fontId="18" type="noConversion"/>
  </si>
  <si>
    <t xml:space="preserve">장점 : 플러스체크를 한다. 편향된 생각을 가질 수 있어서 </t>
    <phoneticPr fontId="18" type="noConversion"/>
  </si>
  <si>
    <t>그래서 단점은 너무 꼼꼼하게 된다.</t>
    <phoneticPr fontId="18" type="noConversion"/>
  </si>
  <si>
    <t>소주한병</t>
    <phoneticPr fontId="18" type="noConversion"/>
  </si>
  <si>
    <t>타인 - 저를 알면알수록 장면의 나와 많이 달라지기 때문에. 새로운것을 시도할때</t>
    <phoneticPr fontId="18" type="noConversion"/>
  </si>
  <si>
    <t>에브리타임을 통해 알고 왔는데 나이대가 좀 있는듯,,? 다른 분들 경로는 어디서?</t>
    <phoneticPr fontId="18" type="noConversion"/>
  </si>
  <si>
    <t>숙명여대 다니다가 졸업하고 지금은 직장인</t>
    <phoneticPr fontId="18" type="noConversion"/>
  </si>
  <si>
    <t xml:space="preserve">초년생이다 보니 활동할 기회가 많지 않아서 </t>
    <phoneticPr fontId="18" type="noConversion"/>
  </si>
  <si>
    <t>빠지, 스키장</t>
    <phoneticPr fontId="18" type="noConversion"/>
  </si>
  <si>
    <t xml:space="preserve">금요일은 </t>
    <phoneticPr fontId="18" type="noConversion"/>
  </si>
  <si>
    <t>지금은 없고, 그 전까지는 미팅놈들 초창기에 들어가서 최근까지</t>
    <phoneticPr fontId="18" type="noConversion"/>
  </si>
  <si>
    <t xml:space="preserve">운영진은 아닌데, 서포터정도는 </t>
    <phoneticPr fontId="18" type="noConversion"/>
  </si>
  <si>
    <t>시간 구애 받지 않는정도에서 가능할거같고</t>
    <phoneticPr fontId="18" type="noConversion"/>
  </si>
  <si>
    <t>2024-03-09 가능 3/1</t>
    <phoneticPr fontId="18" type="noConversion"/>
  </si>
  <si>
    <t>장점 : 처음 보는 사람과도 잘 이야기하고 분위기가 편해지게 해준다</t>
    <phoneticPr fontId="18" type="noConversion"/>
  </si>
  <si>
    <t>단점 : 거절을 잘 못한다.</t>
    <phoneticPr fontId="18" type="noConversion"/>
  </si>
  <si>
    <t>한병정도</t>
    <phoneticPr fontId="18" type="noConversion"/>
  </si>
  <si>
    <t>물 - 어떤 환경이든 흘러가서 적응을 잘한다. 한 곳을 정착하면 유용하면</t>
    <phoneticPr fontId="18" type="noConversion"/>
  </si>
  <si>
    <t>유지현</t>
  </si>
  <si>
    <t>비대면</t>
    <phoneticPr fontId="18" type="noConversion"/>
  </si>
  <si>
    <t>한양여자대학교 졸업 앞두고 있다</t>
    <phoneticPr fontId="18" type="noConversion"/>
  </si>
  <si>
    <t>중국어과 재학중</t>
    <phoneticPr fontId="18" type="noConversion"/>
  </si>
  <si>
    <t>동아리 신청한 이유는 사람 만나고 그러는거 좋아해서</t>
    <phoneticPr fontId="18" type="noConversion"/>
  </si>
  <si>
    <t>에타</t>
    <phoneticPr fontId="18" type="noConversion"/>
  </si>
  <si>
    <t>보드게임, 스키장, 빠지</t>
    <phoneticPr fontId="18" type="noConversion"/>
  </si>
  <si>
    <t>오버워치</t>
    <phoneticPr fontId="18" type="noConversion"/>
  </si>
  <si>
    <t>싸플 오버워치</t>
    <phoneticPr fontId="18" type="noConversion"/>
  </si>
  <si>
    <t>학교에서 팀플 팀장</t>
    <phoneticPr fontId="18" type="noConversion"/>
  </si>
  <si>
    <t>부담 안느낀다면 거짓말이지만 거부감은 안들고</t>
    <phoneticPr fontId="18" type="noConversion"/>
  </si>
  <si>
    <t>3/9 생일, 3/1 참여</t>
    <phoneticPr fontId="18" type="noConversion"/>
  </si>
  <si>
    <t>한병반</t>
    <phoneticPr fontId="18" type="noConversion"/>
  </si>
  <si>
    <t>장점 : 남들에 비해 생각하는게 어른스럽다. 주변에서도 그런 말 듣는다</t>
    <phoneticPr fontId="18" type="noConversion"/>
  </si>
  <si>
    <t>단점 : 낯을 가린다</t>
    <phoneticPr fontId="18" type="noConversion"/>
  </si>
  <si>
    <t>오토바이 - 퀵서비스처럼 달려올수있다</t>
    <phoneticPr fontId="18" type="noConversion"/>
  </si>
  <si>
    <t xml:space="preserve"> B</t>
  </si>
  <si>
    <t>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</si>
</sst>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mm&quot;월&quot;\ dd&quot;일&quot;"/>
  </numFmts>
  <fonts count="1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rgb="FF0000FF"/>
      <name val="Malgun Gothic"/>
      <family val="3"/>
      <charset val="129"/>
    </font>
    <font>
      <sz val="11"/>
      <color rgb="FFCC00CC"/>
      <name val="Malgun Gothic"/>
      <family val="3"/>
      <charset val="129"/>
    </font>
    <font>
      <sz val="11"/>
      <color rgb="FFBFBFBF"/>
      <name val="Malgun Gothic"/>
      <family val="3"/>
      <charset val="129"/>
    </font>
    <font>
      <sz val="11"/>
      <color rgb="FFA5A5A5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sz val="11"/>
      <color rgb="FF00B050"/>
      <name val="Malgun Gothic"/>
      <family val="3"/>
      <charset val="129"/>
    </font>
    <font>
      <sz val="11"/>
      <color rgb="FFFF66FF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3F3FEF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rgb="FF0070C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11"/>
      <color rgb="FFFD55E5"/>
      <name val="Malgun Gothic"/>
      <family val="3"/>
      <charset val="129"/>
    </font>
    <font>
      <sz val="11"/>
      <color rgb="FF990000"/>
      <name val="Malgun Gothic"/>
      <family val="3"/>
      <charset val="129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E6CDFF"/>
        <bgColor rgb="FFE6CDFF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</fills>
  <borders count="1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4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vertical="center"/>
    </xf>
    <xf numFmtId="0" fontId="1" fillId="3" borderId="31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6" xfId="0" applyFont="1" applyFill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" fillId="4" borderId="39" xfId="0" applyFont="1" applyFill="1" applyBorder="1" applyAlignment="1">
      <alignment vertical="center"/>
    </xf>
    <xf numFmtId="0" fontId="1" fillId="4" borderId="40" xfId="0" applyFont="1" applyFill="1" applyBorder="1" applyAlignment="1">
      <alignment vertical="center"/>
    </xf>
    <xf numFmtId="0" fontId="1" fillId="4" borderId="41" xfId="0" applyFont="1" applyFill="1" applyBorder="1" applyAlignment="1">
      <alignment vertical="center"/>
    </xf>
    <xf numFmtId="0" fontId="1" fillId="3" borderId="33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vertical="center"/>
    </xf>
    <xf numFmtId="0" fontId="1" fillId="4" borderId="43" xfId="0" applyFont="1" applyFill="1" applyBorder="1" applyAlignment="1">
      <alignment vertical="center"/>
    </xf>
    <xf numFmtId="0" fontId="1" fillId="4" borderId="44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4" borderId="45" xfId="0" applyFont="1" applyFill="1" applyBorder="1" applyAlignment="1">
      <alignment vertical="center"/>
    </xf>
    <xf numFmtId="0" fontId="1" fillId="4" borderId="46" xfId="0" applyFont="1" applyFill="1" applyBorder="1" applyAlignment="1">
      <alignment vertical="center"/>
    </xf>
    <xf numFmtId="0" fontId="1" fillId="4" borderId="47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4" borderId="48" xfId="0" applyFont="1" applyFill="1" applyBorder="1" applyAlignment="1">
      <alignment vertical="center"/>
    </xf>
    <xf numFmtId="0" fontId="1" fillId="4" borderId="49" xfId="0" applyFont="1" applyFill="1" applyBorder="1" applyAlignment="1">
      <alignment vertical="center"/>
    </xf>
    <xf numFmtId="0" fontId="1" fillId="4" borderId="50" xfId="0" applyFont="1" applyFill="1" applyBorder="1" applyAlignment="1">
      <alignment vertical="center"/>
    </xf>
    <xf numFmtId="0" fontId="1" fillId="4" borderId="51" xfId="0" applyFont="1" applyFill="1" applyBorder="1" applyAlignment="1">
      <alignment vertical="center"/>
    </xf>
    <xf numFmtId="0" fontId="1" fillId="4" borderId="52" xfId="0" applyFont="1" applyFill="1" applyBorder="1" applyAlignment="1">
      <alignment vertical="center"/>
    </xf>
    <xf numFmtId="0" fontId="1" fillId="4" borderId="53" xfId="0" applyFont="1" applyFill="1" applyBorder="1" applyAlignment="1">
      <alignment vertical="center"/>
    </xf>
    <xf numFmtId="0" fontId="12" fillId="5" borderId="54" xfId="0" applyFont="1" applyFill="1" applyBorder="1" applyAlignment="1">
      <alignment vertical="center"/>
    </xf>
    <xf numFmtId="0" fontId="1" fillId="5" borderId="49" xfId="0" applyFont="1" applyFill="1" applyBorder="1" applyAlignment="1">
      <alignment vertical="center"/>
    </xf>
    <xf numFmtId="0" fontId="1" fillId="5" borderId="55" xfId="0" applyFont="1" applyFill="1" applyBorder="1" applyAlignment="1">
      <alignment vertical="center"/>
    </xf>
    <xf numFmtId="0" fontId="1" fillId="5" borderId="56" xfId="0" quotePrefix="1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46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57" xfId="0" applyFont="1" applyFill="1" applyBorder="1" applyAlignment="1">
      <alignment vertical="center"/>
    </xf>
    <xf numFmtId="0" fontId="1" fillId="5" borderId="58" xfId="0" quotePrefix="1" applyFont="1" applyFill="1" applyBorder="1" applyAlignment="1">
      <alignment horizontal="left" vertical="center"/>
    </xf>
    <xf numFmtId="0" fontId="1" fillId="5" borderId="43" xfId="0" applyFont="1" applyFill="1" applyBorder="1" applyAlignment="1">
      <alignment horizontal="left" vertical="center"/>
    </xf>
    <xf numFmtId="0" fontId="1" fillId="5" borderId="43" xfId="0" applyFont="1" applyFill="1" applyBorder="1" applyAlignment="1">
      <alignment vertical="center"/>
    </xf>
    <xf numFmtId="0" fontId="1" fillId="5" borderId="59" xfId="0" applyFont="1" applyFill="1" applyBorder="1" applyAlignment="1">
      <alignment vertical="center"/>
    </xf>
    <xf numFmtId="0" fontId="12" fillId="6" borderId="54" xfId="0" applyFont="1" applyFill="1" applyBorder="1" applyAlignment="1">
      <alignment horizontal="left" vertical="center"/>
    </xf>
    <xf numFmtId="0" fontId="1" fillId="6" borderId="49" xfId="0" applyFont="1" applyFill="1" applyBorder="1" applyAlignment="1">
      <alignment vertical="center"/>
    </xf>
    <xf numFmtId="0" fontId="1" fillId="6" borderId="55" xfId="0" applyFont="1" applyFill="1" applyBorder="1" applyAlignment="1">
      <alignment vertical="center"/>
    </xf>
    <xf numFmtId="0" fontId="1" fillId="6" borderId="56" xfId="0" quotePrefix="1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6" borderId="57" xfId="0" applyFont="1" applyFill="1" applyBorder="1" applyAlignment="1">
      <alignment vertical="center"/>
    </xf>
    <xf numFmtId="0" fontId="1" fillId="6" borderId="58" xfId="0" quotePrefix="1" applyFont="1" applyFill="1" applyBorder="1" applyAlignment="1">
      <alignment vertical="center"/>
    </xf>
    <xf numFmtId="0" fontId="1" fillId="6" borderId="43" xfId="0" applyFont="1" applyFill="1" applyBorder="1" applyAlignment="1">
      <alignment vertical="center"/>
    </xf>
    <xf numFmtId="0" fontId="1" fillId="6" borderId="59" xfId="0" applyFont="1" applyFill="1" applyBorder="1" applyAlignment="1">
      <alignment vertical="center"/>
    </xf>
    <xf numFmtId="0" fontId="10" fillId="6" borderId="60" xfId="0" applyFont="1" applyFill="1" applyBorder="1" applyAlignment="1">
      <alignment vertical="center"/>
    </xf>
    <xf numFmtId="0" fontId="10" fillId="6" borderId="61" xfId="0" applyFont="1" applyFill="1" applyBorder="1" applyAlignment="1">
      <alignment vertical="center"/>
    </xf>
    <xf numFmtId="0" fontId="10" fillId="6" borderId="62" xfId="0" applyFont="1" applyFill="1" applyBorder="1" applyAlignment="1">
      <alignment vertical="center"/>
    </xf>
    <xf numFmtId="0" fontId="10" fillId="6" borderId="56" xfId="0" applyFont="1" applyFill="1" applyBorder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0" fillId="6" borderId="57" xfId="0" applyFont="1" applyFill="1" applyBorder="1" applyAlignment="1">
      <alignment vertical="center"/>
    </xf>
    <xf numFmtId="0" fontId="10" fillId="6" borderId="58" xfId="0" applyFont="1" applyFill="1" applyBorder="1" applyAlignment="1">
      <alignment vertical="center"/>
    </xf>
    <xf numFmtId="0" fontId="10" fillId="6" borderId="43" xfId="0" applyFont="1" applyFill="1" applyBorder="1" applyAlignment="1">
      <alignment vertical="center"/>
    </xf>
    <xf numFmtId="0" fontId="10" fillId="6" borderId="59" xfId="0" applyFont="1" applyFill="1" applyBorder="1" applyAlignment="1">
      <alignment vertical="center"/>
    </xf>
    <xf numFmtId="0" fontId="13" fillId="6" borderId="60" xfId="0" applyFont="1" applyFill="1" applyBorder="1" applyAlignment="1">
      <alignment vertical="center"/>
    </xf>
    <xf numFmtId="0" fontId="13" fillId="6" borderId="63" xfId="0" applyFont="1" applyFill="1" applyBorder="1" applyAlignment="1">
      <alignment vertical="center"/>
    </xf>
    <xf numFmtId="0" fontId="13" fillId="6" borderId="64" xfId="0" applyFont="1" applyFill="1" applyBorder="1" applyAlignment="1">
      <alignment vertical="center"/>
    </xf>
    <xf numFmtId="0" fontId="13" fillId="6" borderId="56" xfId="0" applyFont="1" applyFill="1" applyBorder="1" applyAlignment="1">
      <alignment vertical="center"/>
    </xf>
    <xf numFmtId="0" fontId="13" fillId="6" borderId="10" xfId="0" applyFont="1" applyFill="1" applyBorder="1" applyAlignment="1">
      <alignment vertical="center"/>
    </xf>
    <xf numFmtId="0" fontId="13" fillId="6" borderId="57" xfId="0" applyFont="1" applyFill="1" applyBorder="1" applyAlignment="1">
      <alignment vertical="center"/>
    </xf>
    <xf numFmtId="0" fontId="13" fillId="6" borderId="58" xfId="0" applyFont="1" applyFill="1" applyBorder="1" applyAlignment="1">
      <alignment vertical="center"/>
    </xf>
    <xf numFmtId="0" fontId="13" fillId="6" borderId="43" xfId="0" applyFont="1" applyFill="1" applyBorder="1" applyAlignment="1">
      <alignment vertical="center"/>
    </xf>
    <xf numFmtId="0" fontId="13" fillId="6" borderId="59" xfId="0" applyFont="1" applyFill="1" applyBorder="1" applyAlignment="1">
      <alignment vertical="center"/>
    </xf>
    <xf numFmtId="0" fontId="12" fillId="7" borderId="54" xfId="0" applyFont="1" applyFill="1" applyBorder="1" applyAlignment="1">
      <alignment horizontal="left" vertical="center"/>
    </xf>
    <xf numFmtId="0" fontId="1" fillId="7" borderId="49" xfId="0" applyFont="1" applyFill="1" applyBorder="1" applyAlignment="1">
      <alignment vertical="center"/>
    </xf>
    <xf numFmtId="0" fontId="1" fillId="7" borderId="55" xfId="0" applyFont="1" applyFill="1" applyBorder="1" applyAlignment="1">
      <alignment vertical="center"/>
    </xf>
    <xf numFmtId="0" fontId="1" fillId="7" borderId="65" xfId="0" quotePrefix="1" applyFont="1" applyFill="1" applyBorder="1" applyAlignment="1">
      <alignment vertical="center"/>
    </xf>
    <xf numFmtId="0" fontId="1" fillId="7" borderId="46" xfId="0" applyFont="1" applyFill="1" applyBorder="1" applyAlignment="1">
      <alignment vertical="center"/>
    </xf>
    <xf numFmtId="0" fontId="1" fillId="7" borderId="66" xfId="0" applyFont="1" applyFill="1" applyBorder="1" applyAlignment="1">
      <alignment vertical="center"/>
    </xf>
    <xf numFmtId="0" fontId="1" fillId="7" borderId="58" xfId="0" quotePrefix="1" applyFont="1" applyFill="1" applyBorder="1" applyAlignment="1">
      <alignment vertical="center"/>
    </xf>
    <xf numFmtId="0" fontId="1" fillId="7" borderId="43" xfId="0" applyFont="1" applyFill="1" applyBorder="1" applyAlignment="1">
      <alignment vertical="center"/>
    </xf>
    <xf numFmtId="0" fontId="1" fillId="7" borderId="59" xfId="0" applyFont="1" applyFill="1" applyBorder="1" applyAlignment="1">
      <alignment vertical="center"/>
    </xf>
    <xf numFmtId="0" fontId="12" fillId="8" borderId="54" xfId="0" applyFont="1" applyFill="1" applyBorder="1" applyAlignment="1">
      <alignment vertical="center"/>
    </xf>
    <xf numFmtId="0" fontId="1" fillId="8" borderId="49" xfId="0" applyFont="1" applyFill="1" applyBorder="1" applyAlignment="1">
      <alignment vertical="center"/>
    </xf>
    <xf numFmtId="0" fontId="1" fillId="8" borderId="55" xfId="0" applyFont="1" applyFill="1" applyBorder="1" applyAlignment="1">
      <alignment vertical="center"/>
    </xf>
    <xf numFmtId="0" fontId="1" fillId="8" borderId="65" xfId="0" applyFont="1" applyFill="1" applyBorder="1" applyAlignment="1">
      <alignment vertical="center"/>
    </xf>
    <xf numFmtId="0" fontId="1" fillId="8" borderId="46" xfId="0" applyFont="1" applyFill="1" applyBorder="1" applyAlignment="1">
      <alignment vertical="center"/>
    </xf>
    <xf numFmtId="0" fontId="1" fillId="8" borderId="66" xfId="0" applyFont="1" applyFill="1" applyBorder="1" applyAlignment="1">
      <alignment vertical="center"/>
    </xf>
    <xf numFmtId="0" fontId="10" fillId="8" borderId="58" xfId="0" applyFont="1" applyFill="1" applyBorder="1" applyAlignment="1">
      <alignment vertical="center"/>
    </xf>
    <xf numFmtId="0" fontId="1" fillId="8" borderId="43" xfId="0" applyFont="1" applyFill="1" applyBorder="1" applyAlignment="1">
      <alignment vertical="center"/>
    </xf>
    <xf numFmtId="0" fontId="1" fillId="8" borderId="59" xfId="0" applyFont="1" applyFill="1" applyBorder="1" applyAlignment="1">
      <alignment vertical="center"/>
    </xf>
    <xf numFmtId="0" fontId="10" fillId="8" borderId="56" xfId="0" applyFont="1" applyFill="1" applyBorder="1" applyAlignment="1">
      <alignment vertical="center"/>
    </xf>
    <xf numFmtId="0" fontId="1" fillId="8" borderId="10" xfId="0" applyFont="1" applyFill="1" applyBorder="1" applyAlignment="1">
      <alignment vertical="center"/>
    </xf>
    <xf numFmtId="0" fontId="1" fillId="8" borderId="57" xfId="0" applyFont="1" applyFill="1" applyBorder="1" applyAlignment="1">
      <alignment vertical="center"/>
    </xf>
    <xf numFmtId="0" fontId="1" fillId="8" borderId="56" xfId="0" applyFont="1" applyFill="1" applyBorder="1" applyAlignment="1">
      <alignment vertical="center"/>
    </xf>
    <xf numFmtId="0" fontId="12" fillId="9" borderId="65" xfId="0" applyFont="1" applyFill="1" applyBorder="1" applyAlignment="1">
      <alignment vertical="center"/>
    </xf>
    <xf numFmtId="0" fontId="1" fillId="9" borderId="46" xfId="0" applyFont="1" applyFill="1" applyBorder="1" applyAlignment="1">
      <alignment vertical="center"/>
    </xf>
    <xf numFmtId="0" fontId="1" fillId="9" borderId="66" xfId="0" applyFont="1" applyFill="1" applyBorder="1" applyAlignment="1">
      <alignment vertical="center"/>
    </xf>
    <xf numFmtId="0" fontId="1" fillId="9" borderId="54" xfId="0" applyFont="1" applyFill="1" applyBorder="1" applyAlignment="1">
      <alignment vertical="center"/>
    </xf>
    <xf numFmtId="0" fontId="1" fillId="9" borderId="49" xfId="0" applyFont="1" applyFill="1" applyBorder="1" applyAlignment="1">
      <alignment vertical="center"/>
    </xf>
    <xf numFmtId="0" fontId="1" fillId="9" borderId="55" xfId="0" applyFont="1" applyFill="1" applyBorder="1" applyAlignment="1">
      <alignment vertical="center"/>
    </xf>
    <xf numFmtId="0" fontId="1" fillId="9" borderId="65" xfId="0" applyFont="1" applyFill="1" applyBorder="1" applyAlignment="1">
      <alignment vertical="center"/>
    </xf>
    <xf numFmtId="0" fontId="1" fillId="9" borderId="56" xfId="0" applyFont="1" applyFill="1" applyBorder="1" applyAlignment="1">
      <alignment vertical="center"/>
    </xf>
    <xf numFmtId="0" fontId="1" fillId="9" borderId="10" xfId="0" applyFont="1" applyFill="1" applyBorder="1" applyAlignment="1">
      <alignment vertical="center"/>
    </xf>
    <xf numFmtId="0" fontId="1" fillId="9" borderId="57" xfId="0" applyFont="1" applyFill="1" applyBorder="1" applyAlignment="1">
      <alignment vertical="center"/>
    </xf>
    <xf numFmtId="0" fontId="1" fillId="9" borderId="58" xfId="0" applyFont="1" applyFill="1" applyBorder="1" applyAlignment="1">
      <alignment vertical="center"/>
    </xf>
    <xf numFmtId="0" fontId="1" fillId="9" borderId="43" xfId="0" applyFont="1" applyFill="1" applyBorder="1" applyAlignment="1">
      <alignment vertical="center"/>
    </xf>
    <xf numFmtId="0" fontId="1" fillId="9" borderId="59" xfId="0" applyFont="1" applyFill="1" applyBorder="1" applyAlignment="1">
      <alignment vertical="center"/>
    </xf>
    <xf numFmtId="0" fontId="1" fillId="3" borderId="51" xfId="0" applyFont="1" applyFill="1" applyBorder="1" applyAlignment="1">
      <alignment vertical="center"/>
    </xf>
    <xf numFmtId="0" fontId="1" fillId="3" borderId="52" xfId="0" applyFont="1" applyFill="1" applyBorder="1" applyAlignment="1">
      <alignment vertical="center"/>
    </xf>
    <xf numFmtId="0" fontId="1" fillId="3" borderId="53" xfId="0" applyFont="1" applyFill="1" applyBorder="1" applyAlignment="1">
      <alignment vertical="center"/>
    </xf>
    <xf numFmtId="0" fontId="1" fillId="10" borderId="10" xfId="0" applyFont="1" applyFill="1" applyBorder="1" applyAlignment="1">
      <alignment vertical="center"/>
    </xf>
    <xf numFmtId="0" fontId="12" fillId="0" borderId="79" xfId="0" quotePrefix="1" applyFont="1" applyBorder="1" applyAlignment="1">
      <alignment horizontal="right" vertical="center"/>
    </xf>
    <xf numFmtId="0" fontId="12" fillId="3" borderId="80" xfId="0" applyFont="1" applyFill="1" applyBorder="1" applyAlignment="1">
      <alignment horizontal="left" vertical="center"/>
    </xf>
    <xf numFmtId="0" fontId="12" fillId="3" borderId="81" xfId="0" applyFont="1" applyFill="1" applyBorder="1" applyAlignment="1">
      <alignment horizontal="left" vertical="center"/>
    </xf>
    <xf numFmtId="0" fontId="12" fillId="3" borderId="82" xfId="0" applyFont="1" applyFill="1" applyBorder="1" applyAlignment="1">
      <alignment horizontal="left" vertical="center"/>
    </xf>
    <xf numFmtId="0" fontId="12" fillId="3" borderId="101" xfId="0" quotePrefix="1" applyFont="1" applyFill="1" applyBorder="1" applyAlignment="1">
      <alignment horizontal="right" vertical="center"/>
    </xf>
    <xf numFmtId="0" fontId="12" fillId="3" borderId="102" xfId="0" applyFont="1" applyFill="1" applyBorder="1" applyAlignment="1">
      <alignment vertical="center"/>
    </xf>
    <xf numFmtId="0" fontId="12" fillId="3" borderId="104" xfId="0" applyFont="1" applyFill="1" applyBorder="1" applyAlignment="1">
      <alignment vertical="center"/>
    </xf>
    <xf numFmtId="0" fontId="1" fillId="5" borderId="105" xfId="0" applyFont="1" applyFill="1" applyBorder="1" applyAlignment="1">
      <alignment horizontal="center" vertical="center"/>
    </xf>
    <xf numFmtId="0" fontId="1" fillId="5" borderId="106" xfId="0" applyFont="1" applyFill="1" applyBorder="1" applyAlignment="1">
      <alignment horizontal="center" vertical="center"/>
    </xf>
    <xf numFmtId="0" fontId="1" fillId="11" borderId="110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1" fillId="3" borderId="102" xfId="0" applyFont="1" applyFill="1" applyBorder="1" applyAlignment="1">
      <alignment vertical="center"/>
    </xf>
    <xf numFmtId="0" fontId="1" fillId="0" borderId="86" xfId="0" applyFont="1" applyBorder="1" applyAlignment="1">
      <alignment vertical="center"/>
    </xf>
    <xf numFmtId="0" fontId="12" fillId="0" borderId="73" xfId="0" applyFont="1" applyBorder="1" applyAlignment="1">
      <alignment horizontal="left" vertical="center"/>
    </xf>
    <xf numFmtId="0" fontId="12" fillId="3" borderId="43" xfId="0" applyFont="1" applyFill="1" applyBorder="1" applyAlignment="1">
      <alignment horizontal="left" vertical="center"/>
    </xf>
    <xf numFmtId="0" fontId="12" fillId="3" borderId="44" xfId="0" applyFont="1" applyFill="1" applyBorder="1" applyAlignment="1">
      <alignment horizontal="left" vertical="center"/>
    </xf>
    <xf numFmtId="0" fontId="1" fillId="0" borderId="90" xfId="0" applyFont="1" applyBorder="1" applyAlignment="1">
      <alignment vertical="center"/>
    </xf>
    <xf numFmtId="0" fontId="1" fillId="3" borderId="52" xfId="0" applyFont="1" applyFill="1" applyBorder="1" applyAlignment="1">
      <alignment horizontal="center" vertical="center"/>
    </xf>
    <xf numFmtId="0" fontId="1" fillId="3" borderId="117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10" borderId="133" xfId="0" applyFont="1" applyFill="1" applyBorder="1" applyAlignment="1">
      <alignment vertical="center"/>
    </xf>
    <xf numFmtId="0" fontId="1" fillId="10" borderId="10" xfId="0" applyFont="1" applyFill="1" applyBorder="1" applyAlignment="1">
      <alignment horizontal="left" vertical="center"/>
    </xf>
    <xf numFmtId="0" fontId="1" fillId="0" borderId="116" xfId="0" applyFont="1" applyBorder="1" applyAlignment="1">
      <alignment horizontal="center" vertical="center"/>
    </xf>
    <xf numFmtId="0" fontId="1" fillId="0" borderId="1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116" xfId="0" applyFont="1" applyBorder="1" applyAlignment="1">
      <alignment horizontal="center" vertical="center"/>
    </xf>
    <xf numFmtId="0" fontId="3" fillId="0" borderId="70" xfId="0" quotePrefix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13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137" xfId="0" applyFont="1" applyBorder="1" applyAlignment="1">
      <alignment horizontal="center" vertical="center"/>
    </xf>
    <xf numFmtId="0" fontId="3" fillId="0" borderId="138" xfId="0" quotePrefix="1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117" xfId="0" applyFont="1" applyBorder="1" applyAlignment="1">
      <alignment horizontal="center" vertical="center"/>
    </xf>
    <xf numFmtId="0" fontId="10" fillId="0" borderId="117" xfId="0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137" xfId="0" applyNumberFormat="1" applyFont="1" applyBorder="1" applyAlignment="1">
      <alignment horizontal="center" vertical="center"/>
    </xf>
    <xf numFmtId="176" fontId="3" fillId="0" borderId="138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6" fontId="10" fillId="0" borderId="20" xfId="0" applyNumberFormat="1" applyFont="1" applyBorder="1" applyAlignment="1">
      <alignment horizontal="center" vertical="center"/>
    </xf>
    <xf numFmtId="0" fontId="12" fillId="3" borderId="141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7" fillId="5" borderId="10" xfId="0" applyFont="1" applyFill="1" applyBorder="1" applyAlignment="1">
      <alignment vertical="center"/>
    </xf>
    <xf numFmtId="0" fontId="17" fillId="5" borderId="36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2" fillId="4" borderId="4" xfId="0" applyFont="1" applyFill="1" applyBorder="1" applyAlignment="1">
      <alignment horizontal="center" vertical="center"/>
    </xf>
    <xf numFmtId="0" fontId="1" fillId="5" borderId="91" xfId="0" applyFont="1" applyFill="1" applyBorder="1" applyAlignment="1">
      <alignment horizontal="left" vertical="center"/>
    </xf>
    <xf numFmtId="0" fontId="2" fillId="0" borderId="92" xfId="0" applyFont="1" applyBorder="1" applyAlignment="1">
      <alignment vertical="center"/>
    </xf>
    <xf numFmtId="0" fontId="2" fillId="0" borderId="93" xfId="0" applyFont="1" applyBorder="1" applyAlignment="1">
      <alignment vertical="center"/>
    </xf>
    <xf numFmtId="0" fontId="1" fillId="5" borderId="94" xfId="0" applyFont="1" applyFill="1" applyBorder="1" applyAlignment="1">
      <alignment horizontal="left" vertical="center"/>
    </xf>
    <xf numFmtId="0" fontId="2" fillId="0" borderId="95" xfId="0" applyFont="1" applyBorder="1" applyAlignment="1">
      <alignment vertical="center"/>
    </xf>
    <xf numFmtId="0" fontId="2" fillId="0" borderId="96" xfId="0" applyFont="1" applyBorder="1" applyAlignment="1">
      <alignment vertical="center"/>
    </xf>
    <xf numFmtId="0" fontId="1" fillId="5" borderId="87" xfId="0" applyFont="1" applyFill="1" applyBorder="1" applyAlignment="1">
      <alignment horizontal="left" vertical="center"/>
    </xf>
    <xf numFmtId="0" fontId="2" fillId="0" borderId="88" xfId="0" applyFont="1" applyBorder="1" applyAlignment="1">
      <alignment vertical="center"/>
    </xf>
    <xf numFmtId="0" fontId="2" fillId="0" borderId="89" xfId="0" applyFont="1" applyBorder="1" applyAlignment="1">
      <alignment vertical="center"/>
    </xf>
    <xf numFmtId="0" fontId="1" fillId="11" borderId="94" xfId="0" applyFont="1" applyFill="1" applyBorder="1" applyAlignment="1">
      <alignment horizontal="left" vertical="center"/>
    </xf>
    <xf numFmtId="0" fontId="1" fillId="11" borderId="87" xfId="0" applyFont="1" applyFill="1" applyBorder="1" applyAlignment="1">
      <alignment horizontal="left" vertical="center"/>
    </xf>
    <xf numFmtId="0" fontId="1" fillId="11" borderId="97" xfId="0" applyFont="1" applyFill="1" applyBorder="1" applyAlignment="1">
      <alignment horizontal="left" vertical="center"/>
    </xf>
    <xf numFmtId="0" fontId="2" fillId="0" borderId="98" xfId="0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12" fillId="3" borderId="103" xfId="0" applyFont="1" applyFill="1" applyBorder="1" applyAlignment="1">
      <alignment horizontal="left" vertical="center"/>
    </xf>
    <xf numFmtId="0" fontId="1" fillId="11" borderId="75" xfId="0" applyFont="1" applyFill="1" applyBorder="1" applyAlignment="1">
      <alignment horizontal="center" vertical="center"/>
    </xf>
    <xf numFmtId="0" fontId="2" fillId="0" borderId="8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1" fillId="5" borderId="67" xfId="0" applyFont="1" applyFill="1" applyBorder="1" applyAlignment="1">
      <alignment horizontal="center" vertical="center"/>
    </xf>
    <xf numFmtId="0" fontId="2" fillId="0" borderId="71" xfId="0" applyFont="1" applyBorder="1" applyAlignment="1">
      <alignment vertical="center"/>
    </xf>
    <xf numFmtId="0" fontId="1" fillId="5" borderId="75" xfId="0" applyFont="1" applyFill="1" applyBorder="1" applyAlignment="1">
      <alignment horizontal="center" vertical="center"/>
    </xf>
    <xf numFmtId="0" fontId="2" fillId="0" borderId="90" xfId="0" applyFont="1" applyBorder="1" applyAlignment="1">
      <alignment vertical="center"/>
    </xf>
    <xf numFmtId="0" fontId="1" fillId="5" borderId="79" xfId="0" applyFont="1" applyFill="1" applyBorder="1" applyAlignment="1">
      <alignment horizontal="center" vertical="center"/>
    </xf>
    <xf numFmtId="0" fontId="12" fillId="3" borderId="83" xfId="0" applyFont="1" applyFill="1" applyBorder="1" applyAlignment="1">
      <alignment horizontal="left" vertical="center"/>
    </xf>
    <xf numFmtId="0" fontId="2" fillId="0" borderId="84" xfId="0" applyFont="1" applyBorder="1" applyAlignment="1">
      <alignment vertical="center"/>
    </xf>
    <xf numFmtId="0" fontId="2" fillId="0" borderId="85" xfId="0" applyFont="1" applyBorder="1" applyAlignment="1">
      <alignment vertical="center"/>
    </xf>
    <xf numFmtId="0" fontId="12" fillId="3" borderId="97" xfId="0" applyFont="1" applyFill="1" applyBorder="1" applyAlignment="1">
      <alignment horizontal="left" vertical="center"/>
    </xf>
    <xf numFmtId="0" fontId="1" fillId="5" borderId="103" xfId="0" applyFont="1" applyFill="1" applyBorder="1" applyAlignment="1">
      <alignment horizontal="left" vertical="center"/>
    </xf>
    <xf numFmtId="0" fontId="12" fillId="3" borderId="79" xfId="0" applyFont="1" applyFill="1" applyBorder="1" applyAlignment="1">
      <alignment horizontal="center" vertical="center"/>
    </xf>
    <xf numFmtId="0" fontId="12" fillId="0" borderId="116" xfId="0" quotePrefix="1" applyFont="1" applyBorder="1" applyAlignment="1">
      <alignment horizontal="center" vertical="center"/>
    </xf>
    <xf numFmtId="0" fontId="1" fillId="11" borderId="125" xfId="0" applyFont="1" applyFill="1" applyBorder="1" applyAlignment="1">
      <alignment horizontal="center" vertical="center"/>
    </xf>
    <xf numFmtId="0" fontId="2" fillId="0" borderId="130" xfId="0" applyFont="1" applyBorder="1" applyAlignment="1">
      <alignment vertical="center"/>
    </xf>
    <xf numFmtId="0" fontId="14" fillId="3" borderId="79" xfId="0" applyFont="1" applyFill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4" fillId="3" borderId="83" xfId="0" applyFont="1" applyFill="1" applyBorder="1" applyAlignment="1">
      <alignment horizontal="left" vertical="center"/>
    </xf>
    <xf numFmtId="0" fontId="14" fillId="3" borderId="87" xfId="0" applyFont="1" applyFill="1" applyBorder="1" applyAlignment="1">
      <alignment horizontal="left" vertical="center"/>
    </xf>
    <xf numFmtId="0" fontId="14" fillId="3" borderId="97" xfId="0" applyFont="1" applyFill="1" applyBorder="1" applyAlignment="1">
      <alignment horizontal="left" vertical="center"/>
    </xf>
    <xf numFmtId="0" fontId="12" fillId="3" borderId="100" xfId="0" applyFont="1" applyFill="1" applyBorder="1" applyAlignment="1">
      <alignment horizontal="left" vertical="center"/>
    </xf>
    <xf numFmtId="0" fontId="1" fillId="5" borderId="68" xfId="0" applyFont="1" applyFill="1" applyBorder="1" applyAlignment="1">
      <alignment horizontal="left" vertical="center"/>
    </xf>
    <xf numFmtId="0" fontId="2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1" fillId="11" borderId="76" xfId="0" applyFont="1" applyFill="1" applyBorder="1" applyAlignment="1">
      <alignment horizontal="left" vertical="center"/>
    </xf>
    <xf numFmtId="0" fontId="2" fillId="0" borderId="77" xfId="0" applyFont="1" applyBorder="1" applyAlignment="1">
      <alignment vertical="center"/>
    </xf>
    <xf numFmtId="0" fontId="2" fillId="0" borderId="7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" fillId="11" borderId="91" xfId="0" applyFont="1" applyFill="1" applyBorder="1" applyAlignment="1">
      <alignment horizontal="left" vertical="center"/>
    </xf>
    <xf numFmtId="0" fontId="12" fillId="3" borderId="94" xfId="0" applyFont="1" applyFill="1" applyBorder="1" applyAlignment="1">
      <alignment horizontal="left" vertical="center"/>
    </xf>
    <xf numFmtId="0" fontId="12" fillId="3" borderId="115" xfId="0" applyFont="1" applyFill="1" applyBorder="1" applyAlignment="1">
      <alignment horizontal="left" vertical="center"/>
    </xf>
    <xf numFmtId="0" fontId="12" fillId="3" borderId="91" xfId="0" applyFont="1" applyFill="1" applyBorder="1" applyAlignment="1">
      <alignment horizontal="left" vertical="center"/>
    </xf>
    <xf numFmtId="0" fontId="1" fillId="5" borderId="83" xfId="0" applyFont="1" applyFill="1" applyBorder="1" applyAlignment="1">
      <alignment horizontal="left" vertical="center"/>
    </xf>
    <xf numFmtId="0" fontId="1" fillId="3" borderId="83" xfId="0" applyFont="1" applyFill="1" applyBorder="1" applyAlignment="1">
      <alignment horizontal="left" vertical="center"/>
    </xf>
    <xf numFmtId="0" fontId="1" fillId="3" borderId="87" xfId="0" applyFont="1" applyFill="1" applyBorder="1" applyAlignment="1">
      <alignment horizontal="left" vertical="center"/>
    </xf>
    <xf numFmtId="0" fontId="1" fillId="3" borderId="97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" fillId="11" borderId="126" xfId="0" applyFont="1" applyFill="1" applyBorder="1" applyAlignment="1">
      <alignment horizontal="center" vertical="center"/>
    </xf>
    <xf numFmtId="0" fontId="1" fillId="11" borderId="127" xfId="0" applyFont="1" applyFill="1" applyBorder="1" applyAlignment="1">
      <alignment horizontal="center" vertical="center"/>
    </xf>
    <xf numFmtId="0" fontId="2" fillId="0" borderId="131" xfId="0" applyFont="1" applyBorder="1" applyAlignment="1">
      <alignment vertical="center"/>
    </xf>
    <xf numFmtId="0" fontId="1" fillId="11" borderId="128" xfId="0" applyFont="1" applyFill="1" applyBorder="1" applyAlignment="1">
      <alignment horizontal="center" vertical="center"/>
    </xf>
    <xf numFmtId="0" fontId="2" fillId="0" borderId="132" xfId="0" applyFont="1" applyBorder="1" applyAlignment="1">
      <alignment vertical="center"/>
    </xf>
    <xf numFmtId="0" fontId="1" fillId="11" borderId="129" xfId="0" applyFont="1" applyFill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0" borderId="121" xfId="0" applyFont="1" applyBorder="1" applyAlignment="1">
      <alignment vertical="center"/>
    </xf>
    <xf numFmtId="0" fontId="1" fillId="5" borderId="118" xfId="0" applyFont="1" applyFill="1" applyBorder="1" applyAlignment="1">
      <alignment horizontal="center" vertical="center"/>
    </xf>
    <xf numFmtId="0" fontId="2" fillId="0" borderId="122" xfId="0" applyFont="1" applyBorder="1" applyAlignment="1">
      <alignment vertical="center"/>
    </xf>
    <xf numFmtId="0" fontId="1" fillId="5" borderId="119" xfId="0" applyFont="1" applyFill="1" applyBorder="1" applyAlignment="1">
      <alignment horizontal="center" vertical="center"/>
    </xf>
    <xf numFmtId="0" fontId="2" fillId="0" borderId="123" xfId="0" applyFont="1" applyBorder="1" applyAlignment="1">
      <alignment vertical="center"/>
    </xf>
    <xf numFmtId="0" fontId="1" fillId="5" borderId="120" xfId="0" applyFont="1" applyFill="1" applyBorder="1" applyAlignment="1">
      <alignment horizontal="center" vertical="center"/>
    </xf>
    <xf numFmtId="0" fontId="2" fillId="0" borderId="124" xfId="0" applyFont="1" applyBorder="1" applyAlignment="1">
      <alignment vertical="center"/>
    </xf>
    <xf numFmtId="0" fontId="1" fillId="5" borderId="107" xfId="0" applyFont="1" applyFill="1" applyBorder="1" applyAlignment="1">
      <alignment horizontal="left" vertical="center"/>
    </xf>
    <xf numFmtId="0" fontId="2" fillId="0" borderId="108" xfId="0" applyFont="1" applyBorder="1" applyAlignment="1">
      <alignment vertical="center"/>
    </xf>
    <xf numFmtId="0" fontId="2" fillId="0" borderId="109" xfId="0" applyFont="1" applyBorder="1" applyAlignment="1">
      <alignment vertical="center"/>
    </xf>
    <xf numFmtId="0" fontId="1" fillId="11" borderId="107" xfId="0" applyFont="1" applyFill="1" applyBorder="1" applyAlignment="1">
      <alignment horizontal="left" vertical="center"/>
    </xf>
    <xf numFmtId="0" fontId="1" fillId="11" borderId="112" xfId="0" applyFont="1" applyFill="1" applyBorder="1" applyAlignment="1">
      <alignment horizontal="left" vertical="center"/>
    </xf>
    <xf numFmtId="0" fontId="2" fillId="0" borderId="113" xfId="0" applyFont="1" applyBorder="1" applyAlignment="1">
      <alignment vertical="center"/>
    </xf>
    <xf numFmtId="0" fontId="2" fillId="0" borderId="114" xfId="0" applyFont="1" applyBorder="1" applyAlignment="1">
      <alignment vertical="center"/>
    </xf>
    <xf numFmtId="0" fontId="1" fillId="11" borderId="76" xfId="0" applyFont="1" applyFill="1" applyBorder="1" applyAlignment="1">
      <alignment horizontal="center" vertical="center"/>
    </xf>
    <xf numFmtId="0" fontId="1" fillId="12" borderId="97" xfId="0" applyFont="1" applyFill="1" applyBorder="1" applyAlignment="1">
      <alignment horizontal="left" vertical="center"/>
    </xf>
    <xf numFmtId="0" fontId="1" fillId="12" borderId="75" xfId="0" applyFont="1" applyFill="1" applyBorder="1" applyAlignment="1">
      <alignment horizontal="center" vertical="center"/>
    </xf>
    <xf numFmtId="0" fontId="1" fillId="12" borderId="94" xfId="0" applyFont="1" applyFill="1" applyBorder="1" applyAlignment="1">
      <alignment horizontal="left" vertical="center"/>
    </xf>
    <xf numFmtId="0" fontId="1" fillId="12" borderId="87" xfId="0" applyFont="1" applyFill="1" applyBorder="1" applyAlignment="1">
      <alignment horizontal="left" vertical="center"/>
    </xf>
    <xf numFmtId="0" fontId="1" fillId="11" borderId="95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1" fillId="5" borderId="141" xfId="0" applyFont="1" applyFill="1" applyBorder="1" applyAlignment="1">
      <alignment horizontal="left" vertical="center"/>
    </xf>
    <xf numFmtId="0" fontId="1" fillId="5" borderId="115" xfId="0" applyFont="1" applyFill="1" applyBorder="1" applyAlignment="1">
      <alignment horizontal="left" vertical="center"/>
    </xf>
    <xf numFmtId="0" fontId="1" fillId="5" borderId="85" xfId="0" applyFont="1" applyFill="1" applyBorder="1" applyAlignment="1">
      <alignment horizontal="left" vertical="center"/>
    </xf>
    <xf numFmtId="0" fontId="1" fillId="11" borderId="133" xfId="0" applyFont="1" applyFill="1" applyBorder="1" applyAlignment="1">
      <alignment horizontal="left" vertical="center"/>
    </xf>
    <xf numFmtId="0" fontId="1" fillId="11" borderId="89" xfId="0" applyFont="1" applyFill="1" applyBorder="1" applyAlignment="1">
      <alignment horizontal="left" vertical="center"/>
    </xf>
    <xf numFmtId="177" fontId="1" fillId="11" borderId="76" xfId="0" applyNumberFormat="1" applyFont="1" applyFill="1" applyBorder="1" applyAlignment="1">
      <alignment horizontal="center" vertical="center"/>
    </xf>
    <xf numFmtId="0" fontId="1" fillId="0" borderId="1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6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EF2CB"/>
  </sheetPr>
  <dimension ref="A1:AF1000"/>
  <sheetViews>
    <sheetView workbookViewId="0">
      <pane xSplit="14" topLeftCell="O1" activePane="topRight" state="frozen"/>
      <selection pane="topRight" activeCell="P2" sqref="P2"/>
    </sheetView>
  </sheetViews>
  <sheetFormatPr defaultColWidth="14.42578125" defaultRowHeight="15" customHeight="1"/>
  <cols>
    <col min="1" max="1" width="4.42578125" customWidth="1"/>
    <col min="2" max="2" width="10.28515625" customWidth="1"/>
    <col min="3" max="3" width="13.7109375" customWidth="1"/>
    <col min="4" max="4" width="8.140625" customWidth="1"/>
    <col min="5" max="5" width="4" customWidth="1"/>
    <col min="6" max="6" width="8.140625" customWidth="1"/>
    <col min="7" max="7" width="4" customWidth="1"/>
    <col min="8" max="8" width="8.140625" customWidth="1"/>
    <col min="9" max="9" width="4" customWidth="1"/>
    <col min="10" max="10" width="8.140625" customWidth="1"/>
    <col min="11" max="11" width="3.85546875" customWidth="1"/>
    <col min="12" max="12" width="10.28515625" customWidth="1"/>
    <col min="13" max="13" width="12.140625" customWidth="1"/>
    <col min="14" max="14" width="10.28515625" customWidth="1"/>
    <col min="15" max="32" width="13" customWidth="1"/>
  </cols>
  <sheetData>
    <row r="1" spans="1:32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 t="s">
        <v>0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</row>
    <row r="3" spans="1:32" ht="16.5" customHeight="1">
      <c r="A3" s="1"/>
      <c r="B3" s="1"/>
      <c r="C3" s="3" t="s">
        <v>19</v>
      </c>
      <c r="D3" s="237" t="s">
        <v>20</v>
      </c>
      <c r="E3" s="235"/>
      <c r="F3" s="235"/>
      <c r="G3" s="236"/>
      <c r="H3" s="234" t="s">
        <v>21</v>
      </c>
      <c r="I3" s="235"/>
      <c r="J3" s="3" t="s">
        <v>22</v>
      </c>
      <c r="K3" s="1"/>
      <c r="L3" s="2">
        <v>0</v>
      </c>
      <c r="M3" s="4">
        <v>51</v>
      </c>
      <c r="N3" s="4" t="s">
        <v>23</v>
      </c>
      <c r="O3" s="2"/>
      <c r="P3" s="2"/>
      <c r="Q3" s="2"/>
      <c r="R3" s="2"/>
      <c r="S3" s="2"/>
      <c r="T3" s="2"/>
      <c r="U3" s="2" t="s">
        <v>24</v>
      </c>
      <c r="V3" s="2" t="s">
        <v>24</v>
      </c>
      <c r="W3" s="2" t="s">
        <v>24</v>
      </c>
      <c r="X3" s="2" t="s">
        <v>24</v>
      </c>
      <c r="Y3" s="2" t="s">
        <v>24</v>
      </c>
      <c r="Z3" s="2" t="s">
        <v>24</v>
      </c>
      <c r="AA3" s="2" t="s">
        <v>24</v>
      </c>
      <c r="AB3" s="2" t="s">
        <v>24</v>
      </c>
      <c r="AC3" s="2" t="s">
        <v>24</v>
      </c>
      <c r="AD3" s="2"/>
      <c r="AE3" s="2"/>
      <c r="AF3" s="2"/>
    </row>
    <row r="4" spans="1:32" ht="16.5" customHeight="1">
      <c r="A4" s="1"/>
      <c r="B4" s="238" t="s">
        <v>25</v>
      </c>
      <c r="C4" s="2" t="s">
        <v>26</v>
      </c>
      <c r="D4" s="5" t="s">
        <v>27</v>
      </c>
      <c r="E4" s="6">
        <v>85</v>
      </c>
      <c r="F4" s="7" t="s">
        <v>28</v>
      </c>
      <c r="G4" s="8">
        <v>7</v>
      </c>
      <c r="H4" s="9"/>
      <c r="I4" s="10"/>
      <c r="J4" s="11"/>
      <c r="K4" s="1"/>
      <c r="L4" s="2">
        <v>0</v>
      </c>
      <c r="M4" s="4">
        <v>52</v>
      </c>
      <c r="N4" s="4" t="s">
        <v>29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 t="s">
        <v>24</v>
      </c>
      <c r="AB4" s="2"/>
      <c r="AC4" s="2"/>
      <c r="AD4" s="2"/>
      <c r="AE4" s="2"/>
      <c r="AF4" s="2"/>
    </row>
    <row r="5" spans="1:32" ht="16.5" customHeight="1">
      <c r="A5" s="1"/>
      <c r="B5" s="239"/>
      <c r="C5" s="2" t="s">
        <v>30</v>
      </c>
      <c r="D5" s="5" t="s">
        <v>31</v>
      </c>
      <c r="E5" s="6">
        <v>83</v>
      </c>
      <c r="F5" s="4" t="s">
        <v>32</v>
      </c>
      <c r="G5" s="12">
        <v>72</v>
      </c>
      <c r="H5" s="13"/>
      <c r="I5" s="14"/>
      <c r="J5" s="11"/>
      <c r="K5" s="1"/>
      <c r="L5" s="2">
        <v>0</v>
      </c>
      <c r="M5" s="4">
        <v>54</v>
      </c>
      <c r="N5" s="4" t="s">
        <v>33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24</v>
      </c>
      <c r="AE5" s="2" t="s">
        <v>24</v>
      </c>
      <c r="AF5" s="2" t="s">
        <v>24</v>
      </c>
    </row>
    <row r="6" spans="1:32" ht="16.5" customHeight="1">
      <c r="A6" s="1"/>
      <c r="B6" s="239"/>
      <c r="C6" s="2" t="s">
        <v>34</v>
      </c>
      <c r="D6" s="5" t="s">
        <v>35</v>
      </c>
      <c r="E6" s="6">
        <v>80</v>
      </c>
      <c r="F6" s="4"/>
      <c r="G6" s="12"/>
      <c r="H6" s="13"/>
      <c r="I6" s="14"/>
      <c r="J6" s="11"/>
      <c r="K6" s="1"/>
      <c r="L6" s="2">
        <v>0</v>
      </c>
      <c r="M6" s="4">
        <v>55</v>
      </c>
      <c r="N6" s="4" t="s">
        <v>36</v>
      </c>
      <c r="O6" s="2"/>
      <c r="P6" s="2"/>
      <c r="Q6" s="2"/>
      <c r="R6" s="2" t="s">
        <v>24</v>
      </c>
      <c r="S6" s="2" t="s">
        <v>24</v>
      </c>
      <c r="T6" s="2" t="s">
        <v>24</v>
      </c>
      <c r="U6" s="2" t="s">
        <v>24</v>
      </c>
      <c r="V6" s="2" t="s">
        <v>24</v>
      </c>
      <c r="W6" s="2" t="s">
        <v>24</v>
      </c>
      <c r="X6" s="2" t="s">
        <v>24</v>
      </c>
      <c r="Y6" s="2" t="s">
        <v>24</v>
      </c>
      <c r="Z6" s="2" t="s">
        <v>24</v>
      </c>
      <c r="AA6" s="2"/>
      <c r="AB6" s="2"/>
      <c r="AC6" s="2"/>
      <c r="AD6" s="2"/>
      <c r="AE6" s="2"/>
      <c r="AF6" s="2"/>
    </row>
    <row r="7" spans="1:32" ht="16.5" customHeight="1">
      <c r="A7" s="1"/>
      <c r="B7" s="239"/>
      <c r="C7" s="2" t="s">
        <v>37</v>
      </c>
      <c r="D7" s="5" t="s">
        <v>38</v>
      </c>
      <c r="E7" s="6">
        <v>84</v>
      </c>
      <c r="F7" s="7" t="s">
        <v>39</v>
      </c>
      <c r="G7" s="8">
        <v>4</v>
      </c>
      <c r="H7" s="13"/>
      <c r="I7" s="14"/>
      <c r="J7" s="11"/>
      <c r="K7" s="1"/>
      <c r="L7" s="2">
        <v>0</v>
      </c>
      <c r="M7" s="4">
        <v>57</v>
      </c>
      <c r="N7" s="4" t="s">
        <v>40</v>
      </c>
      <c r="O7" s="2" t="s">
        <v>24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24</v>
      </c>
      <c r="V7" s="2" t="s">
        <v>24</v>
      </c>
      <c r="W7" s="2" t="s">
        <v>24</v>
      </c>
      <c r="X7" s="2" t="s">
        <v>24</v>
      </c>
      <c r="Y7" s="2" t="s">
        <v>24</v>
      </c>
      <c r="Z7" s="2" t="s">
        <v>24</v>
      </c>
      <c r="AA7" s="2" t="s">
        <v>24</v>
      </c>
      <c r="AB7" s="2" t="s">
        <v>24</v>
      </c>
      <c r="AC7" s="2" t="s">
        <v>24</v>
      </c>
      <c r="AD7" s="2"/>
      <c r="AE7" s="2"/>
      <c r="AF7" s="2"/>
    </row>
    <row r="8" spans="1:32" ht="16.5" customHeight="1">
      <c r="A8" s="1"/>
      <c r="B8" s="239"/>
      <c r="C8" s="2" t="s">
        <v>41</v>
      </c>
      <c r="D8" s="5" t="s">
        <v>36</v>
      </c>
      <c r="E8" s="6">
        <v>55</v>
      </c>
      <c r="F8" s="7" t="s">
        <v>42</v>
      </c>
      <c r="G8" s="8">
        <v>6</v>
      </c>
      <c r="H8" s="13"/>
      <c r="I8" s="14"/>
      <c r="J8" s="15" t="s">
        <v>43</v>
      </c>
      <c r="K8" s="1"/>
      <c r="L8" s="2">
        <v>0</v>
      </c>
      <c r="M8" s="4">
        <v>58</v>
      </c>
      <c r="N8" s="4" t="s">
        <v>44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s">
        <v>24</v>
      </c>
      <c r="AE8" s="2" t="s">
        <v>24</v>
      </c>
      <c r="AF8" s="2" t="s">
        <v>24</v>
      </c>
    </row>
    <row r="9" spans="1:32" ht="16.5" customHeight="1">
      <c r="A9" s="1"/>
      <c r="B9" s="239"/>
      <c r="C9" s="2" t="s">
        <v>45</v>
      </c>
      <c r="D9" s="16" t="s">
        <v>23</v>
      </c>
      <c r="E9" s="17">
        <v>51</v>
      </c>
      <c r="F9" s="4" t="s">
        <v>46</v>
      </c>
      <c r="G9" s="12">
        <v>77</v>
      </c>
      <c r="H9" s="13"/>
      <c r="I9" s="14"/>
      <c r="J9" s="11"/>
      <c r="K9" s="1"/>
      <c r="L9" s="2">
        <v>0</v>
      </c>
      <c r="M9" s="4">
        <v>59</v>
      </c>
      <c r="N9" s="4" t="s">
        <v>47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 t="s">
        <v>24</v>
      </c>
      <c r="AB9" s="2" t="s">
        <v>24</v>
      </c>
      <c r="AC9" s="2" t="s">
        <v>24</v>
      </c>
      <c r="AD9" s="2"/>
      <c r="AE9" s="2"/>
      <c r="AF9" s="2"/>
    </row>
    <row r="10" spans="1:32" ht="16.5" customHeight="1">
      <c r="A10" s="1"/>
      <c r="B10" s="239"/>
      <c r="C10" s="2" t="s">
        <v>48</v>
      </c>
      <c r="D10" s="5"/>
      <c r="E10" s="6"/>
      <c r="F10" s="4"/>
      <c r="G10" s="12"/>
      <c r="H10" s="9" t="s">
        <v>49</v>
      </c>
      <c r="I10" s="10">
        <v>64</v>
      </c>
      <c r="J10" s="11"/>
      <c r="K10" s="1"/>
      <c r="L10" s="2">
        <v>0</v>
      </c>
      <c r="M10" s="4">
        <v>62</v>
      </c>
      <c r="N10" s="4" t="s">
        <v>50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24</v>
      </c>
      <c r="AE10" s="2" t="s">
        <v>24</v>
      </c>
      <c r="AF10" s="2" t="s">
        <v>24</v>
      </c>
    </row>
    <row r="11" spans="1:32" ht="16.5" customHeight="1">
      <c r="A11" s="1"/>
      <c r="B11" s="239"/>
      <c r="C11" s="2" t="s">
        <v>51</v>
      </c>
      <c r="D11" s="5"/>
      <c r="E11" s="6"/>
      <c r="F11" s="4"/>
      <c r="G11" s="12"/>
      <c r="H11" s="13"/>
      <c r="I11" s="14"/>
      <c r="J11" s="11"/>
      <c r="K11" s="1"/>
      <c r="L11" s="2"/>
      <c r="M11" s="4">
        <v>63</v>
      </c>
      <c r="N11" s="18" t="s">
        <v>52</v>
      </c>
      <c r="O11" s="2" t="s">
        <v>53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6.5" customHeight="1">
      <c r="A12" s="1"/>
      <c r="B12" s="239"/>
      <c r="C12" s="2" t="s">
        <v>54</v>
      </c>
      <c r="D12" s="5"/>
      <c r="E12" s="6"/>
      <c r="F12" s="4"/>
      <c r="G12" s="12"/>
      <c r="H12" s="13"/>
      <c r="I12" s="14"/>
      <c r="J12" s="11"/>
      <c r="K12" s="1"/>
      <c r="L12" s="2">
        <v>0</v>
      </c>
      <c r="M12" s="4">
        <v>64</v>
      </c>
      <c r="N12" s="4" t="s">
        <v>49</v>
      </c>
      <c r="O12" s="2"/>
      <c r="P12" s="2"/>
      <c r="Q12" s="2"/>
      <c r="R12" s="2"/>
      <c r="S12" s="2"/>
      <c r="T12" s="2"/>
      <c r="U12" s="2"/>
      <c r="V12" s="2" t="s">
        <v>24</v>
      </c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6.5" customHeight="1">
      <c r="A13" s="1"/>
      <c r="B13" s="239"/>
      <c r="C13" s="2" t="s">
        <v>55</v>
      </c>
      <c r="D13" s="5" t="s">
        <v>56</v>
      </c>
      <c r="E13" s="6">
        <v>79</v>
      </c>
      <c r="F13" s="7" t="s">
        <v>57</v>
      </c>
      <c r="G13" s="8">
        <v>3</v>
      </c>
      <c r="H13" s="13"/>
      <c r="I13" s="14"/>
      <c r="J13" s="11"/>
      <c r="K13" s="1"/>
      <c r="L13" s="2">
        <v>0</v>
      </c>
      <c r="M13" s="4">
        <v>65</v>
      </c>
      <c r="N13" s="4" t="s">
        <v>58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 t="s">
        <v>24</v>
      </c>
      <c r="AD13" s="2"/>
      <c r="AE13" s="2"/>
      <c r="AF13" s="2"/>
    </row>
    <row r="14" spans="1:32" ht="16.5" customHeight="1">
      <c r="A14" s="1"/>
      <c r="B14" s="239"/>
      <c r="C14" s="2" t="s">
        <v>59</v>
      </c>
      <c r="D14" s="16"/>
      <c r="E14" s="17"/>
      <c r="F14" s="7" t="s">
        <v>60</v>
      </c>
      <c r="G14" s="8">
        <v>1</v>
      </c>
      <c r="H14" s="13"/>
      <c r="I14" s="14"/>
      <c r="J14" s="15"/>
      <c r="K14" s="1"/>
      <c r="L14" s="2"/>
      <c r="M14" s="4">
        <v>66</v>
      </c>
      <c r="N14" s="18" t="s">
        <v>61</v>
      </c>
      <c r="O14" s="2" t="s">
        <v>62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6.5" customHeight="1">
      <c r="A15" s="1"/>
      <c r="B15" s="239"/>
      <c r="C15" s="2" t="s">
        <v>63</v>
      </c>
      <c r="D15" s="5"/>
      <c r="E15" s="6"/>
      <c r="F15" s="7"/>
      <c r="G15" s="8"/>
      <c r="H15" s="13"/>
      <c r="I15" s="14"/>
      <c r="J15" s="11"/>
      <c r="K15" s="1"/>
      <c r="L15" s="2">
        <v>0</v>
      </c>
      <c r="M15" s="4">
        <v>70</v>
      </c>
      <c r="N15" s="4" t="s">
        <v>43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/>
      <c r="V15" s="19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6.5" customHeight="1">
      <c r="A16" s="1"/>
      <c r="B16" s="239"/>
      <c r="C16" s="2" t="s">
        <v>64</v>
      </c>
      <c r="D16" s="5"/>
      <c r="E16" s="6"/>
      <c r="F16" s="4"/>
      <c r="G16" s="12"/>
      <c r="H16" s="13"/>
      <c r="I16" s="14"/>
      <c r="J16" s="11"/>
      <c r="K16" s="1"/>
      <c r="L16" s="2">
        <v>0</v>
      </c>
      <c r="M16" s="4">
        <v>72</v>
      </c>
      <c r="N16" s="4" t="s">
        <v>32</v>
      </c>
      <c r="O16" s="2" t="s">
        <v>24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/>
      <c r="V16" s="19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6.5" customHeight="1">
      <c r="A17" s="1"/>
      <c r="B17" s="239"/>
      <c r="C17" s="2" t="s">
        <v>65</v>
      </c>
      <c r="D17" s="5" t="s">
        <v>66</v>
      </c>
      <c r="E17" s="6">
        <v>90</v>
      </c>
      <c r="F17" s="4" t="s">
        <v>67</v>
      </c>
      <c r="G17" s="12">
        <v>75</v>
      </c>
      <c r="H17" s="13" t="s">
        <v>47</v>
      </c>
      <c r="I17" s="14">
        <v>59</v>
      </c>
      <c r="J17" s="11"/>
      <c r="K17" s="1"/>
      <c r="L17" s="2">
        <v>0</v>
      </c>
      <c r="M17" s="4">
        <v>75</v>
      </c>
      <c r="N17" s="4" t="s">
        <v>67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 t="s">
        <v>24</v>
      </c>
      <c r="AB17" s="2" t="s">
        <v>24</v>
      </c>
      <c r="AC17" s="2" t="s">
        <v>24</v>
      </c>
      <c r="AD17" s="2"/>
      <c r="AE17" s="2"/>
      <c r="AF17" s="2"/>
    </row>
    <row r="18" spans="1:32" ht="16.5" customHeight="1">
      <c r="A18" s="1"/>
      <c r="B18" s="239"/>
      <c r="C18" s="2" t="s">
        <v>68</v>
      </c>
      <c r="D18" s="5" t="s">
        <v>58</v>
      </c>
      <c r="E18" s="6">
        <v>65</v>
      </c>
      <c r="F18" s="7" t="s">
        <v>69</v>
      </c>
      <c r="G18" s="8">
        <v>5</v>
      </c>
      <c r="H18" s="20"/>
      <c r="I18" s="2"/>
      <c r="J18" s="11"/>
      <c r="K18" s="1"/>
      <c r="L18" s="2">
        <v>0</v>
      </c>
      <c r="M18" s="4">
        <v>77</v>
      </c>
      <c r="N18" s="4" t="s">
        <v>46</v>
      </c>
      <c r="O18" s="2"/>
      <c r="P18" s="2"/>
      <c r="Q18" s="2"/>
      <c r="R18" s="2"/>
      <c r="S18" s="2"/>
      <c r="T18" s="2" t="s">
        <v>24</v>
      </c>
      <c r="U18" s="2" t="s">
        <v>24</v>
      </c>
      <c r="V18" s="19" t="s">
        <v>24</v>
      </c>
      <c r="W18" s="2" t="s">
        <v>24</v>
      </c>
      <c r="X18" s="2" t="s">
        <v>24</v>
      </c>
      <c r="Y18" s="2" t="s">
        <v>24</v>
      </c>
      <c r="Z18" s="2" t="s">
        <v>24</v>
      </c>
      <c r="AA18" s="2" t="s">
        <v>24</v>
      </c>
      <c r="AB18" s="2" t="s">
        <v>24</v>
      </c>
      <c r="AC18" s="2" t="s">
        <v>24</v>
      </c>
      <c r="AD18" s="2"/>
      <c r="AE18" s="2"/>
      <c r="AF18" s="2"/>
    </row>
    <row r="19" spans="1:32" ht="16.5" customHeight="1">
      <c r="A19" s="1"/>
      <c r="B19" s="239"/>
      <c r="C19" s="21" t="s">
        <v>70</v>
      </c>
      <c r="D19" s="5" t="s">
        <v>71</v>
      </c>
      <c r="E19" s="6">
        <v>88</v>
      </c>
      <c r="F19" s="22"/>
      <c r="G19" s="23"/>
      <c r="H19" s="13"/>
      <c r="I19" s="14"/>
      <c r="J19" s="11"/>
      <c r="K19" s="1"/>
      <c r="L19" s="2"/>
      <c r="M19" s="4">
        <v>78</v>
      </c>
      <c r="N19" s="18" t="s">
        <v>72</v>
      </c>
      <c r="O19" s="2" t="s">
        <v>73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6.5" customHeight="1">
      <c r="A20" s="1"/>
      <c r="B20" s="239"/>
      <c r="C20" s="2" t="s">
        <v>74</v>
      </c>
      <c r="D20" s="24" t="s">
        <v>75</v>
      </c>
      <c r="E20" s="6">
        <v>81</v>
      </c>
      <c r="F20" s="25" t="s">
        <v>44</v>
      </c>
      <c r="G20" s="12">
        <v>58</v>
      </c>
      <c r="H20" s="4"/>
      <c r="I20" s="4"/>
      <c r="J20" s="11"/>
      <c r="K20" s="1"/>
      <c r="L20" s="2">
        <v>0</v>
      </c>
      <c r="M20" s="4">
        <v>79</v>
      </c>
      <c r="N20" s="4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 t="s">
        <v>24</v>
      </c>
      <c r="Y20" s="2" t="s">
        <v>24</v>
      </c>
      <c r="Z20" s="2" t="s">
        <v>24</v>
      </c>
      <c r="AA20" s="2" t="s">
        <v>24</v>
      </c>
      <c r="AB20" s="2" t="s">
        <v>24</v>
      </c>
      <c r="AC20" s="2" t="s">
        <v>24</v>
      </c>
      <c r="AD20" s="2"/>
      <c r="AE20" s="2"/>
      <c r="AF20" s="2"/>
    </row>
    <row r="21" spans="1:32" ht="16.5" customHeight="1">
      <c r="A21" s="1"/>
      <c r="B21" s="239"/>
      <c r="C21" s="2" t="s">
        <v>76</v>
      </c>
      <c r="D21" s="5"/>
      <c r="E21" s="6"/>
      <c r="F21" s="25"/>
      <c r="G21" s="12"/>
      <c r="H21" s="26"/>
      <c r="I21" s="26"/>
      <c r="J21" s="11"/>
      <c r="K21" s="1"/>
      <c r="L21" s="2">
        <v>0</v>
      </c>
      <c r="M21" s="4">
        <v>80</v>
      </c>
      <c r="N21" s="4" t="s">
        <v>35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24</v>
      </c>
      <c r="V21" s="2" t="s">
        <v>24</v>
      </c>
      <c r="W21" s="2" t="s">
        <v>24</v>
      </c>
      <c r="X21" s="2" t="s">
        <v>24</v>
      </c>
      <c r="Y21" s="2" t="s">
        <v>24</v>
      </c>
      <c r="Z21" s="2" t="s">
        <v>24</v>
      </c>
      <c r="AA21" s="2" t="s">
        <v>24</v>
      </c>
      <c r="AB21" s="2" t="s">
        <v>24</v>
      </c>
      <c r="AC21" s="2" t="s">
        <v>24</v>
      </c>
      <c r="AD21" s="2"/>
      <c r="AE21" s="2"/>
      <c r="AF21" s="2"/>
    </row>
    <row r="22" spans="1:32" ht="16.5" customHeight="1">
      <c r="A22" s="1"/>
      <c r="B22" s="240"/>
      <c r="C22" s="21" t="s">
        <v>77</v>
      </c>
      <c r="D22" s="5" t="s">
        <v>61</v>
      </c>
      <c r="E22" s="6">
        <v>66</v>
      </c>
      <c r="F22" s="7"/>
      <c r="G22" s="8"/>
      <c r="H22" s="13"/>
      <c r="I22" s="14"/>
      <c r="J22" s="11"/>
      <c r="K22" s="1"/>
      <c r="L22" s="2">
        <v>0</v>
      </c>
      <c r="M22" s="4">
        <v>81</v>
      </c>
      <c r="N22" s="4" t="s">
        <v>75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24</v>
      </c>
      <c r="V22" s="2" t="s">
        <v>24</v>
      </c>
      <c r="W22" s="2" t="s">
        <v>24</v>
      </c>
      <c r="X22" s="2" t="s">
        <v>24</v>
      </c>
      <c r="Y22" s="2" t="s">
        <v>24</v>
      </c>
      <c r="Z22" s="2" t="s">
        <v>24</v>
      </c>
      <c r="AA22" s="2"/>
      <c r="AB22" s="2"/>
      <c r="AC22" s="2"/>
      <c r="AD22" s="2"/>
      <c r="AE22" s="2"/>
      <c r="AF22" s="2"/>
    </row>
    <row r="23" spans="1:32" ht="16.5" customHeight="1">
      <c r="A23" s="1"/>
      <c r="B23" s="238" t="s">
        <v>78</v>
      </c>
      <c r="C23" s="27" t="s">
        <v>64</v>
      </c>
      <c r="D23" s="28" t="s">
        <v>79</v>
      </c>
      <c r="E23" s="29">
        <v>82</v>
      </c>
      <c r="F23" s="30"/>
      <c r="G23" s="31"/>
      <c r="H23" s="241" t="s">
        <v>80</v>
      </c>
      <c r="I23" s="242"/>
      <c r="J23" s="243"/>
      <c r="K23" s="1"/>
      <c r="L23" s="2">
        <v>0</v>
      </c>
      <c r="M23" s="4">
        <v>82</v>
      </c>
      <c r="N23" s="4" t="s">
        <v>79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 t="s">
        <v>24</v>
      </c>
      <c r="AB23" s="2"/>
      <c r="AC23" s="2"/>
      <c r="AD23" s="2"/>
      <c r="AE23" s="2"/>
      <c r="AF23" s="2"/>
    </row>
    <row r="24" spans="1:32" ht="16.5" customHeight="1">
      <c r="A24" s="1"/>
      <c r="B24" s="239"/>
      <c r="C24" s="11" t="s">
        <v>70</v>
      </c>
      <c r="D24" s="4" t="s">
        <v>33</v>
      </c>
      <c r="E24" s="4">
        <v>54</v>
      </c>
      <c r="F24" s="25" t="s">
        <v>29</v>
      </c>
      <c r="G24" s="12">
        <v>52</v>
      </c>
      <c r="H24" s="244" t="s">
        <v>81</v>
      </c>
      <c r="I24" s="245"/>
      <c r="J24" s="246"/>
      <c r="K24" s="1"/>
      <c r="L24" s="2">
        <v>0</v>
      </c>
      <c r="M24" s="4">
        <v>83</v>
      </c>
      <c r="N24" s="4" t="s">
        <v>31</v>
      </c>
      <c r="O24" s="2" t="s">
        <v>24</v>
      </c>
      <c r="P24" s="2" t="s">
        <v>24</v>
      </c>
      <c r="Q24" s="2" t="s">
        <v>24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6.5" customHeight="1">
      <c r="A25" s="1"/>
      <c r="B25" s="239"/>
      <c r="C25" s="11" t="s">
        <v>77</v>
      </c>
      <c r="D25" s="4" t="s">
        <v>52</v>
      </c>
      <c r="E25" s="4">
        <v>63</v>
      </c>
      <c r="F25" s="25"/>
      <c r="G25" s="12"/>
      <c r="H25" s="247"/>
      <c r="I25" s="245"/>
      <c r="J25" s="246"/>
      <c r="K25" s="1"/>
      <c r="L25" s="2">
        <v>0</v>
      </c>
      <c r="M25" s="4">
        <v>84</v>
      </c>
      <c r="N25" s="4" t="s">
        <v>38</v>
      </c>
      <c r="O25" s="2" t="s">
        <v>24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24</v>
      </c>
      <c r="V25" s="2" t="s">
        <v>24</v>
      </c>
      <c r="W25" s="2" t="s">
        <v>24</v>
      </c>
      <c r="X25" s="2" t="s">
        <v>24</v>
      </c>
      <c r="Y25" s="2" t="s">
        <v>24</v>
      </c>
      <c r="Z25" s="2" t="s">
        <v>24</v>
      </c>
      <c r="AA25" s="2" t="s">
        <v>24</v>
      </c>
      <c r="AB25" s="2" t="s">
        <v>24</v>
      </c>
      <c r="AC25" s="2" t="s">
        <v>24</v>
      </c>
      <c r="AD25" s="2"/>
      <c r="AE25" s="2"/>
      <c r="AF25" s="2"/>
    </row>
    <row r="26" spans="1:32" ht="16.5" customHeight="1">
      <c r="A26" s="1"/>
      <c r="B26" s="240"/>
      <c r="C26" s="33" t="s">
        <v>82</v>
      </c>
      <c r="D26" s="34" t="s">
        <v>72</v>
      </c>
      <c r="E26" s="34">
        <v>78</v>
      </c>
      <c r="F26" s="35"/>
      <c r="G26" s="36"/>
      <c r="H26" s="248"/>
      <c r="I26" s="249"/>
      <c r="J26" s="250"/>
      <c r="K26" s="1"/>
      <c r="L26" s="2">
        <v>0</v>
      </c>
      <c r="M26" s="4">
        <v>85</v>
      </c>
      <c r="N26" s="4" t="s">
        <v>27</v>
      </c>
      <c r="O26" s="2" t="s">
        <v>24</v>
      </c>
      <c r="P26" s="2" t="s">
        <v>24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6.5" customHeight="1">
      <c r="A27" s="1"/>
      <c r="B27" s="33" t="s">
        <v>83</v>
      </c>
      <c r="C27" s="33" t="s">
        <v>84</v>
      </c>
      <c r="D27" s="34" t="s">
        <v>50</v>
      </c>
      <c r="E27" s="34">
        <v>62</v>
      </c>
      <c r="F27" s="35" t="s">
        <v>40</v>
      </c>
      <c r="G27" s="36">
        <v>57</v>
      </c>
      <c r="H27" s="234" t="s">
        <v>85</v>
      </c>
      <c r="I27" s="235"/>
      <c r="J27" s="236"/>
      <c r="K27" s="1"/>
      <c r="L27" s="2"/>
      <c r="M27" s="4">
        <v>87</v>
      </c>
      <c r="N27" s="18" t="s">
        <v>86</v>
      </c>
      <c r="O27" s="2" t="s">
        <v>73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>
        <v>0</v>
      </c>
      <c r="M28" s="4">
        <v>88</v>
      </c>
      <c r="N28" s="4" t="s">
        <v>71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 t="s">
        <v>24</v>
      </c>
      <c r="AB28" s="2" t="s">
        <v>24</v>
      </c>
      <c r="AC28" s="2" t="s">
        <v>24</v>
      </c>
      <c r="AD28" s="2"/>
      <c r="AE28" s="2"/>
      <c r="AF28" s="2"/>
    </row>
    <row r="29" spans="1:32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>
        <v>0</v>
      </c>
      <c r="M29" s="4">
        <v>90</v>
      </c>
      <c r="N29" s="4" t="s">
        <v>66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s">
        <v>24</v>
      </c>
      <c r="AE29" s="2" t="s">
        <v>24</v>
      </c>
      <c r="AF29" s="2" t="s">
        <v>24</v>
      </c>
    </row>
    <row r="30" spans="1:32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>
        <v>0</v>
      </c>
      <c r="M30" s="7">
        <v>1</v>
      </c>
      <c r="N30" s="7" t="s">
        <v>60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24</v>
      </c>
      <c r="Z30" s="2" t="s">
        <v>24</v>
      </c>
      <c r="AA30" s="2"/>
      <c r="AB30" s="2"/>
      <c r="AC30" s="2"/>
      <c r="AD30" s="2"/>
      <c r="AE30" s="2"/>
      <c r="AF30" s="2"/>
    </row>
    <row r="31" spans="1:32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>
        <v>0</v>
      </c>
      <c r="M31" s="7">
        <v>3</v>
      </c>
      <c r="N31" s="7" t="s">
        <v>57</v>
      </c>
      <c r="O31" s="2"/>
      <c r="P31" s="2"/>
      <c r="Q31" s="2"/>
      <c r="R31" s="2"/>
      <c r="S31" s="2"/>
      <c r="T31" s="2"/>
      <c r="U31" s="2"/>
      <c r="V31" s="2"/>
      <c r="W31" s="2" t="s">
        <v>24</v>
      </c>
      <c r="X31" s="2" t="s">
        <v>24</v>
      </c>
      <c r="Y31" s="2" t="s">
        <v>24</v>
      </c>
      <c r="Z31" s="2" t="s">
        <v>24</v>
      </c>
      <c r="AA31" s="2" t="s">
        <v>24</v>
      </c>
      <c r="AB31" s="2"/>
      <c r="AC31" s="2"/>
      <c r="AD31" s="2"/>
      <c r="AE31" s="2"/>
      <c r="AF31" s="2"/>
    </row>
    <row r="32" spans="1: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>
        <v>0</v>
      </c>
      <c r="M32" s="7">
        <v>4</v>
      </c>
      <c r="N32" s="7" t="s">
        <v>39</v>
      </c>
      <c r="O32" s="2"/>
      <c r="P32" s="2"/>
      <c r="Q32" s="2"/>
      <c r="R32" s="2" t="s">
        <v>24</v>
      </c>
      <c r="S32" s="2" t="s">
        <v>24</v>
      </c>
      <c r="T32" s="2" t="s">
        <v>24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>
        <v>0</v>
      </c>
      <c r="M33" s="7">
        <v>5</v>
      </c>
      <c r="N33" s="7" t="s">
        <v>69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 t="s">
        <v>24</v>
      </c>
      <c r="AD33" s="2"/>
      <c r="AE33" s="2"/>
      <c r="AF33" s="2"/>
    </row>
    <row r="34" spans="1:32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>
        <v>0</v>
      </c>
      <c r="M34" s="7">
        <v>6</v>
      </c>
      <c r="N34" s="7" t="s">
        <v>42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s">
        <v>24</v>
      </c>
      <c r="AE34" s="2"/>
      <c r="AF34" s="2"/>
    </row>
    <row r="35" spans="1:32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>
        <v>0</v>
      </c>
      <c r="M35" s="7">
        <v>7</v>
      </c>
      <c r="N35" s="7" t="s">
        <v>28</v>
      </c>
      <c r="O35" s="2" t="s">
        <v>24</v>
      </c>
      <c r="P35" s="2" t="s">
        <v>24</v>
      </c>
      <c r="Q35" s="2" t="s">
        <v>24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 t="s">
        <v>87</v>
      </c>
      <c r="M39" s="2" t="s">
        <v>88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4" t="s">
        <v>27</v>
      </c>
      <c r="M40" s="7" t="s">
        <v>60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4" t="s">
        <v>35</v>
      </c>
      <c r="M41" s="7" t="s">
        <v>57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4" t="s">
        <v>38</v>
      </c>
      <c r="M42" s="7" t="s">
        <v>39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4" t="s">
        <v>23</v>
      </c>
      <c r="M43" s="7" t="s">
        <v>69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" t="s">
        <v>66</v>
      </c>
      <c r="M44" s="7" t="s">
        <v>42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 t="s">
        <v>71</v>
      </c>
      <c r="M45" s="7" t="s">
        <v>28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4" t="s">
        <v>75</v>
      </c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4" t="s">
        <v>44</v>
      </c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4" t="s">
        <v>79</v>
      </c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4" t="s">
        <v>72</v>
      </c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4" t="s">
        <v>50</v>
      </c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4" t="s">
        <v>61</v>
      </c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7"/>
      <c r="L53" s="38" t="s">
        <v>89</v>
      </c>
      <c r="M53" s="38" t="s">
        <v>90</v>
      </c>
      <c r="N53" s="39" t="s">
        <v>91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40" t="s">
        <v>92</v>
      </c>
      <c r="L54" s="2">
        <v>28</v>
      </c>
      <c r="M54" s="2">
        <v>1</v>
      </c>
      <c r="N54" s="41">
        <v>29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42" t="s">
        <v>93</v>
      </c>
      <c r="L55" s="43">
        <v>19</v>
      </c>
      <c r="M55" s="43">
        <v>6</v>
      </c>
      <c r="N55" s="44">
        <v>25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7">
    <mergeCell ref="H27:J27"/>
    <mergeCell ref="D3:G3"/>
    <mergeCell ref="H3:I3"/>
    <mergeCell ref="B4:B22"/>
    <mergeCell ref="B23:B26"/>
    <mergeCell ref="H23:J23"/>
    <mergeCell ref="H24:J26"/>
  </mergeCells>
  <phoneticPr fontId="1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H1000"/>
  <sheetViews>
    <sheetView tabSelected="1" workbookViewId="0">
      <selection activeCell="K7" sqref="K7"/>
    </sheetView>
  </sheetViews>
  <sheetFormatPr defaultColWidth="14.42578125" defaultRowHeight="15" customHeight="1"/>
  <cols>
    <col min="1" max="1" width="4.42578125" customWidth="1"/>
    <col min="2" max="2" width="58" customWidth="1"/>
    <col min="3" max="3" width="8.7109375" customWidth="1"/>
    <col min="4" max="4" width="16.42578125" customWidth="1"/>
    <col min="5" max="5" width="12.28515625" customWidth="1"/>
    <col min="6" max="7" width="13.140625" customWidth="1"/>
    <col min="8" max="8" width="6.140625" customWidth="1"/>
    <col min="9" max="9" width="8.7109375" customWidth="1"/>
    <col min="10" max="10" width="12.85546875" customWidth="1"/>
    <col min="11" max="11" width="13.5703125" customWidth="1"/>
    <col min="12" max="12" width="7.42578125" customWidth="1"/>
    <col min="13" max="13" width="4" customWidth="1"/>
    <col min="14" max="14" width="7.42578125" customWidth="1"/>
    <col min="15" max="15" width="4" customWidth="1"/>
    <col min="16" max="16" width="8.7109375" customWidth="1"/>
    <col min="17" max="17" width="4" customWidth="1"/>
    <col min="18" max="19" width="8.7109375" customWidth="1"/>
    <col min="20" max="20" width="10.28515625" customWidth="1"/>
    <col min="21" max="21" width="13.5703125" customWidth="1"/>
    <col min="22" max="22" width="10.28515625" customWidth="1"/>
    <col min="23" max="23" width="8.140625" customWidth="1"/>
    <col min="24" max="24" width="6" customWidth="1"/>
    <col min="25" max="31" width="8.7109375" customWidth="1"/>
  </cols>
  <sheetData>
    <row r="1" spans="1:8" ht="16.5" customHeight="1">
      <c r="A1" s="45"/>
      <c r="B1" s="46"/>
      <c r="C1" s="46"/>
      <c r="D1" s="46"/>
      <c r="E1" s="46"/>
      <c r="F1" s="46"/>
      <c r="G1" s="46"/>
      <c r="H1" s="47"/>
    </row>
    <row r="2" spans="1:8" ht="16.5" customHeight="1">
      <c r="A2" s="48"/>
      <c r="B2" s="49"/>
      <c r="C2" s="49"/>
      <c r="D2" s="50" t="s">
        <v>94</v>
      </c>
      <c r="E2" s="51" t="s">
        <v>95</v>
      </c>
      <c r="F2" s="52" t="s">
        <v>96</v>
      </c>
      <c r="G2" s="53" t="s">
        <v>97</v>
      </c>
      <c r="H2" s="54"/>
    </row>
    <row r="3" spans="1:8" ht="16.5" customHeight="1">
      <c r="A3" s="48"/>
      <c r="B3" s="49"/>
      <c r="C3" s="49"/>
      <c r="D3" s="55" t="s">
        <v>98</v>
      </c>
      <c r="E3" s="56" t="s">
        <v>99</v>
      </c>
      <c r="F3" s="57" t="s">
        <v>100</v>
      </c>
      <c r="G3" s="2"/>
      <c r="H3" s="54"/>
    </row>
    <row r="4" spans="1:8" ht="16.5" customHeight="1">
      <c r="A4" s="48"/>
      <c r="B4" s="49"/>
      <c r="C4" s="49"/>
      <c r="D4" s="49"/>
      <c r="E4" s="49"/>
      <c r="F4" s="49"/>
      <c r="G4" s="49"/>
      <c r="H4" s="54"/>
    </row>
    <row r="5" spans="1:8" ht="16.5" customHeight="1">
      <c r="A5" s="48"/>
      <c r="B5" s="251" t="s">
        <v>101</v>
      </c>
      <c r="C5" s="235"/>
      <c r="D5" s="235"/>
      <c r="E5" s="235"/>
      <c r="F5" s="235"/>
      <c r="G5" s="236"/>
      <c r="H5" s="54"/>
    </row>
    <row r="6" spans="1:8" ht="16.5" customHeight="1">
      <c r="A6" s="48"/>
      <c r="B6" s="58" t="s">
        <v>102</v>
      </c>
      <c r="C6" s="59"/>
      <c r="D6" s="59"/>
      <c r="E6" s="59"/>
      <c r="F6" s="59"/>
      <c r="G6" s="60"/>
      <c r="H6" s="54"/>
    </row>
    <row r="7" spans="1:8" ht="16.5" customHeight="1">
      <c r="A7" s="61"/>
      <c r="B7" s="62" t="s">
        <v>103</v>
      </c>
      <c r="C7" s="63"/>
      <c r="D7" s="63"/>
      <c r="E7" s="63"/>
      <c r="F7" s="63"/>
      <c r="G7" s="64"/>
      <c r="H7" s="54"/>
    </row>
    <row r="8" spans="1:8" ht="16.5" customHeight="1">
      <c r="A8" s="65"/>
      <c r="B8" s="66" t="s">
        <v>104</v>
      </c>
      <c r="C8" s="67"/>
      <c r="D8" s="67"/>
      <c r="E8" s="67"/>
      <c r="F8" s="67"/>
      <c r="G8" s="68"/>
      <c r="H8" s="69"/>
    </row>
    <row r="9" spans="1:8" ht="16.5" customHeight="1">
      <c r="A9" s="61"/>
      <c r="B9" s="62" t="s">
        <v>105</v>
      </c>
      <c r="C9" s="63"/>
      <c r="D9" s="63"/>
      <c r="E9" s="63"/>
      <c r="F9" s="63"/>
      <c r="G9" s="64"/>
      <c r="H9" s="54"/>
    </row>
    <row r="10" spans="1:8" ht="16.5" customHeight="1">
      <c r="A10" s="61"/>
      <c r="B10" s="70" t="s">
        <v>106</v>
      </c>
      <c r="C10" s="71"/>
      <c r="D10" s="71"/>
      <c r="E10" s="71"/>
      <c r="F10" s="71"/>
      <c r="G10" s="72"/>
      <c r="H10" s="54"/>
    </row>
    <row r="11" spans="1:8" ht="16.5" customHeight="1">
      <c r="A11" s="61"/>
      <c r="B11" s="70" t="s">
        <v>107</v>
      </c>
      <c r="C11" s="71"/>
      <c r="D11" s="71"/>
      <c r="E11" s="71"/>
      <c r="F11" s="71"/>
      <c r="G11" s="72"/>
      <c r="H11" s="54"/>
    </row>
    <row r="12" spans="1:8" ht="16.5" customHeight="1">
      <c r="A12" s="61"/>
      <c r="B12" s="73" t="s">
        <v>108</v>
      </c>
      <c r="C12" s="74"/>
      <c r="D12" s="74"/>
      <c r="E12" s="74"/>
      <c r="F12" s="74"/>
      <c r="G12" s="75"/>
      <c r="H12" s="54"/>
    </row>
    <row r="13" spans="1:8" ht="16.5" customHeight="1">
      <c r="A13" s="61"/>
      <c r="B13" s="49"/>
      <c r="C13" s="49"/>
      <c r="D13" s="49"/>
      <c r="E13" s="49"/>
      <c r="F13" s="49"/>
      <c r="G13" s="49"/>
      <c r="H13" s="54"/>
    </row>
    <row r="14" spans="1:8" ht="16.5" customHeight="1">
      <c r="A14" s="48"/>
      <c r="B14" s="76" t="s">
        <v>109</v>
      </c>
      <c r="C14" s="77"/>
      <c r="D14" s="77"/>
      <c r="E14" s="77"/>
      <c r="F14" s="77"/>
      <c r="G14" s="78"/>
      <c r="H14" s="54"/>
    </row>
    <row r="15" spans="1:8" ht="16.5" customHeight="1">
      <c r="A15" s="48"/>
      <c r="B15" s="79" t="s">
        <v>110</v>
      </c>
      <c r="C15" s="80"/>
      <c r="D15" s="81"/>
      <c r="E15" s="82"/>
      <c r="F15" s="82"/>
      <c r="G15" s="83"/>
      <c r="H15" s="54"/>
    </row>
    <row r="16" spans="1:8" ht="16.5" customHeight="1">
      <c r="A16" s="48"/>
      <c r="B16" s="84" t="s">
        <v>111</v>
      </c>
      <c r="C16" s="85"/>
      <c r="D16" s="86"/>
      <c r="E16" s="86"/>
      <c r="F16" s="86"/>
      <c r="G16" s="87"/>
      <c r="H16" s="54"/>
    </row>
    <row r="17" spans="1:8" ht="16.5" customHeight="1">
      <c r="A17" s="48"/>
      <c r="B17" s="49"/>
      <c r="C17" s="49"/>
      <c r="D17" s="49"/>
      <c r="E17" s="49"/>
      <c r="F17" s="49"/>
      <c r="G17" s="49"/>
      <c r="H17" s="54"/>
    </row>
    <row r="18" spans="1:8" ht="16.5" customHeight="1">
      <c r="A18" s="48"/>
      <c r="B18" s="88" t="s">
        <v>112</v>
      </c>
      <c r="C18" s="89"/>
      <c r="D18" s="89"/>
      <c r="E18" s="89"/>
      <c r="F18" s="89"/>
      <c r="G18" s="90"/>
      <c r="H18" s="54"/>
    </row>
    <row r="19" spans="1:8" ht="16.5" customHeight="1">
      <c r="A19" s="48"/>
      <c r="B19" s="91" t="s">
        <v>113</v>
      </c>
      <c r="C19" s="92"/>
      <c r="D19" s="92"/>
      <c r="E19" s="92"/>
      <c r="F19" s="92"/>
      <c r="G19" s="93"/>
      <c r="H19" s="54"/>
    </row>
    <row r="20" spans="1:8" ht="16.5" customHeight="1">
      <c r="A20" s="48"/>
      <c r="B20" s="94" t="s">
        <v>114</v>
      </c>
      <c r="C20" s="95"/>
      <c r="D20" s="95"/>
      <c r="E20" s="95"/>
      <c r="F20" s="95"/>
      <c r="G20" s="96"/>
      <c r="H20" s="54"/>
    </row>
    <row r="21" spans="1:8" ht="16.5" customHeight="1">
      <c r="A21" s="48"/>
      <c r="B21" s="97" t="s">
        <v>115</v>
      </c>
      <c r="C21" s="98"/>
      <c r="D21" s="98"/>
      <c r="E21" s="98"/>
      <c r="F21" s="98"/>
      <c r="G21" s="99"/>
      <c r="H21" s="54"/>
    </row>
    <row r="22" spans="1:8" ht="16.5" customHeight="1">
      <c r="A22" s="48"/>
      <c r="B22" s="100" t="s">
        <v>116</v>
      </c>
      <c r="C22" s="101"/>
      <c r="D22" s="101"/>
      <c r="E22" s="101"/>
      <c r="F22" s="101"/>
      <c r="G22" s="102"/>
      <c r="H22" s="54"/>
    </row>
    <row r="23" spans="1:8" ht="16.5" customHeight="1">
      <c r="A23" s="48"/>
      <c r="B23" s="100" t="s">
        <v>117</v>
      </c>
      <c r="C23" s="101"/>
      <c r="D23" s="101"/>
      <c r="E23" s="101"/>
      <c r="F23" s="101"/>
      <c r="G23" s="102"/>
      <c r="H23" s="54"/>
    </row>
    <row r="24" spans="1:8" ht="16.5" customHeight="1">
      <c r="A24" s="48"/>
      <c r="B24" s="100" t="s">
        <v>118</v>
      </c>
      <c r="C24" s="101"/>
      <c r="D24" s="101"/>
      <c r="E24" s="101"/>
      <c r="F24" s="101"/>
      <c r="G24" s="102"/>
      <c r="H24" s="54"/>
    </row>
    <row r="25" spans="1:8" ht="16.5" customHeight="1">
      <c r="A25" s="48"/>
      <c r="B25" s="103" t="s">
        <v>119</v>
      </c>
      <c r="C25" s="104"/>
      <c r="D25" s="104"/>
      <c r="E25" s="104"/>
      <c r="F25" s="104"/>
      <c r="G25" s="105"/>
      <c r="H25" s="54"/>
    </row>
    <row r="26" spans="1:8" ht="16.5" customHeight="1">
      <c r="A26" s="48"/>
      <c r="B26" s="106" t="s">
        <v>120</v>
      </c>
      <c r="C26" s="107"/>
      <c r="D26" s="107"/>
      <c r="E26" s="107"/>
      <c r="F26" s="107"/>
      <c r="G26" s="108"/>
      <c r="H26" s="54"/>
    </row>
    <row r="27" spans="1:8" ht="16.5" customHeight="1">
      <c r="A27" s="48"/>
      <c r="B27" s="109" t="s">
        <v>121</v>
      </c>
      <c r="C27" s="110"/>
      <c r="D27" s="110"/>
      <c r="E27" s="110"/>
      <c r="F27" s="110"/>
      <c r="G27" s="111"/>
      <c r="H27" s="54"/>
    </row>
    <row r="28" spans="1:8" ht="16.5" customHeight="1">
      <c r="A28" s="48"/>
      <c r="B28" s="109" t="s">
        <v>122</v>
      </c>
      <c r="C28" s="110"/>
      <c r="D28" s="110"/>
      <c r="E28" s="110"/>
      <c r="F28" s="110"/>
      <c r="G28" s="111"/>
      <c r="H28" s="54"/>
    </row>
    <row r="29" spans="1:8" ht="16.5" customHeight="1">
      <c r="A29" s="48"/>
      <c r="B29" s="109" t="s">
        <v>123</v>
      </c>
      <c r="C29" s="110"/>
      <c r="D29" s="110"/>
      <c r="E29" s="110"/>
      <c r="F29" s="110"/>
      <c r="G29" s="111"/>
      <c r="H29" s="54"/>
    </row>
    <row r="30" spans="1:8" ht="16.5" customHeight="1">
      <c r="A30" s="48"/>
      <c r="B30" s="112" t="s">
        <v>124</v>
      </c>
      <c r="C30" s="113"/>
      <c r="D30" s="113"/>
      <c r="E30" s="113"/>
      <c r="F30" s="113"/>
      <c r="G30" s="114"/>
      <c r="H30" s="54"/>
    </row>
    <row r="31" spans="1:8" ht="16.5" customHeight="1">
      <c r="A31" s="48"/>
      <c r="B31" s="49"/>
      <c r="C31" s="49"/>
      <c r="D31" s="49"/>
      <c r="E31" s="49"/>
      <c r="F31" s="49"/>
      <c r="G31" s="49"/>
      <c r="H31" s="54"/>
    </row>
    <row r="32" spans="1:8" ht="16.5" customHeight="1">
      <c r="A32" s="48"/>
      <c r="B32" s="115" t="s">
        <v>125</v>
      </c>
      <c r="C32" s="116"/>
      <c r="D32" s="116"/>
      <c r="E32" s="116"/>
      <c r="F32" s="116"/>
      <c r="G32" s="117"/>
      <c r="H32" s="54"/>
    </row>
    <row r="33" spans="1:8" ht="16.5" customHeight="1">
      <c r="A33" s="48"/>
      <c r="B33" s="118" t="s">
        <v>126</v>
      </c>
      <c r="C33" s="119"/>
      <c r="D33" s="119"/>
      <c r="E33" s="119"/>
      <c r="F33" s="119"/>
      <c r="G33" s="120"/>
      <c r="H33" s="54"/>
    </row>
    <row r="34" spans="1:8" ht="16.5" customHeight="1">
      <c r="A34" s="48"/>
      <c r="B34" s="121" t="s">
        <v>127</v>
      </c>
      <c r="C34" s="122"/>
      <c r="D34" s="122"/>
      <c r="E34" s="122"/>
      <c r="F34" s="122"/>
      <c r="G34" s="123"/>
      <c r="H34" s="54"/>
    </row>
    <row r="35" spans="1:8" ht="16.5" customHeight="1">
      <c r="A35" s="48"/>
      <c r="B35" s="49"/>
      <c r="C35" s="49"/>
      <c r="D35" s="49"/>
      <c r="E35" s="49"/>
      <c r="F35" s="49"/>
      <c r="G35" s="49"/>
      <c r="H35" s="54"/>
    </row>
    <row r="36" spans="1:8" ht="16.5" customHeight="1">
      <c r="A36" s="48"/>
      <c r="B36" s="124" t="s">
        <v>128</v>
      </c>
      <c r="C36" s="125"/>
      <c r="D36" s="125"/>
      <c r="E36" s="125"/>
      <c r="F36" s="125"/>
      <c r="G36" s="126"/>
      <c r="H36" s="54"/>
    </row>
    <row r="37" spans="1:8" ht="16.5" customHeight="1">
      <c r="A37" s="48"/>
      <c r="B37" s="127" t="s">
        <v>129</v>
      </c>
      <c r="C37" s="128"/>
      <c r="D37" s="128"/>
      <c r="E37" s="128"/>
      <c r="F37" s="128"/>
      <c r="G37" s="129"/>
      <c r="H37" s="54"/>
    </row>
    <row r="38" spans="1:8" ht="16.5" customHeight="1">
      <c r="A38" s="48"/>
      <c r="B38" s="130" t="s">
        <v>130</v>
      </c>
      <c r="C38" s="131"/>
      <c r="D38" s="131"/>
      <c r="E38" s="131"/>
      <c r="F38" s="131"/>
      <c r="G38" s="132"/>
      <c r="H38" s="54"/>
    </row>
    <row r="39" spans="1:8" ht="16.5" customHeight="1">
      <c r="A39" s="48"/>
      <c r="B39" s="127" t="s">
        <v>131</v>
      </c>
      <c r="C39" s="128"/>
      <c r="D39" s="128"/>
      <c r="E39" s="128"/>
      <c r="F39" s="128"/>
      <c r="G39" s="129"/>
      <c r="H39" s="54"/>
    </row>
    <row r="40" spans="1:8" ht="16.5" customHeight="1">
      <c r="A40" s="48"/>
      <c r="B40" s="130" t="s">
        <v>132</v>
      </c>
      <c r="C40" s="131"/>
      <c r="D40" s="131"/>
      <c r="E40" s="131"/>
      <c r="F40" s="131"/>
      <c r="G40" s="132"/>
      <c r="H40" s="54"/>
    </row>
    <row r="41" spans="1:8" ht="16.5" customHeight="1">
      <c r="A41" s="48"/>
      <c r="B41" s="127" t="s">
        <v>133</v>
      </c>
      <c r="C41" s="128"/>
      <c r="D41" s="128"/>
      <c r="E41" s="128"/>
      <c r="F41" s="128"/>
      <c r="G41" s="129"/>
      <c r="H41" s="54"/>
    </row>
    <row r="42" spans="1:8" ht="16.5" customHeight="1">
      <c r="A42" s="48"/>
      <c r="B42" s="133" t="s">
        <v>134</v>
      </c>
      <c r="C42" s="134"/>
      <c r="D42" s="134"/>
      <c r="E42" s="134"/>
      <c r="F42" s="134"/>
      <c r="G42" s="135"/>
      <c r="H42" s="54"/>
    </row>
    <row r="43" spans="1:8" ht="16.5" customHeight="1">
      <c r="A43" s="48"/>
      <c r="B43" s="130" t="s">
        <v>135</v>
      </c>
      <c r="C43" s="131"/>
      <c r="D43" s="131"/>
      <c r="E43" s="131"/>
      <c r="F43" s="131"/>
      <c r="G43" s="132"/>
      <c r="H43" s="54"/>
    </row>
    <row r="44" spans="1:8" ht="16.5" customHeight="1">
      <c r="A44" s="48"/>
      <c r="B44" s="127" t="s">
        <v>136</v>
      </c>
      <c r="C44" s="128"/>
      <c r="D44" s="128"/>
      <c r="E44" s="128"/>
      <c r="F44" s="128"/>
      <c r="G44" s="129"/>
      <c r="H44" s="54"/>
    </row>
    <row r="45" spans="1:8" ht="16.5" customHeight="1">
      <c r="A45" s="48"/>
      <c r="B45" s="130" t="s">
        <v>137</v>
      </c>
      <c r="C45" s="131"/>
      <c r="D45" s="131"/>
      <c r="E45" s="131"/>
      <c r="F45" s="131"/>
      <c r="G45" s="132"/>
      <c r="H45" s="54"/>
    </row>
    <row r="46" spans="1:8" ht="16.5" customHeight="1">
      <c r="A46" s="48"/>
      <c r="B46" s="127" t="s">
        <v>138</v>
      </c>
      <c r="C46" s="128"/>
      <c r="D46" s="128"/>
      <c r="E46" s="128"/>
      <c r="F46" s="128"/>
      <c r="G46" s="129"/>
      <c r="H46" s="54"/>
    </row>
    <row r="47" spans="1:8" ht="16.5" customHeight="1">
      <c r="A47" s="48"/>
      <c r="B47" s="130" t="s">
        <v>139</v>
      </c>
      <c r="C47" s="131"/>
      <c r="D47" s="131"/>
      <c r="E47" s="131"/>
      <c r="F47" s="131"/>
      <c r="G47" s="132"/>
      <c r="H47" s="54"/>
    </row>
    <row r="48" spans="1:8" ht="16.5" customHeight="1">
      <c r="A48" s="48"/>
      <c r="B48" s="127" t="s">
        <v>140</v>
      </c>
      <c r="C48" s="128"/>
      <c r="D48" s="128"/>
      <c r="E48" s="128"/>
      <c r="F48" s="128"/>
      <c r="G48" s="129"/>
      <c r="H48" s="54"/>
    </row>
    <row r="49" spans="1:8" ht="16.5" customHeight="1">
      <c r="A49" s="48"/>
      <c r="B49" s="133" t="s">
        <v>141</v>
      </c>
      <c r="C49" s="134"/>
      <c r="D49" s="134"/>
      <c r="E49" s="134"/>
      <c r="F49" s="134"/>
      <c r="G49" s="135"/>
      <c r="H49" s="54"/>
    </row>
    <row r="50" spans="1:8" ht="16.5" customHeight="1">
      <c r="A50" s="48"/>
      <c r="B50" s="130" t="s">
        <v>142</v>
      </c>
      <c r="C50" s="131"/>
      <c r="D50" s="131"/>
      <c r="E50" s="131"/>
      <c r="F50" s="131"/>
      <c r="G50" s="132"/>
      <c r="H50" s="54"/>
    </row>
    <row r="51" spans="1:8" ht="16.5" customHeight="1">
      <c r="A51" s="48"/>
      <c r="B51" s="136" t="s">
        <v>143</v>
      </c>
      <c r="C51" s="134"/>
      <c r="D51" s="134"/>
      <c r="E51" s="134"/>
      <c r="F51" s="134"/>
      <c r="G51" s="135"/>
      <c r="H51" s="54"/>
    </row>
    <row r="52" spans="1:8" ht="16.5" customHeight="1">
      <c r="A52" s="48"/>
      <c r="B52" s="133" t="s">
        <v>144</v>
      </c>
      <c r="C52" s="134"/>
      <c r="D52" s="134"/>
      <c r="E52" s="134"/>
      <c r="F52" s="134"/>
      <c r="G52" s="135"/>
      <c r="H52" s="54"/>
    </row>
    <row r="53" spans="1:8" ht="16.5" customHeight="1">
      <c r="A53" s="48"/>
      <c r="B53" s="130" t="s">
        <v>145</v>
      </c>
      <c r="C53" s="131"/>
      <c r="D53" s="131"/>
      <c r="E53" s="131"/>
      <c r="F53" s="131"/>
      <c r="G53" s="132"/>
      <c r="H53" s="54"/>
    </row>
    <row r="54" spans="1:8" ht="16.5" customHeight="1">
      <c r="A54" s="48"/>
      <c r="B54" s="127" t="s">
        <v>146</v>
      </c>
      <c r="C54" s="128"/>
      <c r="D54" s="128"/>
      <c r="E54" s="128"/>
      <c r="F54" s="128"/>
      <c r="G54" s="129"/>
      <c r="H54" s="54"/>
    </row>
    <row r="55" spans="1:8" ht="16.5" customHeight="1">
      <c r="A55" s="48"/>
      <c r="B55" s="130" t="s">
        <v>147</v>
      </c>
      <c r="C55" s="131"/>
      <c r="D55" s="131"/>
      <c r="E55" s="131"/>
      <c r="F55" s="131"/>
      <c r="G55" s="132"/>
      <c r="H55" s="54"/>
    </row>
    <row r="56" spans="1:8" ht="16.5" customHeight="1">
      <c r="A56" s="48"/>
      <c r="B56" s="136" t="s">
        <v>148</v>
      </c>
      <c r="C56" s="134"/>
      <c r="D56" s="134"/>
      <c r="E56" s="134"/>
      <c r="F56" s="134"/>
      <c r="G56" s="135"/>
      <c r="H56" s="54"/>
    </row>
    <row r="57" spans="1:8" ht="16.5" customHeight="1">
      <c r="A57" s="48"/>
      <c r="B57" s="130" t="s">
        <v>149</v>
      </c>
      <c r="C57" s="131"/>
      <c r="D57" s="131"/>
      <c r="E57" s="131"/>
      <c r="F57" s="131"/>
      <c r="G57" s="132"/>
      <c r="H57" s="54"/>
    </row>
    <row r="58" spans="1:8" ht="16.5" customHeight="1">
      <c r="A58" s="48"/>
      <c r="B58" s="136" t="s">
        <v>150</v>
      </c>
      <c r="C58" s="134"/>
      <c r="D58" s="134"/>
      <c r="E58" s="134"/>
      <c r="F58" s="134"/>
      <c r="G58" s="135"/>
      <c r="H58" s="54"/>
    </row>
    <row r="59" spans="1:8" ht="16.5" customHeight="1">
      <c r="A59" s="48"/>
      <c r="B59" s="130" t="s">
        <v>151</v>
      </c>
      <c r="C59" s="131"/>
      <c r="D59" s="131"/>
      <c r="E59" s="131"/>
      <c r="F59" s="131"/>
      <c r="G59" s="132"/>
      <c r="H59" s="54"/>
    </row>
    <row r="60" spans="1:8" ht="16.5" customHeight="1">
      <c r="A60" s="48"/>
      <c r="B60" s="49"/>
      <c r="C60" s="49"/>
      <c r="D60" s="49"/>
      <c r="E60" s="49"/>
      <c r="F60" s="49"/>
      <c r="G60" s="49"/>
      <c r="H60" s="54"/>
    </row>
    <row r="61" spans="1:8" ht="16.5" customHeight="1">
      <c r="A61" s="65"/>
      <c r="B61" s="137" t="s">
        <v>152</v>
      </c>
      <c r="C61" s="138"/>
      <c r="D61" s="138"/>
      <c r="E61" s="138"/>
      <c r="F61" s="138"/>
      <c r="G61" s="139"/>
      <c r="H61" s="69"/>
    </row>
    <row r="62" spans="1:8" ht="16.5" customHeight="1">
      <c r="A62" s="48"/>
      <c r="B62" s="140" t="s">
        <v>153</v>
      </c>
      <c r="C62" s="141"/>
      <c r="D62" s="141"/>
      <c r="E62" s="141"/>
      <c r="F62" s="141"/>
      <c r="G62" s="142"/>
      <c r="H62" s="54"/>
    </row>
    <row r="63" spans="1:8" ht="16.5" customHeight="1">
      <c r="A63" s="48"/>
      <c r="B63" s="143" t="s">
        <v>154</v>
      </c>
      <c r="C63" s="138"/>
      <c r="D63" s="138"/>
      <c r="E63" s="138"/>
      <c r="F63" s="138"/>
      <c r="G63" s="139"/>
      <c r="H63" s="54"/>
    </row>
    <row r="64" spans="1:8" ht="16.5" customHeight="1">
      <c r="A64" s="48"/>
      <c r="B64" s="144" t="s">
        <v>155</v>
      </c>
      <c r="C64" s="145"/>
      <c r="D64" s="145"/>
      <c r="E64" s="145"/>
      <c r="F64" s="145"/>
      <c r="G64" s="146"/>
      <c r="H64" s="54"/>
    </row>
    <row r="65" spans="1:8" ht="16.5" customHeight="1">
      <c r="A65" s="48"/>
      <c r="B65" s="147" t="s">
        <v>156</v>
      </c>
      <c r="C65" s="148"/>
      <c r="D65" s="148"/>
      <c r="E65" s="148"/>
      <c r="F65" s="148"/>
      <c r="G65" s="149"/>
      <c r="H65" s="54"/>
    </row>
    <row r="66" spans="1:8" ht="16.5" customHeight="1">
      <c r="A66" s="48"/>
      <c r="B66" s="147" t="s">
        <v>157</v>
      </c>
      <c r="C66" s="148"/>
      <c r="D66" s="148"/>
      <c r="E66" s="148"/>
      <c r="F66" s="148"/>
      <c r="G66" s="149"/>
      <c r="H66" s="69"/>
    </row>
    <row r="67" spans="1:8" ht="16.5" customHeight="1">
      <c r="A67" s="48"/>
      <c r="B67" s="49"/>
      <c r="C67" s="49"/>
      <c r="D67" s="49"/>
      <c r="E67" s="49"/>
      <c r="F67" s="49"/>
      <c r="G67" s="49"/>
      <c r="H67" s="54"/>
    </row>
    <row r="68" spans="1:8" ht="16.5" customHeight="1">
      <c r="A68" s="150"/>
      <c r="B68" s="151"/>
      <c r="C68" s="151"/>
      <c r="D68" s="151"/>
      <c r="E68" s="151"/>
      <c r="F68" s="151"/>
      <c r="G68" s="151"/>
      <c r="H68" s="152"/>
    </row>
    <row r="69" spans="1:8" ht="16.5" customHeight="1"/>
    <row r="70" spans="1:8" ht="16.5" customHeight="1"/>
    <row r="71" spans="1:8" ht="16.5" customHeight="1"/>
    <row r="72" spans="1:8" ht="16.5" customHeight="1"/>
    <row r="73" spans="1:8" ht="16.5" customHeight="1"/>
    <row r="74" spans="1:8" ht="16.5" customHeight="1"/>
    <row r="75" spans="1:8" ht="16.5" customHeight="1"/>
    <row r="76" spans="1:8" ht="16.5" customHeight="1"/>
    <row r="77" spans="1:8" ht="16.5" customHeight="1"/>
    <row r="78" spans="1:8" ht="16.5" customHeight="1"/>
    <row r="79" spans="1:8" ht="16.5" customHeight="1"/>
    <row r="80" spans="1: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5:G5"/>
  </mergeCells>
  <phoneticPr fontId="18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A101" workbookViewId="0">
      <selection activeCell="K127" sqref="K127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539</v>
      </c>
      <c r="C2" s="290" t="s">
        <v>159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541</v>
      </c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539</v>
      </c>
      <c r="C8" s="304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541</v>
      </c>
      <c r="C13" s="261" t="s">
        <v>162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163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 t="s">
        <v>164</v>
      </c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 t="s">
        <v>539</v>
      </c>
      <c r="C20" s="3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 t="s">
        <v>541</v>
      </c>
      <c r="C22" s="261" t="s">
        <v>167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 t="s">
        <v>168</v>
      </c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 t="s">
        <v>539</v>
      </c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 t="s">
        <v>541</v>
      </c>
      <c r="C30" s="261" t="s">
        <v>172</v>
      </c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539</v>
      </c>
      <c r="C35" s="255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 t="s">
        <v>541</v>
      </c>
      <c r="C38" s="261" t="s">
        <v>175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 t="s">
        <v>176</v>
      </c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539</v>
      </c>
      <c r="C44" s="161" t="s">
        <v>180</v>
      </c>
      <c r="D44" s="279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 t="s">
        <v>541</v>
      </c>
      <c r="C46" s="163" t="s">
        <v>180</v>
      </c>
      <c r="D46" s="328" t="s">
        <v>182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 t="s">
        <v>539</v>
      </c>
      <c r="C50" s="255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 t="s">
        <v>541</v>
      </c>
      <c r="C53" s="261" t="s">
        <v>185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 t="s">
        <v>539</v>
      </c>
      <c r="C58" s="255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 t="s">
        <v>541</v>
      </c>
      <c r="C61" s="261" t="s">
        <v>188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189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 t="s">
        <v>190</v>
      </c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 t="s">
        <v>541</v>
      </c>
      <c r="C70" s="261" t="s">
        <v>194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 t="s">
        <v>195</v>
      </c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 t="s">
        <v>196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202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 t="s">
        <v>678</v>
      </c>
      <c r="C81" s="296" t="s">
        <v>203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678</v>
      </c>
      <c r="C88" s="261" t="s">
        <v>206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 t="s">
        <v>207</v>
      </c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678</v>
      </c>
      <c r="C99" s="261" t="s">
        <v>214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215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 t="s">
        <v>678</v>
      </c>
      <c r="C110" s="261" t="s">
        <v>219</v>
      </c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 t="s">
        <v>220</v>
      </c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 t="s">
        <v>679</v>
      </c>
      <c r="C125" s="317">
        <v>7</v>
      </c>
      <c r="D125" s="319">
        <v>9</v>
      </c>
      <c r="E125" s="321">
        <v>6</v>
      </c>
      <c r="F125" s="323">
        <v>8</v>
      </c>
      <c r="G125" s="317">
        <f>C125*0.3 + (D125+E125+F125)/3*0.7</f>
        <v>7.4666666666666668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 t="s">
        <v>541</v>
      </c>
      <c r="C127" s="309">
        <v>5</v>
      </c>
      <c r="D127" s="310">
        <v>4</v>
      </c>
      <c r="E127" s="312">
        <v>5</v>
      </c>
      <c r="F127" s="314">
        <v>4</v>
      </c>
      <c r="G127" s="309">
        <f>C127*0.3 + (D127+E127+F127)/3*0.7</f>
        <v>4.5333333333333332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232</v>
      </c>
      <c r="C2" s="290" t="s">
        <v>233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232</v>
      </c>
      <c r="C8" s="304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/>
      <c r="C13" s="261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 t="s">
        <v>234</v>
      </c>
      <c r="C20" s="3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 t="s">
        <v>232</v>
      </c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232</v>
      </c>
      <c r="C35" s="255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232</v>
      </c>
      <c r="C44" s="161" t="s">
        <v>180</v>
      </c>
      <c r="D44" s="279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 t="s">
        <v>232</v>
      </c>
      <c r="C50" s="255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 t="s">
        <v>232</v>
      </c>
      <c r="C58" s="255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 t="s">
        <v>232</v>
      </c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opLeftCell="A58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236</v>
      </c>
      <c r="C2" s="290" t="s">
        <v>237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238</v>
      </c>
      <c r="C8" s="304" t="s">
        <v>239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240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/>
      <c r="C13" s="261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241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 t="s">
        <v>242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243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244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245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246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247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248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 t="s">
        <v>249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 t="s">
        <v>250</v>
      </c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251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252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253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 t="s">
        <v>254</v>
      </c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255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256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 t="s">
        <v>257</v>
      </c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258</v>
      </c>
      <c r="C2" s="290" t="s">
        <v>259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258</v>
      </c>
      <c r="C8" s="304" t="s">
        <v>260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261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/>
      <c r="C13" s="261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262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 t="s">
        <v>263</v>
      </c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264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265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267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268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269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270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 t="s">
        <v>271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 t="s">
        <v>272</v>
      </c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273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274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275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276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 t="s">
        <v>277</v>
      </c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278</v>
      </c>
      <c r="C2" s="290" t="s">
        <v>279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280</v>
      </c>
      <c r="C4" s="296" t="s">
        <v>281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278</v>
      </c>
      <c r="C8" s="304" t="s">
        <v>282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283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 t="s">
        <v>284</v>
      </c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285</v>
      </c>
      <c r="C13" s="261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286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287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288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289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290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 t="s">
        <v>291</v>
      </c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292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293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 t="s">
        <v>294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 t="s">
        <v>295</v>
      </c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296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297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298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299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 t="s">
        <v>300</v>
      </c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301</v>
      </c>
      <c r="C2" s="290" t="s">
        <v>302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301</v>
      </c>
      <c r="C8" s="304" t="s">
        <v>303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/>
      <c r="C13" s="261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167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 t="s">
        <v>304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 t="s">
        <v>305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306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 t="s">
        <v>266</v>
      </c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307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308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309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 t="s">
        <v>310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252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311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 t="s">
        <v>312</v>
      </c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313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314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315</v>
      </c>
      <c r="C2" s="290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316</v>
      </c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315</v>
      </c>
      <c r="C8" s="304" t="s">
        <v>317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318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316</v>
      </c>
      <c r="C13" s="261" t="s">
        <v>319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320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321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 t="s">
        <v>167</v>
      </c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 t="s">
        <v>321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 t="s">
        <v>167</v>
      </c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 t="s">
        <v>322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 t="s">
        <v>323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 t="s">
        <v>324</v>
      </c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325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 t="s">
        <v>326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 t="s">
        <v>327</v>
      </c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 t="s">
        <v>266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328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 t="s">
        <v>329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330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331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 t="s">
        <v>332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333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334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296" t="s">
        <v>335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 t="s">
        <v>315</v>
      </c>
      <c r="C85" s="255" t="s">
        <v>336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316</v>
      </c>
      <c r="C88" s="261" t="s">
        <v>336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 t="s">
        <v>315</v>
      </c>
      <c r="C96" s="255" t="s">
        <v>337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338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316</v>
      </c>
      <c r="C99" s="261" t="s">
        <v>339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340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341</v>
      </c>
      <c r="C2" s="290" t="s">
        <v>342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158</v>
      </c>
      <c r="C4" s="296">
        <v>97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/>
      <c r="C8" s="304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158</v>
      </c>
      <c r="C13" s="261" t="s">
        <v>343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344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 t="s">
        <v>53</v>
      </c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 t="s">
        <v>345</v>
      </c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 t="s">
        <v>346</v>
      </c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 t="s">
        <v>158</v>
      </c>
      <c r="C22" s="261" t="s">
        <v>347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334"/>
      <c r="C38" s="335" t="s">
        <v>348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74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336" t="s">
        <v>349</v>
      </c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74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33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 t="s">
        <v>350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 t="s">
        <v>351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352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296" t="s">
        <v>353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158</v>
      </c>
      <c r="C88" s="261" t="s">
        <v>354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158</v>
      </c>
      <c r="C99" s="261" t="s">
        <v>355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356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42:O42"/>
    <mergeCell ref="C43:O43"/>
    <mergeCell ref="D44:O44"/>
    <mergeCell ref="C38:O38"/>
    <mergeCell ref="C39:O3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40:O40"/>
  </mergeCells>
  <phoneticPr fontId="18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357</v>
      </c>
      <c r="C2" s="290" t="s">
        <v>358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359</v>
      </c>
      <c r="C4" s="296" t="s">
        <v>360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357</v>
      </c>
      <c r="C8" s="304" t="s">
        <v>361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362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359</v>
      </c>
      <c r="C13" s="261" t="s">
        <v>363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364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 t="s">
        <v>357</v>
      </c>
      <c r="C20" s="304" t="s">
        <v>365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 t="s">
        <v>359</v>
      </c>
      <c r="C22" s="261" t="s">
        <v>366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357</v>
      </c>
      <c r="C35" s="255" t="s">
        <v>367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368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 t="s">
        <v>359</v>
      </c>
      <c r="C38" s="261" t="s">
        <v>369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370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 t="s">
        <v>266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371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 t="s">
        <v>372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 t="s">
        <v>373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374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375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 t="s">
        <v>376</v>
      </c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 t="s">
        <v>377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378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 t="s">
        <v>379</v>
      </c>
      <c r="C67" s="255" t="s">
        <v>380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 t="s">
        <v>359</v>
      </c>
      <c r="C70" s="261" t="s">
        <v>381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 t="s">
        <v>382</v>
      </c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 t="s">
        <v>357</v>
      </c>
      <c r="C79" s="290" t="s">
        <v>383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 t="s">
        <v>359</v>
      </c>
      <c r="C81" s="296" t="s">
        <v>384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 t="s">
        <v>357</v>
      </c>
      <c r="C85" s="255" t="s">
        <v>354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359</v>
      </c>
      <c r="C88" s="261" t="s">
        <v>385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/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 t="s">
        <v>357</v>
      </c>
      <c r="C96" s="255" t="s">
        <v>337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386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359</v>
      </c>
      <c r="C99" s="261" t="s">
        <v>387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388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389</v>
      </c>
      <c r="C2" s="290" t="s">
        <v>390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391</v>
      </c>
      <c r="C4" s="296" t="s">
        <v>392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389</v>
      </c>
      <c r="C8" s="304" t="s">
        <v>393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394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391</v>
      </c>
      <c r="C13" s="261" t="s">
        <v>395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396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 t="s">
        <v>167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 t="s">
        <v>397</v>
      </c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389</v>
      </c>
      <c r="C35" s="255" t="s">
        <v>398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 t="s">
        <v>391</v>
      </c>
      <c r="C38" s="261" t="s">
        <v>399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389</v>
      </c>
      <c r="C44" s="161" t="s">
        <v>180</v>
      </c>
      <c r="D44" s="279" t="s">
        <v>400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 t="s">
        <v>391</v>
      </c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 t="s">
        <v>401</v>
      </c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 t="s">
        <v>389</v>
      </c>
      <c r="C50" s="255" t="s">
        <v>328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402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 t="s">
        <v>403</v>
      </c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 t="s">
        <v>391</v>
      </c>
      <c r="C53" s="261" t="s">
        <v>404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 t="s">
        <v>405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406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407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 t="s">
        <v>391</v>
      </c>
      <c r="C61" s="261" t="s">
        <v>408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409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 t="s">
        <v>389</v>
      </c>
      <c r="C67" s="255" t="s">
        <v>410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 t="s">
        <v>411</v>
      </c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 t="s">
        <v>391</v>
      </c>
      <c r="C70" s="261" t="s">
        <v>412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 t="s">
        <v>413</v>
      </c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 t="s">
        <v>389</v>
      </c>
      <c r="C79" s="290" t="s">
        <v>414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 t="s">
        <v>391</v>
      </c>
      <c r="C81" s="296" t="s">
        <v>415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354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 t="s">
        <v>416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 t="s">
        <v>389</v>
      </c>
      <c r="C96" s="255" t="s">
        <v>417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418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391</v>
      </c>
      <c r="C99" s="261" t="s">
        <v>419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420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61:O61"/>
    <mergeCell ref="C62:O62"/>
    <mergeCell ref="C53:O53"/>
    <mergeCell ref="C54:O54"/>
    <mergeCell ref="C55:O55"/>
    <mergeCell ref="C57:O57"/>
    <mergeCell ref="C58:O58"/>
    <mergeCell ref="C59:O59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B8:B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18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421</v>
      </c>
      <c r="C2" s="290" t="s">
        <v>422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423</v>
      </c>
      <c r="C4" s="296" t="s">
        <v>424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421</v>
      </c>
      <c r="C8" s="304" t="s">
        <v>425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426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423</v>
      </c>
      <c r="C13" s="261" t="s">
        <v>427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428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 t="s">
        <v>421</v>
      </c>
      <c r="C20" s="304" t="s">
        <v>167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 t="s">
        <v>423</v>
      </c>
      <c r="C22" s="261" t="s">
        <v>286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421</v>
      </c>
      <c r="C35" s="255" t="s">
        <v>429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 t="s">
        <v>423</v>
      </c>
      <c r="C38" s="261" t="s">
        <v>430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421</v>
      </c>
      <c r="C44" s="161" t="s">
        <v>180</v>
      </c>
      <c r="D44" s="279" t="s">
        <v>431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 t="s">
        <v>432</v>
      </c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 t="s">
        <v>423</v>
      </c>
      <c r="C46" s="163" t="s">
        <v>180</v>
      </c>
      <c r="D46" s="328" t="s">
        <v>433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 t="s">
        <v>421</v>
      </c>
      <c r="C50" s="255" t="s">
        <v>434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435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 t="s">
        <v>423</v>
      </c>
      <c r="C53" s="261" t="s">
        <v>436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 t="s">
        <v>437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 t="s">
        <v>438</v>
      </c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 t="s">
        <v>421</v>
      </c>
      <c r="C58" s="255" t="s">
        <v>439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440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 t="s">
        <v>423</v>
      </c>
      <c r="C61" s="261" t="s">
        <v>441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442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 t="s">
        <v>421</v>
      </c>
      <c r="C79" s="290" t="s">
        <v>443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 t="s">
        <v>423</v>
      </c>
      <c r="C81" s="296" t="s">
        <v>444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 t="s">
        <v>421</v>
      </c>
      <c r="C85" s="255" t="s">
        <v>445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423</v>
      </c>
      <c r="C88" s="261" t="s">
        <v>446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 t="s">
        <v>421</v>
      </c>
      <c r="C96" s="255" t="s">
        <v>447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448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423</v>
      </c>
      <c r="C99" s="261" t="s">
        <v>449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450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38:O38"/>
    <mergeCell ref="C39:O39"/>
    <mergeCell ref="C40:O40"/>
    <mergeCell ref="C42:O42"/>
    <mergeCell ref="C43:O43"/>
    <mergeCell ref="D44:O44"/>
    <mergeCell ref="C29:O29"/>
    <mergeCell ref="C30:O30"/>
    <mergeCell ref="C31:O31"/>
    <mergeCell ref="C32:O32"/>
    <mergeCell ref="C34:O34"/>
    <mergeCell ref="C35:O35"/>
    <mergeCell ref="C36:O36"/>
    <mergeCell ref="C28:O28"/>
    <mergeCell ref="C37:O37"/>
    <mergeCell ref="C21:O21"/>
    <mergeCell ref="C22:O22"/>
    <mergeCell ref="C13:O13"/>
    <mergeCell ref="C14:O14"/>
    <mergeCell ref="C15:O15"/>
    <mergeCell ref="C16:O16"/>
    <mergeCell ref="C17:O17"/>
    <mergeCell ref="C19:O19"/>
    <mergeCell ref="C20:O20"/>
    <mergeCell ref="B38:B40"/>
    <mergeCell ref="B44:B45"/>
    <mergeCell ref="B46:B47"/>
    <mergeCell ref="B50:B52"/>
    <mergeCell ref="B53:B55"/>
    <mergeCell ref="B58:B60"/>
    <mergeCell ref="B61:B63"/>
    <mergeCell ref="B8:B12"/>
    <mergeCell ref="B13:B17"/>
    <mergeCell ref="B20:B21"/>
    <mergeCell ref="B22:B23"/>
    <mergeCell ref="B27:B29"/>
    <mergeCell ref="B30:B32"/>
    <mergeCell ref="B35:B37"/>
    <mergeCell ref="C92:O92"/>
    <mergeCell ref="C94:O94"/>
    <mergeCell ref="C96:O96"/>
    <mergeCell ref="C97:O97"/>
    <mergeCell ref="C98:O98"/>
    <mergeCell ref="C99:O99"/>
    <mergeCell ref="C100:O100"/>
    <mergeCell ref="C111:O111"/>
    <mergeCell ref="C112:O112"/>
    <mergeCell ref="C104:O104"/>
    <mergeCell ref="C105:O105"/>
    <mergeCell ref="C106:O106"/>
    <mergeCell ref="C107:O107"/>
    <mergeCell ref="C108:O108"/>
    <mergeCell ref="C109:O109"/>
    <mergeCell ref="C110:O110"/>
    <mergeCell ref="C90:O90"/>
    <mergeCell ref="C91:O91"/>
    <mergeCell ref="C81:O82"/>
    <mergeCell ref="C84:O84"/>
    <mergeCell ref="C85:O85"/>
    <mergeCell ref="C86:O86"/>
    <mergeCell ref="C87:O87"/>
    <mergeCell ref="C88:O88"/>
    <mergeCell ref="C89:O89"/>
    <mergeCell ref="C52:O52"/>
    <mergeCell ref="C63:O63"/>
    <mergeCell ref="C65:O65"/>
    <mergeCell ref="C78:O78"/>
    <mergeCell ref="C79:O80"/>
    <mergeCell ref="C70:O70"/>
    <mergeCell ref="C59:O59"/>
    <mergeCell ref="C60:O60"/>
    <mergeCell ref="C61:O61"/>
    <mergeCell ref="C62:O62"/>
    <mergeCell ref="C53:O53"/>
    <mergeCell ref="C54:O54"/>
    <mergeCell ref="C55:O55"/>
    <mergeCell ref="C57:O57"/>
    <mergeCell ref="C58:O58"/>
    <mergeCell ref="C66:O66"/>
    <mergeCell ref="C67:O67"/>
    <mergeCell ref="C68:O68"/>
    <mergeCell ref="C69:O69"/>
    <mergeCell ref="C71:O71"/>
    <mergeCell ref="C72:O72"/>
    <mergeCell ref="C74:O74"/>
    <mergeCell ref="C75:O75"/>
    <mergeCell ref="C76:O76"/>
    <mergeCell ref="C119:O119"/>
    <mergeCell ref="C120:O120"/>
    <mergeCell ref="C123:C124"/>
    <mergeCell ref="B2:B3"/>
    <mergeCell ref="B4:B5"/>
    <mergeCell ref="B67:B69"/>
    <mergeCell ref="B70:B72"/>
    <mergeCell ref="C10:O10"/>
    <mergeCell ref="C11:O11"/>
    <mergeCell ref="C2:O3"/>
    <mergeCell ref="C4:O5"/>
    <mergeCell ref="C8:O8"/>
    <mergeCell ref="C9:O9"/>
    <mergeCell ref="C12:O12"/>
    <mergeCell ref="C23:O23"/>
    <mergeCell ref="C25:O25"/>
    <mergeCell ref="C26:O26"/>
    <mergeCell ref="C27:O27"/>
    <mergeCell ref="D45:O45"/>
    <mergeCell ref="D46:O46"/>
    <mergeCell ref="D47:O47"/>
    <mergeCell ref="C49:O49"/>
    <mergeCell ref="C50:O50"/>
    <mergeCell ref="C51:O51"/>
    <mergeCell ref="B116:B120"/>
    <mergeCell ref="B125:B126"/>
    <mergeCell ref="B127:B128"/>
    <mergeCell ref="B96:B98"/>
    <mergeCell ref="C125:C126"/>
    <mergeCell ref="D125:D126"/>
    <mergeCell ref="E125:E126"/>
    <mergeCell ref="F125:F126"/>
    <mergeCell ref="C127:C128"/>
    <mergeCell ref="D127:D128"/>
    <mergeCell ref="E127:E128"/>
    <mergeCell ref="F127:F128"/>
    <mergeCell ref="B123:B124"/>
    <mergeCell ref="C101:O101"/>
    <mergeCell ref="C103:O103"/>
    <mergeCell ref="G127:G128"/>
    <mergeCell ref="D123:F123"/>
    <mergeCell ref="G123:G124"/>
    <mergeCell ref="G125:G126"/>
    <mergeCell ref="C113:O113"/>
    <mergeCell ref="C114:O114"/>
    <mergeCell ref="C116:O116"/>
    <mergeCell ref="C117:O117"/>
    <mergeCell ref="C118:O118"/>
    <mergeCell ref="B74:B76"/>
    <mergeCell ref="B79:B80"/>
    <mergeCell ref="B81:B82"/>
    <mergeCell ref="B85:B87"/>
    <mergeCell ref="B88:B90"/>
    <mergeCell ref="B91:B92"/>
    <mergeCell ref="B99:B101"/>
    <mergeCell ref="B105:B109"/>
    <mergeCell ref="B110:B114"/>
  </mergeCells>
  <phoneticPr fontId="18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451</v>
      </c>
      <c r="C2" s="290" t="s">
        <v>452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451</v>
      </c>
      <c r="C8" s="304" t="s">
        <v>453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454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 t="s">
        <v>455</v>
      </c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 t="s">
        <v>456</v>
      </c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/>
      <c r="C13" s="261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167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457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458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 t="s">
        <v>459</v>
      </c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460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461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 t="s">
        <v>451</v>
      </c>
      <c r="C58" s="255" t="s">
        <v>462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463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 t="s">
        <v>464</v>
      </c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465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466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 t="s">
        <v>467</v>
      </c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468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469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 t="s">
        <v>470</v>
      </c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 t="s">
        <v>471</v>
      </c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 t="s">
        <v>472</v>
      </c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 t="s">
        <v>473</v>
      </c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 t="s">
        <v>474</v>
      </c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 t="s">
        <v>475</v>
      </c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2:O3"/>
    <mergeCell ref="C4:O5"/>
    <mergeCell ref="C8:O8"/>
    <mergeCell ref="C9:O9"/>
    <mergeCell ref="C25:O25"/>
    <mergeCell ref="C26:O26"/>
    <mergeCell ref="D46:O46"/>
    <mergeCell ref="D47:O47"/>
    <mergeCell ref="C49:O49"/>
    <mergeCell ref="C16:O16"/>
    <mergeCell ref="C17:O17"/>
    <mergeCell ref="C35:O35"/>
    <mergeCell ref="C36:O36"/>
    <mergeCell ref="B8:B12"/>
    <mergeCell ref="B13:B17"/>
    <mergeCell ref="B20:B21"/>
    <mergeCell ref="B22:B23"/>
    <mergeCell ref="B27:B29"/>
    <mergeCell ref="B30:B32"/>
    <mergeCell ref="C19:O19"/>
    <mergeCell ref="C20:O20"/>
    <mergeCell ref="C12:O12"/>
    <mergeCell ref="C23:O23"/>
    <mergeCell ref="C21:O21"/>
    <mergeCell ref="C22:O22"/>
    <mergeCell ref="C13:O13"/>
    <mergeCell ref="C14:O14"/>
    <mergeCell ref="C15:O15"/>
    <mergeCell ref="B2:B3"/>
    <mergeCell ref="B4:B5"/>
    <mergeCell ref="C10:O10"/>
    <mergeCell ref="C11:O11"/>
    <mergeCell ref="C76:O76"/>
    <mergeCell ref="C58:O58"/>
    <mergeCell ref="D44:O44"/>
    <mergeCell ref="C42:O42"/>
    <mergeCell ref="C43:O43"/>
    <mergeCell ref="C27:O27"/>
    <mergeCell ref="D45:O45"/>
    <mergeCell ref="C29:O29"/>
    <mergeCell ref="C30:O30"/>
    <mergeCell ref="C31:O31"/>
    <mergeCell ref="C32:O32"/>
    <mergeCell ref="C34:O34"/>
    <mergeCell ref="C61:O61"/>
    <mergeCell ref="C62:O62"/>
    <mergeCell ref="C53:O53"/>
    <mergeCell ref="C54:O54"/>
    <mergeCell ref="C55:O55"/>
    <mergeCell ref="C57:O57"/>
    <mergeCell ref="B67:B69"/>
    <mergeCell ref="B38:B40"/>
    <mergeCell ref="B35:B37"/>
    <mergeCell ref="C28:O28"/>
    <mergeCell ref="C37:O37"/>
    <mergeCell ref="C38:O38"/>
    <mergeCell ref="C39:O39"/>
    <mergeCell ref="C40:O40"/>
    <mergeCell ref="B74:B76"/>
    <mergeCell ref="B44:B45"/>
    <mergeCell ref="B46:B47"/>
    <mergeCell ref="B50:B52"/>
    <mergeCell ref="B53:B55"/>
    <mergeCell ref="B58:B60"/>
    <mergeCell ref="B61:B63"/>
    <mergeCell ref="C50:O50"/>
    <mergeCell ref="C51:O51"/>
    <mergeCell ref="C52:O52"/>
    <mergeCell ref="C75:O75"/>
    <mergeCell ref="B70:B72"/>
    <mergeCell ref="C70:O70"/>
    <mergeCell ref="C59:O59"/>
    <mergeCell ref="C60:O60"/>
    <mergeCell ref="C63:O63"/>
    <mergeCell ref="C65:O65"/>
    <mergeCell ref="C66:O66"/>
    <mergeCell ref="G125:G126"/>
    <mergeCell ref="C114:O114"/>
    <mergeCell ref="C120:O120"/>
    <mergeCell ref="B123:B124"/>
    <mergeCell ref="C123:C124"/>
    <mergeCell ref="B105:B109"/>
    <mergeCell ref="B110:B114"/>
    <mergeCell ref="B116:B120"/>
    <mergeCell ref="B125:B126"/>
    <mergeCell ref="C92:O92"/>
    <mergeCell ref="C94:O94"/>
    <mergeCell ref="C96:O96"/>
    <mergeCell ref="C97:O97"/>
    <mergeCell ref="C100:O100"/>
    <mergeCell ref="B127:B128"/>
    <mergeCell ref="C125:C126"/>
    <mergeCell ref="D125:D126"/>
    <mergeCell ref="C127:C128"/>
    <mergeCell ref="D127:D128"/>
    <mergeCell ref="E127:E128"/>
    <mergeCell ref="F127:F128"/>
    <mergeCell ref="G127:G128"/>
    <mergeCell ref="C116:O116"/>
    <mergeCell ref="C117:O117"/>
    <mergeCell ref="C118:O118"/>
    <mergeCell ref="C119:O119"/>
    <mergeCell ref="B91:B92"/>
    <mergeCell ref="B99:B101"/>
    <mergeCell ref="B96:B98"/>
    <mergeCell ref="E125:E126"/>
    <mergeCell ref="F125:F126"/>
    <mergeCell ref="D123:F123"/>
    <mergeCell ref="G123:G124"/>
    <mergeCell ref="C98:O98"/>
    <mergeCell ref="C99:O99"/>
    <mergeCell ref="C113:O113"/>
    <mergeCell ref="C111:O111"/>
    <mergeCell ref="C112:O112"/>
    <mergeCell ref="C104:O104"/>
    <mergeCell ref="C105:O105"/>
    <mergeCell ref="C106:O106"/>
    <mergeCell ref="C107:O107"/>
    <mergeCell ref="C108:O108"/>
    <mergeCell ref="C109:O109"/>
    <mergeCell ref="C110:O110"/>
    <mergeCell ref="C101:O101"/>
    <mergeCell ref="C103:O103"/>
    <mergeCell ref="C89:O89"/>
    <mergeCell ref="C78:O78"/>
    <mergeCell ref="C79:O80"/>
    <mergeCell ref="B79:B80"/>
    <mergeCell ref="B81:B82"/>
    <mergeCell ref="B85:B87"/>
    <mergeCell ref="B88:B90"/>
    <mergeCell ref="C90:O90"/>
    <mergeCell ref="C91:O91"/>
    <mergeCell ref="C81:O82"/>
    <mergeCell ref="C84:O84"/>
    <mergeCell ref="C85:O85"/>
    <mergeCell ref="C67:O67"/>
    <mergeCell ref="C68:O68"/>
    <mergeCell ref="C69:O69"/>
    <mergeCell ref="C71:O71"/>
    <mergeCell ref="C72:O72"/>
    <mergeCell ref="C74:O74"/>
    <mergeCell ref="C86:O86"/>
    <mergeCell ref="C87:O87"/>
    <mergeCell ref="C88:O88"/>
  </mergeCells>
  <phoneticPr fontId="18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476</v>
      </c>
      <c r="C2" s="290" t="s">
        <v>477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478</v>
      </c>
      <c r="C4" s="296" t="s">
        <v>479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476</v>
      </c>
      <c r="C8" s="304" t="s">
        <v>480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478</v>
      </c>
      <c r="C13" s="261" t="s">
        <v>481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482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 t="s">
        <v>476</v>
      </c>
      <c r="C20" s="304" t="s">
        <v>167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 t="s">
        <v>478</v>
      </c>
      <c r="C22" s="261" t="s">
        <v>167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476</v>
      </c>
      <c r="C35" s="255" t="s">
        <v>483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484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 t="s">
        <v>478</v>
      </c>
      <c r="C38" s="261" t="s">
        <v>485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 t="s">
        <v>486</v>
      </c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476</v>
      </c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 t="s">
        <v>478</v>
      </c>
      <c r="C46" s="163" t="s">
        <v>180</v>
      </c>
      <c r="D46" s="328" t="s">
        <v>487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488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489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 t="s">
        <v>490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491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492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 t="s">
        <v>478</v>
      </c>
      <c r="C61" s="261" t="s">
        <v>493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494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 t="s">
        <v>476</v>
      </c>
      <c r="C79" s="290" t="s">
        <v>495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 t="s">
        <v>478</v>
      </c>
      <c r="C81" s="296" t="s">
        <v>496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75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 t="s">
        <v>476</v>
      </c>
      <c r="C85" s="255" t="s">
        <v>497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478</v>
      </c>
      <c r="C88" s="261" t="s">
        <v>498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 t="s">
        <v>476</v>
      </c>
      <c r="C96" s="255" t="s">
        <v>499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500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478</v>
      </c>
      <c r="C99" s="261" t="s">
        <v>501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502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12:O12"/>
    <mergeCell ref="C15:O15"/>
    <mergeCell ref="C58:O58"/>
    <mergeCell ref="C53:O53"/>
    <mergeCell ref="C54:O54"/>
    <mergeCell ref="C55:O55"/>
    <mergeCell ref="C57:O57"/>
    <mergeCell ref="C59:O59"/>
    <mergeCell ref="C60:O60"/>
    <mergeCell ref="C35:O35"/>
    <mergeCell ref="C36:O36"/>
    <mergeCell ref="C37:O37"/>
    <mergeCell ref="D45:O45"/>
    <mergeCell ref="B2:B3"/>
    <mergeCell ref="B4:B5"/>
    <mergeCell ref="B61:B63"/>
    <mergeCell ref="B8:B12"/>
    <mergeCell ref="B13:B17"/>
    <mergeCell ref="C27:O27"/>
    <mergeCell ref="C23:O23"/>
    <mergeCell ref="C25:O25"/>
    <mergeCell ref="C26:O26"/>
    <mergeCell ref="C21:O21"/>
    <mergeCell ref="C22:O22"/>
    <mergeCell ref="C13:O13"/>
    <mergeCell ref="C14:O14"/>
    <mergeCell ref="C10:O10"/>
    <mergeCell ref="C2:O3"/>
    <mergeCell ref="C4:O5"/>
    <mergeCell ref="C8:O8"/>
    <mergeCell ref="C9:O9"/>
    <mergeCell ref="C16:O16"/>
    <mergeCell ref="C17:O17"/>
    <mergeCell ref="C28:O28"/>
    <mergeCell ref="C11:O11"/>
    <mergeCell ref="C29:O29"/>
    <mergeCell ref="C30:O30"/>
    <mergeCell ref="C71:O71"/>
    <mergeCell ref="C70:O70"/>
    <mergeCell ref="C63:O63"/>
    <mergeCell ref="C65:O65"/>
    <mergeCell ref="C66:O66"/>
    <mergeCell ref="C67:O67"/>
    <mergeCell ref="C68:O68"/>
    <mergeCell ref="C69:O69"/>
    <mergeCell ref="B70:B72"/>
    <mergeCell ref="B67:B69"/>
    <mergeCell ref="C72:O72"/>
    <mergeCell ref="C74:O74"/>
    <mergeCell ref="C86:O86"/>
    <mergeCell ref="C87:O87"/>
    <mergeCell ref="C88:O88"/>
    <mergeCell ref="C89:O89"/>
    <mergeCell ref="B74:B76"/>
    <mergeCell ref="B88:B90"/>
    <mergeCell ref="C90:O90"/>
    <mergeCell ref="C78:O78"/>
    <mergeCell ref="C79:O80"/>
    <mergeCell ref="B79:B80"/>
    <mergeCell ref="B85:B87"/>
    <mergeCell ref="C81:O82"/>
    <mergeCell ref="C84:O84"/>
    <mergeCell ref="C91:O91"/>
    <mergeCell ref="C92:O92"/>
    <mergeCell ref="C94:O94"/>
    <mergeCell ref="C96:O96"/>
    <mergeCell ref="C85:O85"/>
    <mergeCell ref="B81:B82"/>
    <mergeCell ref="C75:O75"/>
    <mergeCell ref="C76:O76"/>
    <mergeCell ref="C127:C128"/>
    <mergeCell ref="B123:B124"/>
    <mergeCell ref="B110:B114"/>
    <mergeCell ref="B116:B120"/>
    <mergeCell ref="B125:B126"/>
    <mergeCell ref="B127:B128"/>
    <mergeCell ref="B105:B109"/>
    <mergeCell ref="B99:B101"/>
    <mergeCell ref="B96:B98"/>
    <mergeCell ref="C104:O104"/>
    <mergeCell ref="C105:O105"/>
    <mergeCell ref="C99:O99"/>
    <mergeCell ref="C101:O101"/>
    <mergeCell ref="C100:O100"/>
    <mergeCell ref="C98:O98"/>
    <mergeCell ref="C111:O111"/>
    <mergeCell ref="C112:O112"/>
    <mergeCell ref="C110:O110"/>
    <mergeCell ref="C103:O103"/>
    <mergeCell ref="C97:O97"/>
    <mergeCell ref="B91:B92"/>
    <mergeCell ref="C113:O113"/>
    <mergeCell ref="D127:D128"/>
    <mergeCell ref="E127:E128"/>
    <mergeCell ref="F127:F128"/>
    <mergeCell ref="G127:G128"/>
    <mergeCell ref="C116:O116"/>
    <mergeCell ref="C114:O114"/>
    <mergeCell ref="C106:O106"/>
    <mergeCell ref="C107:O107"/>
    <mergeCell ref="C108:O108"/>
    <mergeCell ref="C109:O109"/>
    <mergeCell ref="C117:O117"/>
    <mergeCell ref="C118:O118"/>
    <mergeCell ref="C123:C124"/>
    <mergeCell ref="C125:C126"/>
    <mergeCell ref="D125:D126"/>
    <mergeCell ref="E125:E126"/>
    <mergeCell ref="F125:F126"/>
    <mergeCell ref="D123:F123"/>
    <mergeCell ref="G123:G124"/>
    <mergeCell ref="G125:G126"/>
    <mergeCell ref="C119:O119"/>
    <mergeCell ref="C120:O120"/>
    <mergeCell ref="B20:B21"/>
    <mergeCell ref="B22:B23"/>
    <mergeCell ref="C19:O19"/>
    <mergeCell ref="C20:O20"/>
    <mergeCell ref="C38:O38"/>
    <mergeCell ref="C39:O39"/>
    <mergeCell ref="C40:O40"/>
    <mergeCell ref="D44:O44"/>
    <mergeCell ref="C42:O42"/>
    <mergeCell ref="C43:O43"/>
    <mergeCell ref="B38:B40"/>
    <mergeCell ref="B44:B45"/>
    <mergeCell ref="B27:B29"/>
    <mergeCell ref="B30:B32"/>
    <mergeCell ref="C31:O31"/>
    <mergeCell ref="B35:B37"/>
    <mergeCell ref="C32:O32"/>
    <mergeCell ref="C34:O34"/>
    <mergeCell ref="C61:O61"/>
    <mergeCell ref="C62:O62"/>
    <mergeCell ref="C51:O51"/>
    <mergeCell ref="C52:O52"/>
    <mergeCell ref="B46:B47"/>
    <mergeCell ref="B50:B52"/>
    <mergeCell ref="B53:B55"/>
    <mergeCell ref="B58:B60"/>
    <mergeCell ref="D46:O46"/>
    <mergeCell ref="D47:O47"/>
    <mergeCell ref="C49:O49"/>
    <mergeCell ref="C50:O50"/>
  </mergeCells>
  <phoneticPr fontId="18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00"/>
  <sheetViews>
    <sheetView workbookViewId="0">
      <selection activeCell="P121" sqref="P121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503</v>
      </c>
      <c r="C2" s="290" t="s">
        <v>504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662</v>
      </c>
      <c r="C4" s="296" t="s">
        <v>663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503</v>
      </c>
      <c r="C8" s="304" t="s">
        <v>505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506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 t="s">
        <v>507</v>
      </c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 t="s">
        <v>508</v>
      </c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662</v>
      </c>
      <c r="C13" s="261" t="s">
        <v>664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665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 t="s">
        <v>666</v>
      </c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167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 t="s">
        <v>667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 t="s">
        <v>509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8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 t="s">
        <v>668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 t="s">
        <v>669</v>
      </c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510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 t="s">
        <v>670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511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512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 t="s">
        <v>675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676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 t="s">
        <v>671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 t="s">
        <v>672</v>
      </c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513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 t="s">
        <v>673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 t="s">
        <v>503</v>
      </c>
      <c r="C85" s="255" t="s">
        <v>514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 t="s">
        <v>674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515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 t="s">
        <v>677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04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9:O9"/>
    <mergeCell ref="C17:O17"/>
    <mergeCell ref="C12:O12"/>
    <mergeCell ref="B22:B23"/>
    <mergeCell ref="C23:O23"/>
    <mergeCell ref="C22:O22"/>
    <mergeCell ref="B20:B21"/>
    <mergeCell ref="C20:O20"/>
    <mergeCell ref="C38:O38"/>
    <mergeCell ref="C27:O27"/>
    <mergeCell ref="C21:O21"/>
    <mergeCell ref="B38:B40"/>
    <mergeCell ref="C28:O28"/>
    <mergeCell ref="C29:O29"/>
    <mergeCell ref="B2:B3"/>
    <mergeCell ref="B4:B5"/>
    <mergeCell ref="B8:B12"/>
    <mergeCell ref="B13:B17"/>
    <mergeCell ref="C25:O25"/>
    <mergeCell ref="C26:O26"/>
    <mergeCell ref="C14:O14"/>
    <mergeCell ref="C16:O16"/>
    <mergeCell ref="C15:O15"/>
    <mergeCell ref="C10:O10"/>
    <mergeCell ref="C11:O11"/>
    <mergeCell ref="C19:O19"/>
    <mergeCell ref="C13:O13"/>
    <mergeCell ref="C2:O3"/>
    <mergeCell ref="C4:O5"/>
    <mergeCell ref="C8:O8"/>
    <mergeCell ref="B70:B72"/>
    <mergeCell ref="B27:B29"/>
    <mergeCell ref="B30:B32"/>
    <mergeCell ref="C30:O30"/>
    <mergeCell ref="C31:O31"/>
    <mergeCell ref="C35:O35"/>
    <mergeCell ref="C36:O36"/>
    <mergeCell ref="B35:B37"/>
    <mergeCell ref="C37:O37"/>
    <mergeCell ref="C39:O39"/>
    <mergeCell ref="C40:O40"/>
    <mergeCell ref="C42:O42"/>
    <mergeCell ref="C43:O43"/>
    <mergeCell ref="B44:B45"/>
    <mergeCell ref="B46:B47"/>
    <mergeCell ref="D47:O47"/>
    <mergeCell ref="D44:O44"/>
    <mergeCell ref="D46:O46"/>
    <mergeCell ref="D45:O45"/>
    <mergeCell ref="C49:O49"/>
    <mergeCell ref="C50:O50"/>
    <mergeCell ref="C52:O52"/>
    <mergeCell ref="C32:O32"/>
    <mergeCell ref="C34:O34"/>
    <mergeCell ref="B123:B124"/>
    <mergeCell ref="B116:B120"/>
    <mergeCell ref="C111:O111"/>
    <mergeCell ref="C112:O112"/>
    <mergeCell ref="C113:O113"/>
    <mergeCell ref="C116:O116"/>
    <mergeCell ref="C114:O114"/>
    <mergeCell ref="C117:O117"/>
    <mergeCell ref="C123:C124"/>
    <mergeCell ref="B110:B114"/>
    <mergeCell ref="B105:B109"/>
    <mergeCell ref="C110:O110"/>
    <mergeCell ref="C63:O63"/>
    <mergeCell ref="C65:O65"/>
    <mergeCell ref="C66:O66"/>
    <mergeCell ref="C67:O67"/>
    <mergeCell ref="C68:O68"/>
    <mergeCell ref="C69:O69"/>
    <mergeCell ref="B67:B69"/>
    <mergeCell ref="B79:B80"/>
    <mergeCell ref="B81:B82"/>
    <mergeCell ref="C75:O75"/>
    <mergeCell ref="C76:O76"/>
    <mergeCell ref="C72:O72"/>
    <mergeCell ref="C74:O74"/>
    <mergeCell ref="B74:B76"/>
    <mergeCell ref="C86:O86"/>
    <mergeCell ref="C87:O87"/>
    <mergeCell ref="C88:O88"/>
    <mergeCell ref="C89:O89"/>
    <mergeCell ref="B88:B90"/>
    <mergeCell ref="C71:O71"/>
    <mergeCell ref="C70:O70"/>
    <mergeCell ref="C53:O53"/>
    <mergeCell ref="C54:O54"/>
    <mergeCell ref="C55:O55"/>
    <mergeCell ref="C58:O58"/>
    <mergeCell ref="C59:O59"/>
    <mergeCell ref="C61:O61"/>
    <mergeCell ref="C62:O62"/>
    <mergeCell ref="C51:O51"/>
    <mergeCell ref="B50:B52"/>
    <mergeCell ref="B53:B55"/>
    <mergeCell ref="B58:B60"/>
    <mergeCell ref="C57:O57"/>
    <mergeCell ref="C60:O60"/>
    <mergeCell ref="B61:B63"/>
    <mergeCell ref="B91:B92"/>
    <mergeCell ref="C78:O78"/>
    <mergeCell ref="C105:O105"/>
    <mergeCell ref="C85:O85"/>
    <mergeCell ref="B85:B87"/>
    <mergeCell ref="C90:O90"/>
    <mergeCell ref="C97:O97"/>
    <mergeCell ref="C84:O84"/>
    <mergeCell ref="C99:O99"/>
    <mergeCell ref="C101:O101"/>
    <mergeCell ref="C100:O100"/>
    <mergeCell ref="C91:O91"/>
    <mergeCell ref="C92:O92"/>
    <mergeCell ref="C94:O94"/>
    <mergeCell ref="C96:O96"/>
    <mergeCell ref="B99:B101"/>
    <mergeCell ref="B96:B98"/>
    <mergeCell ref="C79:O80"/>
    <mergeCell ref="C81:O82"/>
    <mergeCell ref="C120:O120"/>
    <mergeCell ref="C104:O104"/>
    <mergeCell ref="C98:O98"/>
    <mergeCell ref="C103:O103"/>
    <mergeCell ref="C106:O106"/>
    <mergeCell ref="C107:O107"/>
    <mergeCell ref="C118:O118"/>
    <mergeCell ref="C119:O119"/>
    <mergeCell ref="D125:D126"/>
    <mergeCell ref="C108:O108"/>
    <mergeCell ref="C109:O109"/>
    <mergeCell ref="D123:F123"/>
    <mergeCell ref="G123:G124"/>
    <mergeCell ref="D127:D128"/>
    <mergeCell ref="E127:E128"/>
    <mergeCell ref="F127:F128"/>
    <mergeCell ref="G127:G128"/>
    <mergeCell ref="C127:C128"/>
    <mergeCell ref="B125:B126"/>
    <mergeCell ref="B127:B128"/>
    <mergeCell ref="C125:C126"/>
    <mergeCell ref="E125:E126"/>
    <mergeCell ref="F125:F126"/>
    <mergeCell ref="G125:G126"/>
  </mergeCells>
  <phoneticPr fontId="18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00"/>
  <sheetViews>
    <sheetView workbookViewId="0">
      <selection activeCell="O126" sqref="O126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516</v>
      </c>
      <c r="C2" s="290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516</v>
      </c>
      <c r="C8" s="304" t="s">
        <v>517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 t="s">
        <v>518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 t="s">
        <v>519</v>
      </c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 t="s">
        <v>520</v>
      </c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618</v>
      </c>
      <c r="C13" s="261" t="s">
        <v>619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620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 t="s">
        <v>621</v>
      </c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 t="s">
        <v>622</v>
      </c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 t="s">
        <v>167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521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522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 t="s">
        <v>623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 t="s">
        <v>624</v>
      </c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516</v>
      </c>
      <c r="C44" s="161" t="s">
        <v>180</v>
      </c>
      <c r="D44" s="279" t="s">
        <v>266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 t="s">
        <v>625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523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 t="s">
        <v>524</v>
      </c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 t="s">
        <v>626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525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526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 t="s">
        <v>527</v>
      </c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 t="s">
        <v>631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632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 t="s">
        <v>627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 t="s">
        <v>628</v>
      </c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 t="s">
        <v>516</v>
      </c>
      <c r="C79" s="290" t="s">
        <v>528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32" t="s">
        <v>629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529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 t="s">
        <v>530</v>
      </c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 t="s">
        <v>630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531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532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633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 thickBo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39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1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49:O49"/>
    <mergeCell ref="C50:O50"/>
    <mergeCell ref="C52:O52"/>
    <mergeCell ref="C53:O53"/>
    <mergeCell ref="C54:O54"/>
    <mergeCell ref="C55:O55"/>
    <mergeCell ref="B53:B55"/>
    <mergeCell ref="C39:O39"/>
    <mergeCell ref="C51:O51"/>
    <mergeCell ref="B50:B52"/>
    <mergeCell ref="C40:O40"/>
    <mergeCell ref="C42:O42"/>
    <mergeCell ref="C43:O43"/>
    <mergeCell ref="B38:B40"/>
    <mergeCell ref="B44:B45"/>
    <mergeCell ref="D44:O44"/>
    <mergeCell ref="D46:O46"/>
    <mergeCell ref="D45:O45"/>
    <mergeCell ref="C58:O58"/>
    <mergeCell ref="C57:O57"/>
    <mergeCell ref="C66:O66"/>
    <mergeCell ref="C67:O67"/>
    <mergeCell ref="C68:O68"/>
    <mergeCell ref="C69:O69"/>
    <mergeCell ref="B67:B69"/>
    <mergeCell ref="C59:O59"/>
    <mergeCell ref="C61:O61"/>
    <mergeCell ref="C62:O62"/>
    <mergeCell ref="B58:B60"/>
    <mergeCell ref="C60:O60"/>
    <mergeCell ref="C63:O63"/>
    <mergeCell ref="C65:O65"/>
    <mergeCell ref="B61:B63"/>
    <mergeCell ref="C2:O3"/>
    <mergeCell ref="C4:O5"/>
    <mergeCell ref="C8:O8"/>
    <mergeCell ref="C9:O9"/>
    <mergeCell ref="B22:B23"/>
    <mergeCell ref="C22:O22"/>
    <mergeCell ref="B20:B21"/>
    <mergeCell ref="C20:O20"/>
    <mergeCell ref="C21:O21"/>
    <mergeCell ref="B2:B3"/>
    <mergeCell ref="C19:O19"/>
    <mergeCell ref="C12:O12"/>
    <mergeCell ref="B4:B5"/>
    <mergeCell ref="B8:B12"/>
    <mergeCell ref="C23:O23"/>
    <mergeCell ref="C25:O25"/>
    <mergeCell ref="C26:O26"/>
    <mergeCell ref="C14:O14"/>
    <mergeCell ref="C16:O16"/>
    <mergeCell ref="C15:O15"/>
    <mergeCell ref="C10:O10"/>
    <mergeCell ref="C11:O11"/>
    <mergeCell ref="B13:B17"/>
    <mergeCell ref="C13:O13"/>
    <mergeCell ref="C17:O17"/>
    <mergeCell ref="B27:B29"/>
    <mergeCell ref="B30:B32"/>
    <mergeCell ref="C31:O31"/>
    <mergeCell ref="C38:O38"/>
    <mergeCell ref="C35:O35"/>
    <mergeCell ref="C36:O36"/>
    <mergeCell ref="B46:B47"/>
    <mergeCell ref="D47:O47"/>
    <mergeCell ref="B35:B37"/>
    <mergeCell ref="C37:O37"/>
    <mergeCell ref="C32:O32"/>
    <mergeCell ref="C34:O34"/>
    <mergeCell ref="C30:O30"/>
    <mergeCell ref="C27:O27"/>
    <mergeCell ref="C28:O28"/>
    <mergeCell ref="C29:O29"/>
    <mergeCell ref="B105:B109"/>
    <mergeCell ref="G125:G126"/>
    <mergeCell ref="G123:G124"/>
    <mergeCell ref="C118:O118"/>
    <mergeCell ref="D127:D128"/>
    <mergeCell ref="E127:E128"/>
    <mergeCell ref="F127:F128"/>
    <mergeCell ref="G127:G128"/>
    <mergeCell ref="C117:O117"/>
    <mergeCell ref="D123:F123"/>
    <mergeCell ref="C116:O116"/>
    <mergeCell ref="C113:O113"/>
    <mergeCell ref="C114:O114"/>
    <mergeCell ref="D125:D126"/>
    <mergeCell ref="B125:B126"/>
    <mergeCell ref="B127:B128"/>
    <mergeCell ref="C125:C126"/>
    <mergeCell ref="C127:C128"/>
    <mergeCell ref="C123:C124"/>
    <mergeCell ref="B123:B124"/>
    <mergeCell ref="B116:B120"/>
    <mergeCell ref="B110:B114"/>
    <mergeCell ref="E125:E126"/>
    <mergeCell ref="F125:F126"/>
    <mergeCell ref="C119:O119"/>
    <mergeCell ref="C120:O120"/>
    <mergeCell ref="C107:O107"/>
    <mergeCell ref="C108:O108"/>
    <mergeCell ref="C109:O109"/>
    <mergeCell ref="C110:O110"/>
    <mergeCell ref="C104:O104"/>
    <mergeCell ref="C105:O105"/>
    <mergeCell ref="C106:O106"/>
    <mergeCell ref="C111:O111"/>
    <mergeCell ref="C112:O112"/>
    <mergeCell ref="C71:O71"/>
    <mergeCell ref="C70:O70"/>
    <mergeCell ref="B70:B72"/>
    <mergeCell ref="C98:O98"/>
    <mergeCell ref="C103:O103"/>
    <mergeCell ref="C86:O86"/>
    <mergeCell ref="C87:O87"/>
    <mergeCell ref="C88:O88"/>
    <mergeCell ref="C78:O78"/>
    <mergeCell ref="C94:O94"/>
    <mergeCell ref="B88:B90"/>
    <mergeCell ref="B91:B92"/>
    <mergeCell ref="B85:B87"/>
    <mergeCell ref="B99:B101"/>
    <mergeCell ref="B96:B98"/>
    <mergeCell ref="C79:O80"/>
    <mergeCell ref="C81:O82"/>
    <mergeCell ref="B79:B80"/>
    <mergeCell ref="B81:B82"/>
    <mergeCell ref="C75:O75"/>
    <mergeCell ref="C76:O76"/>
    <mergeCell ref="C72:O72"/>
    <mergeCell ref="C74:O74"/>
    <mergeCell ref="B74:B76"/>
    <mergeCell ref="C89:O89"/>
    <mergeCell ref="C90:O90"/>
    <mergeCell ref="C85:O85"/>
    <mergeCell ref="C84:O84"/>
    <mergeCell ref="C99:O99"/>
    <mergeCell ref="C101:O101"/>
    <mergeCell ref="C100:O100"/>
    <mergeCell ref="C91:O91"/>
    <mergeCell ref="C92:O92"/>
    <mergeCell ref="C97:O97"/>
    <mergeCell ref="C96:O96"/>
  </mergeCells>
  <phoneticPr fontId="18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3DEE-1B5C-4A26-AE13-14D1283228A9}">
  <dimension ref="A1:AA1000"/>
  <sheetViews>
    <sheetView workbookViewId="0">
      <selection activeCell="H122" sqref="H122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 thickBo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/>
      <c r="C2" s="290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/>
      <c r="C4" s="296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 thickBo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 thickBo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 thickBot="1">
      <c r="A7" s="153"/>
      <c r="B7" s="154" t="s">
        <v>160</v>
      </c>
      <c r="C7" s="155" t="s">
        <v>161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634</v>
      </c>
      <c r="C8" s="304" t="s">
        <v>636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58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6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635</v>
      </c>
      <c r="C13" s="261" t="s">
        <v>650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651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 thickBo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 thickBo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 thickBo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/>
      <c r="C20" s="3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/>
      <c r="C22" s="261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 thickBo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 thickBo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/>
      <c r="C27" s="255" t="s">
        <v>637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 t="s">
        <v>638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 t="s">
        <v>639</v>
      </c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/>
      <c r="C30" s="261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 thickBo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 thickBo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/>
      <c r="C35" s="255" t="s">
        <v>640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/>
      <c r="C38" s="261" t="s">
        <v>652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 thickBo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 thickBo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 thickBo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/>
      <c r="C44" s="161" t="s">
        <v>180</v>
      </c>
      <c r="D44" s="279" t="s">
        <v>641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/>
      <c r="C46" s="163" t="s">
        <v>180</v>
      </c>
      <c r="D46" s="328" t="s">
        <v>653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 thickBot="1">
      <c r="A47" s="153"/>
      <c r="B47" s="269"/>
      <c r="C47" s="164" t="s">
        <v>181</v>
      </c>
      <c r="D47" s="329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 thickBo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/>
      <c r="C50" s="255" t="s">
        <v>642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/>
      <c r="C53" s="261" t="s">
        <v>654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 thickBot="1">
      <c r="A55" s="153"/>
      <c r="B55" s="269"/>
      <c r="C55" s="263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 thickBo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/>
      <c r="C58" s="255" t="s">
        <v>645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646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/>
      <c r="C61" s="261" t="s">
        <v>658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659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 thickBo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 thickBo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/>
      <c r="C67" s="255" t="s">
        <v>643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/>
      <c r="C70" s="261" t="s">
        <v>655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 t="s">
        <v>656</v>
      </c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 thickBo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 thickBo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 thickBo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 thickBo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 thickBo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/>
      <c r="C79" s="290" t="s">
        <v>644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/>
      <c r="C81" s="344" t="s">
        <v>657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 thickBo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 thickBo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/>
      <c r="C85" s="255" t="s">
        <v>647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/>
      <c r="C88" s="261" t="s">
        <v>660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 thickBo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 thickBo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/>
      <c r="C96" s="255" t="s">
        <v>648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/>
      <c r="C99" s="261" t="s">
        <v>661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 thickBot="1">
      <c r="A101" s="153"/>
      <c r="B101" s="269"/>
      <c r="C101" s="263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 thickBo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 thickBo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/>
      <c r="C105" s="339" t="s">
        <v>649</v>
      </c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1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/>
      <c r="C110" s="261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 thickBo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 thickBo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 thickBo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 thickBo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 thickBot="1">
      <c r="A124" s="153"/>
      <c r="B124" s="248"/>
      <c r="C124" s="240"/>
      <c r="D124" s="171" t="s">
        <v>100</v>
      </c>
      <c r="E124" s="172" t="s">
        <v>95</v>
      </c>
      <c r="F124" s="173" t="s">
        <v>231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/>
      <c r="C125" s="317"/>
      <c r="D125" s="319"/>
      <c r="E125" s="321"/>
      <c r="F125" s="323"/>
      <c r="G125" s="317">
        <f>C125*0.3 + (D125+E125+F125)/3*0.7</f>
        <v>0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/>
      <c r="C127" s="309"/>
      <c r="D127" s="310"/>
      <c r="E127" s="312"/>
      <c r="F127" s="314"/>
      <c r="G127" s="309">
        <f>C127*0.3 + (D127+E127+F127)/3*0.7</f>
        <v>0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 thickBo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9:O9"/>
    <mergeCell ref="C10:O10"/>
    <mergeCell ref="C11:O11"/>
    <mergeCell ref="C12:O12"/>
  </mergeCells>
  <phoneticPr fontId="18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E2F3"/>
  </sheetPr>
  <dimension ref="A1:AJ1000"/>
  <sheetViews>
    <sheetView workbookViewId="0"/>
  </sheetViews>
  <sheetFormatPr defaultColWidth="14.42578125" defaultRowHeight="15" customHeight="1"/>
  <cols>
    <col min="1" max="1" width="3.85546875" customWidth="1"/>
    <col min="2" max="7" width="8.7109375" customWidth="1"/>
    <col min="8" max="8" width="10.28515625" customWidth="1"/>
    <col min="9" max="9" width="13.5703125" customWidth="1"/>
    <col min="10" max="10" width="10.28515625" customWidth="1"/>
    <col min="11" max="11" width="8.140625" customWidth="1"/>
    <col min="12" max="12" width="6" customWidth="1"/>
    <col min="13" max="36" width="8.7109375" customWidth="1"/>
  </cols>
  <sheetData>
    <row r="1" spans="1:3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6.5" customHeight="1">
      <c r="A2" s="1"/>
      <c r="B2" s="345" t="s">
        <v>533</v>
      </c>
      <c r="C2" s="241" t="s">
        <v>92</v>
      </c>
      <c r="D2" s="243"/>
      <c r="E2" s="346" t="s">
        <v>93</v>
      </c>
      <c r="F2" s="243"/>
      <c r="G2" s="1"/>
      <c r="H2" s="32" t="s">
        <v>534</v>
      </c>
      <c r="I2" s="177" t="s">
        <v>535</v>
      </c>
      <c r="J2" s="178" t="s">
        <v>536</v>
      </c>
      <c r="K2" s="179" t="s">
        <v>83</v>
      </c>
      <c r="L2" s="179" t="s">
        <v>230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.5" customHeight="1">
      <c r="A3" s="1"/>
      <c r="B3" s="247"/>
      <c r="C3" s="20" t="s">
        <v>537</v>
      </c>
      <c r="D3" s="21" t="s">
        <v>538</v>
      </c>
      <c r="E3" s="2" t="s">
        <v>537</v>
      </c>
      <c r="F3" s="21" t="s">
        <v>538</v>
      </c>
      <c r="G3" s="1"/>
      <c r="H3" s="180" t="s">
        <v>92</v>
      </c>
      <c r="I3" s="181">
        <v>11</v>
      </c>
      <c r="J3" s="182">
        <v>1</v>
      </c>
      <c r="K3" s="183">
        <v>1</v>
      </c>
      <c r="L3" s="21">
        <f t="shared" ref="L3:L4" si="0">SUM(I3:K3)</f>
        <v>13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6.5" customHeight="1">
      <c r="A4" s="1"/>
      <c r="B4" s="176">
        <v>1</v>
      </c>
      <c r="C4" s="184" t="s">
        <v>539</v>
      </c>
      <c r="D4" s="185" t="s">
        <v>540</v>
      </c>
      <c r="E4" s="184" t="s">
        <v>539</v>
      </c>
      <c r="F4" s="185" t="s">
        <v>540</v>
      </c>
      <c r="G4" s="1"/>
      <c r="H4" s="186" t="s">
        <v>93</v>
      </c>
      <c r="I4" s="187">
        <v>16</v>
      </c>
      <c r="J4" s="188">
        <v>2</v>
      </c>
      <c r="K4" s="189">
        <v>1</v>
      </c>
      <c r="L4" s="190">
        <f t="shared" si="0"/>
        <v>19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91"/>
      <c r="AJ4" s="192">
        <f t="array" ref="AJ4">'1300'!G125</f>
        <v>7.4666666666666668</v>
      </c>
    </row>
    <row r="5" spans="1:36" ht="16.5" customHeight="1">
      <c r="A5" s="1"/>
      <c r="B5" s="20">
        <v>2</v>
      </c>
      <c r="C5" s="5" t="s">
        <v>541</v>
      </c>
      <c r="D5" s="193" t="s">
        <v>542</v>
      </c>
      <c r="E5" s="5" t="s">
        <v>541</v>
      </c>
      <c r="F5" s="193" t="s">
        <v>540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94"/>
      <c r="AJ5" s="21">
        <f t="array" ref="AJ5">'1300'!G127</f>
        <v>4.5333333333333332</v>
      </c>
    </row>
    <row r="6" spans="1:36" ht="16.5" customHeight="1">
      <c r="A6" s="1"/>
      <c r="B6" s="20">
        <v>3</v>
      </c>
      <c r="C6" s="5" t="s">
        <v>543</v>
      </c>
      <c r="D6" s="193" t="s">
        <v>544</v>
      </c>
      <c r="E6" s="5" t="s">
        <v>543</v>
      </c>
      <c r="F6" s="12">
        <v>9.82</v>
      </c>
      <c r="G6" s="1"/>
      <c r="H6" s="177" t="s">
        <v>545</v>
      </c>
      <c r="I6" s="195" t="s">
        <v>89</v>
      </c>
      <c r="J6" s="178" t="s">
        <v>546</v>
      </c>
      <c r="K6" s="179" t="s">
        <v>547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94" t="e">
        <f t="array" ref="AI6">#REF!</f>
        <v>#REF!</v>
      </c>
      <c r="AJ6" s="21" t="e">
        <f t="array" ref="AJ6">#REF!</f>
        <v>#REF!</v>
      </c>
    </row>
    <row r="7" spans="1:36" ht="16.5" customHeight="1">
      <c r="A7" s="1"/>
      <c r="B7" s="20">
        <v>4</v>
      </c>
      <c r="C7" s="5" t="s">
        <v>548</v>
      </c>
      <c r="D7" s="193" t="s">
        <v>549</v>
      </c>
      <c r="E7" s="5" t="s">
        <v>548</v>
      </c>
      <c r="F7" s="12">
        <v>9.6300000000000008</v>
      </c>
      <c r="G7" s="1"/>
      <c r="H7" s="194" t="s">
        <v>92</v>
      </c>
      <c r="I7" s="196">
        <v>14</v>
      </c>
      <c r="J7" s="197">
        <v>4</v>
      </c>
      <c r="K7" s="21">
        <f t="shared" ref="K7:K8" si="1">I7+J7</f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94" t="e">
        <f t="array" ref="AI7">#REF!</f>
        <v>#REF!</v>
      </c>
      <c r="AJ7" s="21" t="e">
        <f t="array" ref="AJ7">#REF!</f>
        <v>#REF!</v>
      </c>
    </row>
    <row r="8" spans="1:36" ht="16.5" customHeight="1">
      <c r="A8" s="1"/>
      <c r="B8" s="20">
        <v>5</v>
      </c>
      <c r="C8" s="198" t="s">
        <v>550</v>
      </c>
      <c r="D8" s="199" t="s">
        <v>551</v>
      </c>
      <c r="E8" s="5" t="s">
        <v>550</v>
      </c>
      <c r="F8" s="12">
        <v>9.43</v>
      </c>
      <c r="G8" s="1"/>
      <c r="H8" s="200" t="s">
        <v>93</v>
      </c>
      <c r="I8" s="201">
        <v>12</v>
      </c>
      <c r="J8" s="202">
        <v>8</v>
      </c>
      <c r="K8" s="203">
        <f t="shared" si="1"/>
        <v>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94" t="e">
        <f t="array" ref="AI8">#REF!</f>
        <v>#REF!</v>
      </c>
      <c r="AJ8" s="21" t="e">
        <f t="array" ref="AJ8">#REF!</f>
        <v>#REF!</v>
      </c>
    </row>
    <row r="9" spans="1:36" ht="16.5" customHeight="1">
      <c r="A9" s="1"/>
      <c r="B9" s="20">
        <v>6</v>
      </c>
      <c r="C9" s="204" t="s">
        <v>552</v>
      </c>
      <c r="D9" s="205">
        <v>7.53</v>
      </c>
      <c r="E9" s="5" t="s">
        <v>552</v>
      </c>
      <c r="F9" s="193" t="s">
        <v>553</v>
      </c>
      <c r="G9" s="1"/>
      <c r="H9" s="206" t="s">
        <v>554</v>
      </c>
      <c r="I9" s="207">
        <f t="shared" ref="I9:K9" si="2">SUM(I7:I8)</f>
        <v>26</v>
      </c>
      <c r="J9" s="208">
        <f t="shared" si="2"/>
        <v>12</v>
      </c>
      <c r="K9" s="190">
        <f t="shared" si="2"/>
        <v>38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94" t="e">
        <f t="array" ref="AI9">#REF!</f>
        <v>#REF!</v>
      </c>
      <c r="AJ9" s="21" t="e">
        <f t="array" ref="AJ9">#REF!</f>
        <v>#REF!</v>
      </c>
    </row>
    <row r="10" spans="1:36" ht="16.5" customHeight="1">
      <c r="A10" s="1"/>
      <c r="B10" s="20">
        <v>7</v>
      </c>
      <c r="C10" s="204" t="s">
        <v>555</v>
      </c>
      <c r="D10" s="209" t="s">
        <v>556</v>
      </c>
      <c r="E10" s="5" t="s">
        <v>555</v>
      </c>
      <c r="F10" s="193" t="s">
        <v>544</v>
      </c>
      <c r="G10" s="1"/>
      <c r="H10" s="1"/>
      <c r="I10" s="1"/>
      <c r="J10" s="1"/>
      <c r="K10" s="1"/>
      <c r="L10" s="1"/>
      <c r="M10" s="2"/>
      <c r="N10" s="210" t="s">
        <v>557</v>
      </c>
      <c r="O10" s="192" t="s">
        <v>558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94" t="e">
        <f t="array" ref="AI10">#REF!</f>
        <v>#REF!</v>
      </c>
      <c r="AJ10" s="21" t="e">
        <f t="array" ref="AJ10">#REF!</f>
        <v>#REF!</v>
      </c>
    </row>
    <row r="11" spans="1:36" ht="16.5" customHeight="1">
      <c r="A11" s="1"/>
      <c r="B11" s="20">
        <v>8</v>
      </c>
      <c r="C11" s="204" t="s">
        <v>559</v>
      </c>
      <c r="D11" s="205">
        <v>6.93</v>
      </c>
      <c r="E11" s="5" t="s">
        <v>559</v>
      </c>
      <c r="F11" s="12">
        <v>9.1199999999999992</v>
      </c>
      <c r="G11" s="1"/>
      <c r="H11" s="1"/>
      <c r="I11" s="1"/>
      <c r="J11" s="1"/>
      <c r="K11" s="1"/>
      <c r="L11" s="1"/>
      <c r="M11" s="347" t="s">
        <v>20</v>
      </c>
      <c r="N11" s="211"/>
      <c r="O11" s="2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94" t="e">
        <f t="array" ref="AI11">#REF!</f>
        <v>#REF!</v>
      </c>
      <c r="AJ11" s="21" t="e">
        <f t="array" ref="AJ11">#REF!</f>
        <v>#REF!</v>
      </c>
    </row>
    <row r="12" spans="1:36" ht="16.5" customHeight="1">
      <c r="A12" s="1"/>
      <c r="B12" s="20">
        <v>9</v>
      </c>
      <c r="C12" s="204" t="s">
        <v>560</v>
      </c>
      <c r="D12" s="205">
        <v>6.93</v>
      </c>
      <c r="E12" s="5" t="s">
        <v>560</v>
      </c>
      <c r="F12" s="12">
        <v>9.07</v>
      </c>
      <c r="G12" s="1"/>
      <c r="H12" s="1"/>
      <c r="I12" s="1"/>
      <c r="J12" s="1"/>
      <c r="K12" s="1"/>
      <c r="L12" s="1"/>
      <c r="M12" s="239"/>
      <c r="N12" s="213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56" t="e">
        <f t="shared" ref="AI12:AJ12" si="3">#REF!</f>
        <v>#REF!</v>
      </c>
      <c r="AJ12" s="190" t="e">
        <f t="shared" si="3"/>
        <v>#REF!</v>
      </c>
    </row>
    <row r="13" spans="1:36" ht="16.5" customHeight="1">
      <c r="A13" s="1"/>
      <c r="B13" s="20">
        <v>10</v>
      </c>
      <c r="C13" s="204" t="s">
        <v>561</v>
      </c>
      <c r="D13" s="205">
        <v>6.93</v>
      </c>
      <c r="E13" s="5" t="s">
        <v>561</v>
      </c>
      <c r="F13" s="12">
        <v>8.9600000000000009</v>
      </c>
      <c r="G13" s="1"/>
      <c r="H13" s="1"/>
      <c r="I13" s="1"/>
      <c r="J13" s="1"/>
      <c r="K13" s="1"/>
      <c r="L13" s="1"/>
      <c r="M13" s="239"/>
      <c r="N13" s="213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"/>
      <c r="AJ13" s="2"/>
    </row>
    <row r="14" spans="1:36" ht="16.5" customHeight="1">
      <c r="A14" s="1"/>
      <c r="B14" s="20">
        <v>11</v>
      </c>
      <c r="C14" s="204" t="s">
        <v>562</v>
      </c>
      <c r="D14" s="205">
        <v>6.13</v>
      </c>
      <c r="E14" s="5" t="s">
        <v>562</v>
      </c>
      <c r="F14" s="12">
        <v>8.24</v>
      </c>
      <c r="G14" s="1"/>
      <c r="H14" s="1"/>
      <c r="I14" s="1"/>
      <c r="J14" s="1"/>
      <c r="K14" s="1"/>
      <c r="L14" s="1"/>
      <c r="M14" s="239"/>
      <c r="N14" s="213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6.5" customHeight="1">
      <c r="A15" s="1"/>
      <c r="B15" s="20">
        <v>12</v>
      </c>
      <c r="C15" s="204" t="s">
        <v>563</v>
      </c>
      <c r="D15" s="205">
        <v>5.83</v>
      </c>
      <c r="E15" s="5" t="s">
        <v>563</v>
      </c>
      <c r="F15" s="12">
        <v>8.1</v>
      </c>
      <c r="G15" s="1"/>
      <c r="H15" s="1"/>
      <c r="I15" s="1"/>
      <c r="J15" s="1"/>
      <c r="K15" s="1"/>
      <c r="L15" s="1"/>
      <c r="M15" s="239"/>
      <c r="N15" s="213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91" t="e">
        <f t="array" ref="AI15">#REF!</f>
        <v>#REF!</v>
      </c>
      <c r="AJ15" s="192" t="e">
        <f t="array" ref="AJ15">#REF!</f>
        <v>#REF!</v>
      </c>
    </row>
    <row r="16" spans="1:36" ht="16.5" customHeight="1">
      <c r="A16" s="1"/>
      <c r="B16" s="20">
        <v>13</v>
      </c>
      <c r="C16" s="204" t="s">
        <v>564</v>
      </c>
      <c r="D16" s="205">
        <v>5.83</v>
      </c>
      <c r="E16" s="214" t="s">
        <v>564</v>
      </c>
      <c r="F16" s="12">
        <v>7.83</v>
      </c>
      <c r="G16" s="1"/>
      <c r="H16" s="1"/>
      <c r="I16" s="1"/>
      <c r="J16" s="1"/>
      <c r="K16" s="1"/>
      <c r="L16" s="1"/>
      <c r="M16" s="240"/>
      <c r="N16" s="215"/>
      <c r="O16" s="21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94" t="e">
        <f t="array" ref="AI16">#REF!</f>
        <v>#REF!</v>
      </c>
      <c r="AJ16" s="21" t="e">
        <f t="array" ref="AJ16">#REF!</f>
        <v>#REF!</v>
      </c>
    </row>
    <row r="17" spans="1:36" ht="16.5" customHeight="1">
      <c r="A17" s="1"/>
      <c r="B17" s="20">
        <v>14</v>
      </c>
      <c r="C17" s="204" t="s">
        <v>565</v>
      </c>
      <c r="D17" s="205">
        <v>5.83</v>
      </c>
      <c r="E17" s="214" t="s">
        <v>565</v>
      </c>
      <c r="F17" s="12">
        <v>7.83</v>
      </c>
      <c r="G17" s="1"/>
      <c r="H17" s="1"/>
      <c r="I17" s="1"/>
      <c r="J17" s="1"/>
      <c r="K17" s="1"/>
      <c r="L17" s="1"/>
      <c r="M17" s="347" t="s">
        <v>566</v>
      </c>
      <c r="N17" s="213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94" t="e">
        <f t="array" ref="AI17">#REF!</f>
        <v>#REF!</v>
      </c>
      <c r="AJ17" s="21" t="e">
        <f t="array" ref="AJ17">#REF!</f>
        <v>#REF!</v>
      </c>
    </row>
    <row r="18" spans="1:36" ht="16.5" customHeight="1">
      <c r="A18" s="1"/>
      <c r="B18" s="20">
        <v>15</v>
      </c>
      <c r="C18" s="204" t="s">
        <v>24</v>
      </c>
      <c r="D18" s="205">
        <v>4.96</v>
      </c>
      <c r="E18" s="214" t="s">
        <v>24</v>
      </c>
      <c r="F18" s="217">
        <v>7.24</v>
      </c>
      <c r="G18" s="1"/>
      <c r="H18" s="1"/>
      <c r="I18" s="1"/>
      <c r="J18" s="1"/>
      <c r="K18" s="1"/>
      <c r="L18" s="1"/>
      <c r="M18" s="240"/>
      <c r="N18" s="215"/>
      <c r="O18" s="21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94" t="e">
        <f t="array" ref="AI18">#REF!</f>
        <v>#REF!</v>
      </c>
      <c r="AJ18" s="21" t="e">
        <f t="array" ref="AJ18">#REF!</f>
        <v>#REF!</v>
      </c>
    </row>
    <row r="19" spans="1:36" ht="16.5" customHeight="1">
      <c r="A19" s="1"/>
      <c r="B19" s="20">
        <v>16</v>
      </c>
      <c r="C19" s="204" t="s">
        <v>567</v>
      </c>
      <c r="D19" s="205">
        <v>4.96</v>
      </c>
      <c r="E19" s="218" t="s">
        <v>567</v>
      </c>
      <c r="F19" s="219">
        <v>7.24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94" t="e">
        <f t="array" ref="AI19">#REF!</f>
        <v>#REF!</v>
      </c>
      <c r="AJ19" s="21" t="e">
        <f t="array" ref="AJ19">#REF!</f>
        <v>#REF!</v>
      </c>
    </row>
    <row r="20" spans="1:36" ht="16.5" customHeight="1">
      <c r="A20" s="1"/>
      <c r="B20" s="20">
        <v>17</v>
      </c>
      <c r="C20" s="204" t="s">
        <v>568</v>
      </c>
      <c r="D20" s="205">
        <v>2.42</v>
      </c>
      <c r="E20" s="220" t="s">
        <v>568</v>
      </c>
      <c r="F20" s="221">
        <v>6.93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94" t="e">
        <f t="array" ref="AI20">#REF!</f>
        <v>#REF!</v>
      </c>
      <c r="AJ20" s="21" t="e">
        <f t="array" ref="AJ20">#REF!</f>
        <v>#REF!</v>
      </c>
    </row>
    <row r="21" spans="1:36" ht="16.5" customHeight="1">
      <c r="A21" s="1"/>
      <c r="B21" s="20">
        <v>18</v>
      </c>
      <c r="C21" s="204" t="s">
        <v>569</v>
      </c>
      <c r="D21" s="205">
        <v>2.42</v>
      </c>
      <c r="E21" s="220" t="s">
        <v>569</v>
      </c>
      <c r="F21" s="221">
        <v>6.93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94" t="e">
        <f t="array" ref="AI21">#REF!</f>
        <v>#REF!</v>
      </c>
      <c r="AJ21" s="21" t="e">
        <f t="array" ref="AJ21">#REF!</f>
        <v>#REF!</v>
      </c>
    </row>
    <row r="22" spans="1:36" ht="16.5" customHeight="1">
      <c r="A22" s="1"/>
      <c r="B22" s="20">
        <v>19</v>
      </c>
      <c r="C22" s="222"/>
      <c r="D22" s="223"/>
      <c r="E22" s="220" t="s">
        <v>570</v>
      </c>
      <c r="F22" s="221">
        <v>6.13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94" t="e">
        <f t="array" ref="AI22">#REF!</f>
        <v>#REF!</v>
      </c>
      <c r="AJ22" s="21" t="e">
        <f t="array" ref="AJ22">#REF!</f>
        <v>#REF!</v>
      </c>
    </row>
    <row r="23" spans="1:36" ht="16.5" customHeight="1">
      <c r="A23" s="1"/>
      <c r="B23" s="20">
        <v>20</v>
      </c>
      <c r="C23" s="222"/>
      <c r="D23" s="223"/>
      <c r="E23" s="220" t="s">
        <v>571</v>
      </c>
      <c r="F23" s="221">
        <v>5.83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94" t="e">
        <f t="array" ref="AI23">#REF!</f>
        <v>#REF!</v>
      </c>
      <c r="AJ23" s="21" t="e">
        <f t="array" ref="AJ23">#REF!</f>
        <v>#REF!</v>
      </c>
    </row>
    <row r="24" spans="1:36" ht="16.5" customHeight="1">
      <c r="A24" s="1"/>
      <c r="B24" s="20">
        <v>21</v>
      </c>
      <c r="C24" s="222"/>
      <c r="D24" s="223"/>
      <c r="E24" s="220" t="s">
        <v>572</v>
      </c>
      <c r="F24" s="221">
        <v>4.96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94" t="e">
        <f t="array" ref="AI24">#REF!</f>
        <v>#REF!</v>
      </c>
      <c r="AJ24" s="21" t="e">
        <f t="array" ref="AJ24">#REF!</f>
        <v>#REF!</v>
      </c>
    </row>
    <row r="25" spans="1:36" ht="16.5" customHeight="1">
      <c r="A25" s="1"/>
      <c r="B25" s="20">
        <v>22</v>
      </c>
      <c r="C25" s="222"/>
      <c r="D25" s="223"/>
      <c r="E25" s="220" t="s">
        <v>573</v>
      </c>
      <c r="F25" s="221">
        <v>2.42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94" t="e">
        <f t="array" ref="AI25">#REF!</f>
        <v>#REF!</v>
      </c>
      <c r="AJ25" s="21" t="e">
        <f t="array" ref="AJ25">#REF!</f>
        <v>#REF!</v>
      </c>
    </row>
    <row r="26" spans="1:36" ht="16.5" customHeight="1">
      <c r="A26" s="1"/>
      <c r="B26" s="224">
        <v>23</v>
      </c>
      <c r="C26" s="225"/>
      <c r="D26" s="226"/>
      <c r="E26" s="227" t="s">
        <v>574</v>
      </c>
      <c r="F26" s="228">
        <v>2.42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56" t="e">
        <f t="array" ref="AI26">#REF!</f>
        <v>#REF!</v>
      </c>
      <c r="AJ26" s="190" t="e">
        <f t="array" ref="AJ26">#REF!</f>
        <v>#REF!</v>
      </c>
    </row>
    <row r="27" spans="1:3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5">
    <mergeCell ref="B2:B3"/>
    <mergeCell ref="C2:D2"/>
    <mergeCell ref="E2:F2"/>
    <mergeCell ref="M11:M16"/>
    <mergeCell ref="M17:M18"/>
  </mergeCells>
  <phoneticPr fontId="18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 ht="16.5" customHeight="1">
      <c r="A2" s="153"/>
      <c r="B2" s="270" t="s">
        <v>539</v>
      </c>
      <c r="C2" s="290" t="s">
        <v>575</v>
      </c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 ht="16.5" customHeight="1">
      <c r="A3" s="153"/>
      <c r="B3" s="271"/>
      <c r="C3" s="293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 ht="16.5" customHeight="1">
      <c r="A4" s="153"/>
      <c r="B4" s="267" t="s">
        <v>541</v>
      </c>
      <c r="C4" s="296" t="s">
        <v>576</v>
      </c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 ht="16.5" customHeight="1">
      <c r="A5" s="153"/>
      <c r="B5" s="269"/>
      <c r="C5" s="29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 ht="16.5" customHeight="1">
      <c r="A7" s="153"/>
      <c r="B7" s="154" t="s">
        <v>160</v>
      </c>
      <c r="C7" s="229" t="s">
        <v>161</v>
      </c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 ht="16.5" customHeight="1">
      <c r="A8" s="153"/>
      <c r="B8" s="274" t="s">
        <v>539</v>
      </c>
      <c r="C8" s="304" t="s">
        <v>577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7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 ht="16.5" customHeight="1">
      <c r="A9" s="153"/>
      <c r="B9" s="268"/>
      <c r="C9" s="232" t="s">
        <v>578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 ht="16.5" customHeight="1">
      <c r="A10" s="153"/>
      <c r="B10" s="268"/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 ht="16.5" customHeight="1">
      <c r="A11" s="153"/>
      <c r="B11" s="268"/>
      <c r="C11" s="258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6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 ht="16.5" customHeight="1">
      <c r="A12" s="153"/>
      <c r="B12" s="273"/>
      <c r="C12" s="252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4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 ht="16.5" customHeight="1">
      <c r="A13" s="153"/>
      <c r="B13" s="267" t="s">
        <v>541</v>
      </c>
      <c r="C13" s="261" t="s">
        <v>579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 ht="16.5" customHeight="1">
      <c r="A14" s="153"/>
      <c r="B14" s="268"/>
      <c r="C14" s="262" t="s">
        <v>580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6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 ht="16.5" customHeight="1">
      <c r="A15" s="153"/>
      <c r="B15" s="268"/>
      <c r="C15" s="262" t="s">
        <v>581</v>
      </c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6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 ht="16.5" customHeight="1">
      <c r="A16" s="153"/>
      <c r="B16" s="268"/>
      <c r="C16" s="262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6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 ht="16.5" customHeight="1">
      <c r="A17" s="153"/>
      <c r="B17" s="269"/>
      <c r="C17" s="263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5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 ht="16.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 ht="16.5" customHeight="1">
      <c r="A19" s="153"/>
      <c r="B19" s="154" t="s">
        <v>165</v>
      </c>
      <c r="C19" s="289" t="s">
        <v>166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6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 ht="16.5" customHeight="1">
      <c r="A20" s="153"/>
      <c r="B20" s="270" t="s">
        <v>539</v>
      </c>
      <c r="C20" s="304" t="s">
        <v>582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7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 ht="16.5" customHeight="1">
      <c r="A21" s="153"/>
      <c r="B21" s="271"/>
      <c r="C21" s="252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4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 ht="16.5" customHeight="1">
      <c r="A22" s="153"/>
      <c r="B22" s="267" t="s">
        <v>541</v>
      </c>
      <c r="C22" s="261" t="s">
        <v>582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 ht="16.5" customHeight="1">
      <c r="A23" s="153"/>
      <c r="B23" s="269"/>
      <c r="C23" s="263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5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 ht="16.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 ht="16.5" customHeight="1">
      <c r="A25" s="153"/>
      <c r="B25" s="158" t="s">
        <v>169</v>
      </c>
      <c r="C25" s="275" t="s">
        <v>170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7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 ht="16.5" customHeight="1">
      <c r="A26" s="153"/>
      <c r="B26" s="159"/>
      <c r="C26" s="303" t="s">
        <v>171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4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 ht="16.5" customHeight="1">
      <c r="A27" s="153"/>
      <c r="B27" s="272" t="s">
        <v>539</v>
      </c>
      <c r="C27" s="255" t="s">
        <v>583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7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 ht="16.5" customHeight="1">
      <c r="A28" s="153"/>
      <c r="B28" s="268"/>
      <c r="C28" s="258" t="s">
        <v>584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6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6.5" customHeight="1">
      <c r="A29" s="153"/>
      <c r="B29" s="273"/>
      <c r="C29" s="252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4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 ht="16.5" customHeight="1">
      <c r="A30" s="153"/>
      <c r="B30" s="267" t="s">
        <v>541</v>
      </c>
      <c r="C30" s="261" t="s">
        <v>585</v>
      </c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7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6.5" customHeight="1">
      <c r="A31" s="153"/>
      <c r="B31" s="268"/>
      <c r="C31" s="26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6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6.5" customHeight="1">
      <c r="A32" s="153"/>
      <c r="B32" s="269"/>
      <c r="C32" s="263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5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 ht="16.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 ht="16.5" customHeight="1">
      <c r="A34" s="153"/>
      <c r="B34" s="158" t="s">
        <v>173</v>
      </c>
      <c r="C34" s="266" t="s">
        <v>174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 ht="16.5" customHeight="1">
      <c r="A35" s="153"/>
      <c r="B35" s="272" t="s">
        <v>539</v>
      </c>
      <c r="C35" s="255" t="s">
        <v>586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7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 ht="16.5" customHeight="1">
      <c r="A36" s="153"/>
      <c r="B36" s="268"/>
      <c r="C36" s="258" t="s">
        <v>587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 ht="16.5" customHeight="1">
      <c r="A37" s="153"/>
      <c r="B37" s="273"/>
      <c r="C37" s="252" t="s">
        <v>588</v>
      </c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 ht="16.5" customHeight="1">
      <c r="A38" s="153"/>
      <c r="B38" s="267" t="s">
        <v>541</v>
      </c>
      <c r="C38" s="261" t="s">
        <v>589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7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 ht="16.5" customHeight="1">
      <c r="A39" s="153"/>
      <c r="B39" s="268"/>
      <c r="C39" s="262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 ht="16.5" customHeight="1">
      <c r="A40" s="153"/>
      <c r="B40" s="269"/>
      <c r="C40" s="263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5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 ht="16.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 ht="16.5" customHeight="1">
      <c r="A42" s="153"/>
      <c r="B42" s="158" t="s">
        <v>177</v>
      </c>
      <c r="C42" s="275" t="s">
        <v>178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7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 ht="16.5" customHeight="1">
      <c r="A43" s="153"/>
      <c r="B43" s="160"/>
      <c r="C43" s="278" t="s">
        <v>179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5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 ht="16.5" customHeight="1">
      <c r="A44" s="153"/>
      <c r="B44" s="274" t="s">
        <v>539</v>
      </c>
      <c r="C44" s="161" t="s">
        <v>180</v>
      </c>
      <c r="D44" s="279" t="s">
        <v>590</v>
      </c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 ht="16.5" customHeight="1">
      <c r="A45" s="153"/>
      <c r="B45" s="273"/>
      <c r="C45" s="162" t="s">
        <v>181</v>
      </c>
      <c r="D45" s="325" t="s">
        <v>591</v>
      </c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7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 ht="16.5" customHeight="1">
      <c r="A46" s="153"/>
      <c r="B46" s="267" t="s">
        <v>541</v>
      </c>
      <c r="C46" s="163" t="s">
        <v>180</v>
      </c>
      <c r="D46" s="328" t="s">
        <v>592</v>
      </c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7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 ht="16.5" customHeight="1">
      <c r="A47" s="153"/>
      <c r="B47" s="269"/>
      <c r="C47" s="164" t="s">
        <v>181</v>
      </c>
      <c r="D47" s="329" t="s">
        <v>593</v>
      </c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1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 ht="16.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16.5" customHeight="1">
      <c r="A49" s="153"/>
      <c r="B49" s="158" t="s">
        <v>183</v>
      </c>
      <c r="C49" s="266" t="s">
        <v>184</v>
      </c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 ht="16.5" customHeight="1">
      <c r="A50" s="153"/>
      <c r="B50" s="272" t="s">
        <v>539</v>
      </c>
      <c r="C50" s="255" t="s">
        <v>594</v>
      </c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7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 ht="16.5" customHeight="1">
      <c r="A51" s="153"/>
      <c r="B51" s="268"/>
      <c r="C51" s="258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60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 ht="16.5" customHeight="1">
      <c r="A52" s="153"/>
      <c r="B52" s="273"/>
      <c r="C52" s="25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4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 ht="16.5" customHeight="1">
      <c r="A53" s="153"/>
      <c r="B53" s="267" t="s">
        <v>541</v>
      </c>
      <c r="C53" s="261" t="s">
        <v>595</v>
      </c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7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 ht="16.5" customHeight="1">
      <c r="A54" s="153"/>
      <c r="B54" s="268"/>
      <c r="C54" s="262" t="s">
        <v>596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6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 ht="16.5" customHeight="1">
      <c r="A55" s="153"/>
      <c r="B55" s="269"/>
      <c r="C55" s="263" t="s">
        <v>597</v>
      </c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5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 ht="16.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 ht="16.5" customHeight="1">
      <c r="A57" s="153"/>
      <c r="B57" s="158" t="s">
        <v>186</v>
      </c>
      <c r="C57" s="266" t="s">
        <v>187</v>
      </c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 ht="16.5" customHeight="1">
      <c r="A58" s="153"/>
      <c r="B58" s="272" t="s">
        <v>539</v>
      </c>
      <c r="C58" s="255" t="s">
        <v>598</v>
      </c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7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 ht="16.5" customHeight="1">
      <c r="A59" s="153"/>
      <c r="B59" s="268"/>
      <c r="C59" s="258" t="s">
        <v>599</v>
      </c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60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 ht="16.5" customHeight="1">
      <c r="A60" s="153"/>
      <c r="B60" s="273"/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4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 ht="16.5" customHeight="1">
      <c r="A61" s="153"/>
      <c r="B61" s="267" t="s">
        <v>541</v>
      </c>
      <c r="C61" s="261" t="s">
        <v>600</v>
      </c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7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 ht="16.5" customHeight="1">
      <c r="A62" s="153"/>
      <c r="B62" s="268"/>
      <c r="C62" s="262" t="s">
        <v>601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60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 ht="16.5" customHeight="1">
      <c r="A63" s="153"/>
      <c r="B63" s="269"/>
      <c r="C63" s="263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 ht="16.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 ht="16.5" customHeight="1">
      <c r="A65" s="153"/>
      <c r="B65" s="158" t="s">
        <v>191</v>
      </c>
      <c r="C65" s="275" t="s">
        <v>192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7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 ht="16.5" customHeight="1">
      <c r="A66" s="153"/>
      <c r="B66" s="165"/>
      <c r="C66" s="303" t="s">
        <v>193</v>
      </c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4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 ht="16.5" customHeight="1">
      <c r="A67" s="153"/>
      <c r="B67" s="272" t="s">
        <v>539</v>
      </c>
      <c r="C67" s="255" t="s">
        <v>602</v>
      </c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7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 ht="16.5" customHeight="1">
      <c r="A68" s="153"/>
      <c r="B68" s="268"/>
      <c r="C68" s="258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60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 ht="16.5" customHeight="1">
      <c r="A69" s="153"/>
      <c r="B69" s="273"/>
      <c r="C69" s="25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4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 ht="16.5" customHeight="1">
      <c r="A70" s="153"/>
      <c r="B70" s="267" t="s">
        <v>541</v>
      </c>
      <c r="C70" s="261" t="s">
        <v>603</v>
      </c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 ht="16.5" customHeight="1">
      <c r="A71" s="153"/>
      <c r="B71" s="268"/>
      <c r="C71" s="262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60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 ht="16.5" customHeight="1">
      <c r="A72" s="153"/>
      <c r="B72" s="269"/>
      <c r="C72" s="263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5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 ht="16.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 ht="16.5" customHeight="1">
      <c r="A74" s="153"/>
      <c r="B74" s="284" t="s">
        <v>197</v>
      </c>
      <c r="C74" s="286" t="s">
        <v>198</v>
      </c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7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 ht="16.5" customHeight="1">
      <c r="A75" s="153"/>
      <c r="B75" s="268"/>
      <c r="C75" s="287" t="s">
        <v>199</v>
      </c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60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 ht="16.5" customHeight="1">
      <c r="A76" s="153"/>
      <c r="B76" s="269"/>
      <c r="C76" s="288" t="s">
        <v>200</v>
      </c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5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 ht="16.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 ht="16.5" customHeight="1">
      <c r="A78" s="153"/>
      <c r="B78" s="154" t="s">
        <v>201</v>
      </c>
      <c r="C78" s="289" t="s">
        <v>235</v>
      </c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6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 ht="16.5" customHeight="1">
      <c r="A79" s="153"/>
      <c r="B79" s="270" t="s">
        <v>539</v>
      </c>
      <c r="C79" s="348" t="s">
        <v>593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 ht="16.5" customHeight="1">
      <c r="A80" s="153"/>
      <c r="B80" s="271"/>
      <c r="C80" s="293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5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 ht="16.5" customHeight="1">
      <c r="A81" s="153"/>
      <c r="B81" s="267" t="s">
        <v>541</v>
      </c>
      <c r="C81" s="332" t="s">
        <v>593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 ht="16.5" customHeight="1">
      <c r="A82" s="153"/>
      <c r="B82" s="269"/>
      <c r="C82" s="29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50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 ht="16.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 ht="16.5" customHeight="1">
      <c r="A84" s="153"/>
      <c r="B84" s="158" t="s">
        <v>204</v>
      </c>
      <c r="C84" s="275" t="s">
        <v>205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7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 ht="16.5" customHeight="1">
      <c r="A85" s="153"/>
      <c r="B85" s="272" t="s">
        <v>539</v>
      </c>
      <c r="C85" s="255" t="s">
        <v>604</v>
      </c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7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 ht="16.5" customHeight="1">
      <c r="A86" s="153"/>
      <c r="B86" s="268"/>
      <c r="C86" s="258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60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 ht="16.5" customHeight="1">
      <c r="A87" s="153"/>
      <c r="B87" s="273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4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 ht="16.5" customHeight="1">
      <c r="A88" s="153"/>
      <c r="B88" s="267" t="s">
        <v>541</v>
      </c>
      <c r="C88" s="261" t="s">
        <v>605</v>
      </c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7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 ht="16.5" customHeight="1">
      <c r="A89" s="153"/>
      <c r="B89" s="268"/>
      <c r="C89" s="262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60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 ht="16.5" customHeight="1">
      <c r="A90" s="153"/>
      <c r="B90" s="273"/>
      <c r="C90" s="300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4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 ht="16.5" customHeight="1">
      <c r="A91" s="153"/>
      <c r="B91" s="285" t="s">
        <v>208</v>
      </c>
      <c r="C91" s="301" t="s">
        <v>209</v>
      </c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7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 ht="16.5" customHeight="1">
      <c r="A92" s="153"/>
      <c r="B92" s="269"/>
      <c r="C92" s="278" t="s">
        <v>210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5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 ht="16.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 ht="16.5" customHeight="1">
      <c r="A94" s="153"/>
      <c r="B94" s="158" t="s">
        <v>211</v>
      </c>
      <c r="C94" s="302" t="s">
        <v>212</v>
      </c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7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 ht="16.5" customHeight="1">
      <c r="A95" s="153"/>
      <c r="B95" s="166"/>
      <c r="C95" s="167" t="s">
        <v>213</v>
      </c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8"/>
      <c r="O95" s="169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 ht="16.5" customHeight="1">
      <c r="A96" s="153"/>
      <c r="B96" s="272" t="s">
        <v>539</v>
      </c>
      <c r="C96" s="255" t="s">
        <v>606</v>
      </c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7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 ht="16.5" customHeight="1">
      <c r="A97" s="153"/>
      <c r="B97" s="268"/>
      <c r="C97" s="258" t="s">
        <v>607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60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 ht="16.5" customHeight="1">
      <c r="A98" s="153"/>
      <c r="B98" s="273"/>
      <c r="C98" s="252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4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 ht="16.5" customHeight="1">
      <c r="A99" s="153"/>
      <c r="B99" s="267" t="s">
        <v>541</v>
      </c>
      <c r="C99" s="261" t="s">
        <v>608</v>
      </c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7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 ht="16.5" customHeight="1">
      <c r="A100" s="153"/>
      <c r="B100" s="268"/>
      <c r="C100" s="262" t="s">
        <v>609</v>
      </c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60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 ht="16.5" customHeight="1">
      <c r="A101" s="153"/>
      <c r="B101" s="269"/>
      <c r="C101" s="263" t="s">
        <v>610</v>
      </c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5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 ht="16.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 ht="16.5" customHeight="1">
      <c r="A103" s="153"/>
      <c r="B103" s="158" t="s">
        <v>216</v>
      </c>
      <c r="C103" s="275" t="s">
        <v>217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7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 ht="16.5" customHeight="1">
      <c r="A104" s="153"/>
      <c r="B104" s="170"/>
      <c r="C104" s="303" t="s">
        <v>218</v>
      </c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4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 ht="16.5" customHeight="1">
      <c r="A105" s="153"/>
      <c r="B105" s="274" t="s">
        <v>539</v>
      </c>
      <c r="C105" s="304" t="s">
        <v>611</v>
      </c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7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 ht="16.5" customHeight="1">
      <c r="A106" s="153"/>
      <c r="B106" s="268"/>
      <c r="C106" s="258" t="s">
        <v>612</v>
      </c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60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 ht="16.5" customHeight="1">
      <c r="A107" s="153"/>
      <c r="B107" s="268"/>
      <c r="C107" s="258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60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 ht="16.5" customHeight="1">
      <c r="A108" s="153"/>
      <c r="B108" s="268"/>
      <c r="C108" s="258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60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 ht="16.5" customHeight="1">
      <c r="A109" s="153"/>
      <c r="B109" s="273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4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 ht="16.5" customHeight="1">
      <c r="A110" s="153"/>
      <c r="B110" s="267" t="s">
        <v>541</v>
      </c>
      <c r="C110" s="261" t="s">
        <v>613</v>
      </c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7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 ht="16.5" customHeight="1">
      <c r="A111" s="153"/>
      <c r="B111" s="268"/>
      <c r="C111" s="262" t="s">
        <v>614</v>
      </c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0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 ht="16.5" customHeight="1">
      <c r="A112" s="153"/>
      <c r="B112" s="268"/>
      <c r="C112" s="262" t="s">
        <v>615</v>
      </c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60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 ht="16.5" customHeight="1">
      <c r="A113" s="153"/>
      <c r="B113" s="268"/>
      <c r="C113" s="262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60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 ht="16.5" customHeight="1">
      <c r="A114" s="153"/>
      <c r="B114" s="269"/>
      <c r="C114" s="263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5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 ht="16.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 ht="16.5" customHeight="1">
      <c r="A116" s="153"/>
      <c r="B116" s="280" t="s">
        <v>221</v>
      </c>
      <c r="C116" s="305" t="s">
        <v>222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7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 ht="16.5" customHeight="1">
      <c r="A117" s="153"/>
      <c r="B117" s="268"/>
      <c r="C117" s="306" t="s">
        <v>223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60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 ht="16.5" customHeight="1">
      <c r="A118" s="153"/>
      <c r="B118" s="268"/>
      <c r="C118" s="306" t="s">
        <v>224</v>
      </c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 ht="16.5" customHeight="1">
      <c r="A119" s="153"/>
      <c r="B119" s="268"/>
      <c r="C119" s="306" t="s">
        <v>225</v>
      </c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60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 ht="16.5" customHeight="1">
      <c r="A120" s="153"/>
      <c r="B120" s="269"/>
      <c r="C120" s="307" t="s">
        <v>226</v>
      </c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5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 ht="16.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 ht="16.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 ht="16.5" customHeight="1">
      <c r="A123" s="153"/>
      <c r="B123" s="281" t="s">
        <v>227</v>
      </c>
      <c r="C123" s="308" t="s">
        <v>228</v>
      </c>
      <c r="D123" s="316" t="s">
        <v>229</v>
      </c>
      <c r="E123" s="242"/>
      <c r="F123" s="243"/>
      <c r="G123" s="308" t="s">
        <v>230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 ht="16.5" customHeight="1">
      <c r="A124" s="153"/>
      <c r="B124" s="248"/>
      <c r="C124" s="240"/>
      <c r="D124" s="171" t="s">
        <v>616</v>
      </c>
      <c r="E124" s="172" t="s">
        <v>95</v>
      </c>
      <c r="F124" s="173" t="s">
        <v>617</v>
      </c>
      <c r="G124" s="240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 ht="16.5" customHeight="1">
      <c r="A125" s="153"/>
      <c r="B125" s="270" t="s">
        <v>539</v>
      </c>
      <c r="C125" s="317">
        <v>9</v>
      </c>
      <c r="D125" s="319">
        <v>9</v>
      </c>
      <c r="E125" s="321">
        <v>9</v>
      </c>
      <c r="F125" s="323">
        <v>8</v>
      </c>
      <c r="G125" s="317">
        <f>C125*0.3 + (D125+E125+F125)/3*0.7</f>
        <v>8.7666666666666657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 ht="16.5" customHeight="1">
      <c r="A126" s="153"/>
      <c r="B126" s="271"/>
      <c r="C126" s="318"/>
      <c r="D126" s="320"/>
      <c r="E126" s="322"/>
      <c r="F126" s="324"/>
      <c r="G126" s="318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 ht="16.5" customHeight="1">
      <c r="A127" s="153"/>
      <c r="B127" s="282" t="s">
        <v>541</v>
      </c>
      <c r="C127" s="309">
        <v>8</v>
      </c>
      <c r="D127" s="310">
        <v>9</v>
      </c>
      <c r="E127" s="312">
        <v>9</v>
      </c>
      <c r="F127" s="314">
        <v>7</v>
      </c>
      <c r="G127" s="309">
        <f>C127*0.3 + (D127+E127+F127)/3*0.7</f>
        <v>8.2333333333333325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 ht="16.5" customHeight="1">
      <c r="A128" s="153"/>
      <c r="B128" s="283"/>
      <c r="C128" s="240"/>
      <c r="D128" s="311"/>
      <c r="E128" s="313"/>
      <c r="F128" s="315"/>
      <c r="G128" s="240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 ht="16.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 ht="16.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 ht="16.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 ht="16.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 ht="16.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 ht="16.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 ht="16.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 ht="16.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 ht="16.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 ht="16.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 ht="16.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 ht="16.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 ht="16.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 ht="16.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 ht="16.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 ht="16.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 ht="16.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 ht="16.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 ht="16.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 ht="16.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 ht="16.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 ht="16.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 ht="16.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 ht="16.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 ht="16.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 ht="16.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 ht="16.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 ht="16.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 ht="16.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 ht="16.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 ht="16.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 ht="16.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 ht="16.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 ht="16.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 ht="16.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 ht="16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 ht="16.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 ht="16.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 ht="16.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 ht="16.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 ht="16.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 ht="16.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 ht="16.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 ht="16.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 ht="16.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 ht="16.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 ht="16.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 ht="16.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C117:O117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116:O11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106:O106"/>
    <mergeCell ref="C86:O86"/>
    <mergeCell ref="C87:O87"/>
    <mergeCell ref="C88:O88"/>
    <mergeCell ref="C89:O89"/>
    <mergeCell ref="C90:O90"/>
    <mergeCell ref="C91:O91"/>
    <mergeCell ref="C92:O92"/>
    <mergeCell ref="C94:O94"/>
    <mergeCell ref="C96:O96"/>
    <mergeCell ref="C72:O72"/>
    <mergeCell ref="C74:O74"/>
    <mergeCell ref="C75:O75"/>
    <mergeCell ref="C76:O76"/>
    <mergeCell ref="C78:O78"/>
    <mergeCell ref="C79:O80"/>
    <mergeCell ref="C81:O82"/>
    <mergeCell ref="C84:O84"/>
    <mergeCell ref="C85:O85"/>
    <mergeCell ref="C62:O62"/>
    <mergeCell ref="C63:O63"/>
    <mergeCell ref="C65:O65"/>
    <mergeCell ref="C66:O66"/>
    <mergeCell ref="C67:O67"/>
    <mergeCell ref="C68:O68"/>
    <mergeCell ref="C69:O69"/>
    <mergeCell ref="C70:O70"/>
    <mergeCell ref="C71:O71"/>
    <mergeCell ref="C53:O53"/>
    <mergeCell ref="C54:O54"/>
    <mergeCell ref="C55:O55"/>
    <mergeCell ref="C57:O57"/>
    <mergeCell ref="C58:O58"/>
    <mergeCell ref="D125:D126"/>
    <mergeCell ref="E125:E126"/>
    <mergeCell ref="C127:C128"/>
    <mergeCell ref="D127:D128"/>
    <mergeCell ref="E127:E128"/>
    <mergeCell ref="F125:F126"/>
    <mergeCell ref="G125:G126"/>
    <mergeCell ref="F127:F128"/>
    <mergeCell ref="G127:G128"/>
    <mergeCell ref="C118:O118"/>
    <mergeCell ref="C119:O119"/>
    <mergeCell ref="C120:O120"/>
    <mergeCell ref="C123:C124"/>
    <mergeCell ref="D123:F123"/>
    <mergeCell ref="G123:G124"/>
    <mergeCell ref="C125:C126"/>
    <mergeCell ref="C59:O59"/>
    <mergeCell ref="C60:O60"/>
    <mergeCell ref="C61:O61"/>
    <mergeCell ref="C10:O10"/>
    <mergeCell ref="C13:O13"/>
    <mergeCell ref="C14:O14"/>
    <mergeCell ref="C15:O15"/>
    <mergeCell ref="B2:B3"/>
    <mergeCell ref="C2:O3"/>
    <mergeCell ref="B4:B5"/>
    <mergeCell ref="C4:O5"/>
    <mergeCell ref="B8:B12"/>
    <mergeCell ref="C8:O8"/>
    <mergeCell ref="B13:B17"/>
    <mergeCell ref="C16:O16"/>
    <mergeCell ref="C17:O17"/>
    <mergeCell ref="B127:B128"/>
    <mergeCell ref="B81:B82"/>
    <mergeCell ref="B85:B87"/>
    <mergeCell ref="B88:B90"/>
    <mergeCell ref="B91:B92"/>
    <mergeCell ref="B96:B98"/>
    <mergeCell ref="B99:B101"/>
    <mergeCell ref="B105:B109"/>
    <mergeCell ref="C11:O11"/>
    <mergeCell ref="C12:O12"/>
    <mergeCell ref="C19:O19"/>
    <mergeCell ref="B20:B21"/>
    <mergeCell ref="C20:O20"/>
    <mergeCell ref="C21:O21"/>
    <mergeCell ref="B22:B23"/>
    <mergeCell ref="C22:O22"/>
    <mergeCell ref="C23:O23"/>
    <mergeCell ref="C25:O25"/>
    <mergeCell ref="C26:O26"/>
    <mergeCell ref="C27:O27"/>
    <mergeCell ref="C28:O28"/>
    <mergeCell ref="C29:O29"/>
    <mergeCell ref="C51:O51"/>
    <mergeCell ref="C52:O52"/>
    <mergeCell ref="B61:B63"/>
    <mergeCell ref="B67:B69"/>
    <mergeCell ref="B70:B72"/>
    <mergeCell ref="B74:B76"/>
    <mergeCell ref="B79:B80"/>
    <mergeCell ref="B110:B114"/>
    <mergeCell ref="B116:B120"/>
    <mergeCell ref="B123:B124"/>
    <mergeCell ref="B125:B126"/>
    <mergeCell ref="B27:B29"/>
    <mergeCell ref="B30:B32"/>
    <mergeCell ref="B35:B37"/>
    <mergeCell ref="B38:B40"/>
    <mergeCell ref="B44:B45"/>
    <mergeCell ref="B46:B47"/>
    <mergeCell ref="B50:B52"/>
    <mergeCell ref="B53:B55"/>
    <mergeCell ref="B58:B60"/>
    <mergeCell ref="C49:O49"/>
    <mergeCell ref="C50:O50"/>
    <mergeCell ref="C40:O40"/>
    <mergeCell ref="C42:O42"/>
    <mergeCell ref="C43:O43"/>
    <mergeCell ref="D44:O44"/>
    <mergeCell ref="D45:O45"/>
    <mergeCell ref="D46:O46"/>
    <mergeCell ref="D47:O47"/>
    <mergeCell ref="C38:O38"/>
    <mergeCell ref="C39:O39"/>
    <mergeCell ref="C30:O30"/>
    <mergeCell ref="C31:O31"/>
    <mergeCell ref="C32:O32"/>
    <mergeCell ref="C34:O34"/>
    <mergeCell ref="C35:O35"/>
    <mergeCell ref="C36:O36"/>
    <mergeCell ref="C37:O37"/>
  </mergeCells>
  <phoneticPr fontId="1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면접 시간표</vt:lpstr>
      <vt:lpstr>유의사항</vt:lpstr>
      <vt:lpstr>1300</vt:lpstr>
      <vt:lpstr>1320</vt:lpstr>
      <vt:lpstr>1340</vt:lpstr>
      <vt:lpstr>1400</vt:lpstr>
      <vt:lpstr>1420</vt:lpstr>
      <vt:lpstr>1440</vt:lpstr>
      <vt:lpstr>1500</vt:lpstr>
      <vt:lpstr>1520</vt:lpstr>
      <vt:lpstr>1640</vt:lpstr>
      <vt:lpstr>1700</vt:lpstr>
      <vt:lpstr>1740</vt:lpstr>
      <vt:lpstr>1800</vt:lpstr>
      <vt:lpstr>1820</vt:lpstr>
      <vt:lpstr>1840</vt:lpstr>
      <vt:lpstr>1900</vt:lpstr>
      <vt:lpstr>비대면</vt:lpstr>
      <vt:lpstr>점수총합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2023-01-04T10:24:17Z</dcterms:created>
  <dcterms:modified xsi:type="dcterms:W3CDTF">2024-03-08T20:00:37Z</dcterms:modified>
</cp:coreProperties>
</file>