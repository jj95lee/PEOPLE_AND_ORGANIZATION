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꼰대라떼\윤민식(기획부장)\요리대회\"/>
    </mc:Choice>
  </mc:AlternateContent>
  <xr:revisionPtr revIDLastSave="0" documentId="13_ncr:1_{E49984BF-6AC9-4A76-889E-9C5343C82C67}" xr6:coauthVersionLast="47" xr6:coauthVersionMax="47" xr10:uidLastSave="{00000000-0000-0000-0000-000000000000}"/>
  <bookViews>
    <workbookView xWindow="-120" yWindow="-120" windowWidth="29040" windowHeight="15840" tabRatio="944" xr2:uid="{00000000-000D-0000-FFFF-FFFF00000000}"/>
  </bookViews>
  <sheets>
    <sheet name="Sheet1" sheetId="33" r:id="rId1"/>
    <sheet name="Sheet1 (3)" sheetId="35" r:id="rId2"/>
    <sheet name="Sheet1 (2)" sheetId="3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4" l="1"/>
  <c r="U28" i="34"/>
  <c r="U22" i="34"/>
  <c r="U16" i="34"/>
  <c r="U10" i="34"/>
  <c r="S34" i="34"/>
  <c r="S28" i="34"/>
  <c r="S32" i="34" s="1"/>
  <c r="S22" i="34"/>
  <c r="S26" i="34" s="1"/>
  <c r="S16" i="34"/>
  <c r="S20" i="34" s="1"/>
  <c r="S38" i="34"/>
  <c r="S10" i="34"/>
  <c r="S14" i="34" s="1"/>
  <c r="P38" i="34"/>
  <c r="U34" i="34"/>
  <c r="L38" i="34"/>
  <c r="I38" i="34"/>
  <c r="F38" i="34"/>
  <c r="P32" i="34"/>
  <c r="O32" i="34"/>
  <c r="L32" i="34"/>
  <c r="I32" i="34"/>
  <c r="F32" i="34"/>
  <c r="P26" i="34"/>
  <c r="O26" i="34"/>
  <c r="L26" i="34"/>
  <c r="I26" i="34"/>
  <c r="F26" i="34"/>
  <c r="P20" i="34"/>
  <c r="O20" i="34"/>
  <c r="L20" i="34"/>
  <c r="I20" i="34"/>
  <c r="F20" i="34"/>
  <c r="P14" i="34"/>
  <c r="O14" i="34"/>
  <c r="L14" i="34"/>
  <c r="I14" i="34"/>
  <c r="F14" i="34"/>
  <c r="L38" i="33"/>
  <c r="I38" i="33"/>
  <c r="F38" i="33"/>
  <c r="L32" i="33"/>
  <c r="I32" i="33"/>
  <c r="F32" i="33"/>
  <c r="L26" i="33"/>
  <c r="I26" i="33"/>
  <c r="F26" i="33"/>
  <c r="L20" i="33"/>
  <c r="I20" i="33"/>
  <c r="F20" i="33"/>
  <c r="L14" i="33"/>
  <c r="I14" i="33"/>
  <c r="F14" i="33"/>
  <c r="S10" i="33" a="1"/>
  <c r="S10" i="33" s="1"/>
  <c r="U10" i="33" s="1"/>
  <c r="S34" i="33" a="1"/>
  <c r="S34" i="33" s="1"/>
  <c r="U34" i="33" s="1"/>
  <c r="S28" i="33" a="1"/>
  <c r="S28" i="33" s="1"/>
  <c r="U28" i="33" s="1"/>
  <c r="S22" i="33" a="1"/>
  <c r="S22" i="33" s="1"/>
  <c r="U22" i="33" s="1"/>
  <c r="S16" i="33" a="1"/>
  <c r="S16" i="33" s="1"/>
  <c r="U16" i="3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<sst xmlns="http://schemas.openxmlformats.org/spreadsheetml/2006/main" count="181" uniqueCount="56">
  <si>
    <t>비율</t>
    <phoneticPr fontId="6" type="noConversion"/>
  </si>
  <si>
    <t>오프라인</t>
    <phoneticPr fontId="6" type="noConversion"/>
  </si>
  <si>
    <t>온라인</t>
    <phoneticPr fontId="6" type="noConversion"/>
  </si>
  <si>
    <t>다른 조의 평가</t>
    <phoneticPr fontId="6" type="noConversion"/>
  </si>
  <si>
    <t>조원간의 협동</t>
    <phoneticPr fontId="6" type="noConversion"/>
  </si>
  <si>
    <t>개인적 취향</t>
    <phoneticPr fontId="6" type="noConversion"/>
  </si>
  <si>
    <t>데코레이션</t>
    <phoneticPr fontId="6" type="noConversion"/>
  </si>
  <si>
    <t>음식의 맛</t>
    <phoneticPr fontId="6" type="noConversion"/>
  </si>
  <si>
    <t>평가 기준</t>
    <phoneticPr fontId="6" type="noConversion"/>
  </si>
  <si>
    <t>B조</t>
    <phoneticPr fontId="4" type="noConversion"/>
  </si>
  <si>
    <t>며느리도 몰라 제육</t>
    <phoneticPr fontId="4" type="noConversion"/>
  </si>
  <si>
    <t>A조</t>
    <phoneticPr fontId="4" type="noConversion"/>
  </si>
  <si>
    <t>세계 인류와 민족</t>
  </si>
  <si>
    <t>중흥을 위한 분식</t>
    <phoneticPr fontId="4" type="noConversion"/>
  </si>
  <si>
    <t>이광민</t>
    <phoneticPr fontId="4" type="noConversion"/>
  </si>
  <si>
    <t>배환규</t>
    <phoneticPr fontId="4" type="noConversion"/>
  </si>
  <si>
    <t>이주연</t>
    <phoneticPr fontId="4" type="noConversion"/>
  </si>
  <si>
    <t>김보라</t>
    <phoneticPr fontId="4" type="noConversion"/>
  </si>
  <si>
    <t>유지훈</t>
    <phoneticPr fontId="4" type="noConversion"/>
  </si>
  <si>
    <t>안우석</t>
    <phoneticPr fontId="4" type="noConversion"/>
  </si>
  <si>
    <t>C조</t>
    <phoneticPr fontId="4" type="noConversion"/>
  </si>
  <si>
    <t>D조</t>
    <phoneticPr fontId="4" type="noConversion"/>
  </si>
  <si>
    <t>E조</t>
    <phoneticPr fontId="4" type="noConversion"/>
  </si>
  <si>
    <t>이규엽</t>
    <phoneticPr fontId="4" type="noConversion"/>
  </si>
  <si>
    <t>박한웅</t>
    <phoneticPr fontId="4" type="noConversion"/>
  </si>
  <si>
    <t>권지연</t>
    <phoneticPr fontId="4" type="noConversion"/>
  </si>
  <si>
    <t>김민구</t>
    <phoneticPr fontId="4" type="noConversion"/>
  </si>
  <si>
    <t>신희찬</t>
    <phoneticPr fontId="4" type="noConversion"/>
  </si>
  <si>
    <t>문제원</t>
    <phoneticPr fontId="4" type="noConversion"/>
  </si>
  <si>
    <t>김해찬</t>
    <phoneticPr fontId="4" type="noConversion"/>
  </si>
  <si>
    <t>권희원</t>
    <phoneticPr fontId="4" type="noConversion"/>
  </si>
  <si>
    <t>김세미</t>
    <phoneticPr fontId="4" type="noConversion"/>
  </si>
  <si>
    <t>파STAR</t>
    <phoneticPr fontId="4" type="noConversion"/>
  </si>
  <si>
    <t>떡볶이, 볶음라면, 유부초밥</t>
    <phoneticPr fontId="4" type="noConversion"/>
  </si>
  <si>
    <t>제육볶음, 된장찌개, 계란말이</t>
    <phoneticPr fontId="4" type="noConversion"/>
  </si>
  <si>
    <t>베이컨 까르보나라 &amp; 샐러드</t>
    <phoneticPr fontId="4" type="noConversion"/>
  </si>
  <si>
    <t>전통주점 : 전에먹은 두부김치</t>
    <phoneticPr fontId="4" type="noConversion"/>
  </si>
  <si>
    <t>전, 두부김치, 막걸리</t>
    <phoneticPr fontId="4" type="noConversion"/>
  </si>
  <si>
    <t>자취하고 잘취해요~</t>
    <phoneticPr fontId="4" type="noConversion"/>
  </si>
  <si>
    <t>자취요리 : 김치볶음밥, 계란찜</t>
    <phoneticPr fontId="4" type="noConversion"/>
  </si>
  <si>
    <t>합계</t>
    <phoneticPr fontId="4" type="noConversion"/>
  </si>
  <si>
    <t>조원</t>
    <phoneticPr fontId="4" type="noConversion"/>
  </si>
  <si>
    <t>조</t>
    <phoneticPr fontId="4" type="noConversion"/>
  </si>
  <si>
    <t>투표인원</t>
    <phoneticPr fontId="4" type="noConversion"/>
  </si>
  <si>
    <r>
      <rPr>
        <sz val="11"/>
        <color rgb="FFFF0000"/>
        <rFont val="맑은 고딕"/>
        <family val="3"/>
        <charset val="129"/>
      </rPr>
      <t>👑</t>
    </r>
    <r>
      <rPr>
        <sz val="11"/>
        <color rgb="FF000000"/>
        <rFont val="맑은 고딕"/>
        <family val="3"/>
        <charset val="129"/>
      </rPr>
      <t>윤민식</t>
    </r>
    <phoneticPr fontId="4" type="noConversion"/>
  </si>
  <si>
    <r>
      <rPr>
        <sz val="11"/>
        <color rgb="FFFF0000"/>
        <rFont val="맑은 고딕"/>
        <family val="3"/>
        <charset val="129"/>
      </rPr>
      <t>👑</t>
    </r>
    <r>
      <rPr>
        <sz val="11"/>
        <color rgb="FF000000"/>
        <rFont val="맑은 고딕"/>
        <family val="3"/>
        <charset val="129"/>
      </rPr>
      <t>박소현</t>
    </r>
    <phoneticPr fontId="4" type="noConversion"/>
  </si>
  <si>
    <r>
      <rPr>
        <sz val="11"/>
        <color rgb="FFFF0000"/>
        <rFont val="맑은 고딕"/>
        <family val="3"/>
        <charset val="129"/>
      </rPr>
      <t>👑</t>
    </r>
    <r>
      <rPr>
        <sz val="11"/>
        <color rgb="FF000000"/>
        <rFont val="맑은 고딕"/>
        <family val="3"/>
        <charset val="129"/>
      </rPr>
      <t>이수민</t>
    </r>
    <phoneticPr fontId="4" type="noConversion"/>
  </si>
  <si>
    <r>
      <rPr>
        <sz val="11"/>
        <color rgb="FFFF0000"/>
        <rFont val="맑은 고딕"/>
        <family val="3"/>
        <charset val="129"/>
      </rPr>
      <t>👑</t>
    </r>
    <r>
      <rPr>
        <sz val="11"/>
        <color rgb="FF000000"/>
        <rFont val="맑은 고딕"/>
        <family val="3"/>
        <charset val="129"/>
      </rPr>
      <t>홍석범</t>
    </r>
    <phoneticPr fontId="4" type="noConversion"/>
  </si>
  <si>
    <r>
      <rPr>
        <sz val="11"/>
        <color rgb="FFFF0000"/>
        <rFont val="맑은 고딕"/>
        <family val="3"/>
        <charset val="129"/>
      </rPr>
      <t>👑</t>
    </r>
    <r>
      <rPr>
        <sz val="11"/>
        <color rgb="FF000000"/>
        <rFont val="맑은 고딕"/>
        <family val="3"/>
        <charset val="129"/>
      </rPr>
      <t>조용근</t>
    </r>
    <phoneticPr fontId="4" type="noConversion"/>
  </si>
  <si>
    <t>심사위원</t>
    <phoneticPr fontId="4" type="noConversion"/>
  </si>
  <si>
    <t>박재형</t>
    <phoneticPr fontId="4" type="noConversion"/>
  </si>
  <si>
    <t>류상연</t>
    <phoneticPr fontId="4" type="noConversion"/>
  </si>
  <si>
    <t>성광훈</t>
    <phoneticPr fontId="4" type="noConversion"/>
  </si>
  <si>
    <t>이진진</t>
    <phoneticPr fontId="4" type="noConversion"/>
  </si>
  <si>
    <t>-</t>
    <phoneticPr fontId="4" type="noConversion"/>
  </si>
  <si>
    <t>평균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</si>
</sst>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9">
    <font>
      <sz val="11"/>
      <color rgb="FF000000"/>
      <name val="hnc_go_b_hint_gs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hnc_go_b_hint_gs"/>
      <family val="3"/>
      <charset val="129"/>
    </font>
    <font>
      <sz val="8"/>
      <name val="hnc_go_b_hint_gs"/>
      <family val="2"/>
      <charset val="129"/>
      <scheme val="minor"/>
    </font>
    <font>
      <sz val="25"/>
      <color rgb="FF000000"/>
      <name val="맑은 고딕"/>
      <family val="3"/>
      <charset val="129"/>
    </font>
    <font>
      <strike/>
      <sz val="11"/>
      <color theme="1" tint="0.499984740745262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9DBA5"/>
        <bgColor indexed="64"/>
      </patternFill>
    </fill>
    <fill>
      <patternFill patternType="solid">
        <fgColor rgb="FFF9FBA7"/>
        <bgColor indexed="64"/>
      </patternFill>
    </fill>
    <fill>
      <patternFill patternType="solid">
        <fgColor rgb="FFFCFB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E4E4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70">
    <xf numFmtId="0" fontId="0" fillId="0" borderId="0" xfId="0" applyAlignment="1">
      <alignment vertical="center"/>
    </xf>
    <xf numFmtId="0" fontId="8" fillId="7" borderId="1" xfId="1" applyFont="1" applyFill="1" applyBorder="1" applyAlignment="1">
      <alignment horizontal="center" vertical="center"/>
    </xf>
    <xf numFmtId="0" fontId="1" fillId="7" borderId="13" xfId="1" applyFont="1" applyFill="1" applyBorder="1" applyAlignment="1">
      <alignment horizontal="center" vertical="center"/>
    </xf>
    <xf numFmtId="0" fontId="1" fillId="7" borderId="11" xfId="1" applyFont="1" applyFill="1" applyBorder="1" applyAlignment="1">
      <alignment horizontal="center" vertical="center"/>
    </xf>
    <xf numFmtId="0" fontId="1" fillId="6" borderId="1" xfId="1" applyFont="1" applyFill="1" applyBorder="1" applyAlignment="1">
      <alignment horizontal="center" vertical="center"/>
    </xf>
    <xf numFmtId="0" fontId="1" fillId="6" borderId="11" xfId="1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0" borderId="1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8" borderId="11" xfId="1" applyFont="1" applyFill="1" applyBorder="1" applyAlignment="1">
      <alignment horizontal="center" vertical="center"/>
    </xf>
    <xf numFmtId="0" fontId="1" fillId="5" borderId="11" xfId="1" applyFont="1" applyFill="1" applyBorder="1" applyAlignment="1">
      <alignment horizontal="center" vertical="center"/>
    </xf>
    <xf numFmtId="0" fontId="1" fillId="0" borderId="0" xfId="1" applyFont="1" applyAlignment="1">
      <alignment vertical="center"/>
    </xf>
    <xf numFmtId="0" fontId="1" fillId="5" borderId="12" xfId="1" applyFont="1" applyFill="1" applyBorder="1" applyAlignment="1">
      <alignment horizontal="left" vertical="center"/>
    </xf>
    <xf numFmtId="0" fontId="1" fillId="8" borderId="12" xfId="1" applyFont="1" applyFill="1" applyBorder="1" applyAlignment="1">
      <alignment horizontal="left" vertical="center"/>
    </xf>
    <xf numFmtId="0" fontId="1" fillId="10" borderId="12" xfId="1" applyFont="1" applyFill="1" applyBorder="1" applyAlignment="1">
      <alignment horizontal="left" vertical="center"/>
    </xf>
    <xf numFmtId="0" fontId="1" fillId="6" borderId="12" xfId="1" applyFont="1" applyFill="1" applyBorder="1" applyAlignment="1">
      <alignment horizontal="left" vertical="center"/>
    </xf>
    <xf numFmtId="0" fontId="1" fillId="7" borderId="12" xfId="1" applyFont="1" applyFill="1" applyBorder="1" applyAlignment="1">
      <alignment horizontal="left" vertical="center"/>
    </xf>
    <xf numFmtId="0" fontId="1" fillId="0" borderId="27" xfId="1" applyFont="1" applyBorder="1" applyAlignment="1">
      <alignment horizontal="center" vertical="center"/>
    </xf>
    <xf numFmtId="0" fontId="1" fillId="0" borderId="28" xfId="1" applyFont="1" applyBorder="1" applyAlignment="1">
      <alignment horizontal="center" vertical="center"/>
    </xf>
    <xf numFmtId="0" fontId="1" fillId="12" borderId="3" xfId="1" applyFont="1" applyFill="1" applyBorder="1" applyAlignment="1">
      <alignment horizontal="center" vertical="center"/>
    </xf>
    <xf numFmtId="0" fontId="1" fillId="12" borderId="2" xfId="1" applyFont="1" applyFill="1" applyBorder="1" applyAlignment="1">
      <alignment horizontal="center" vertical="center"/>
    </xf>
    <xf numFmtId="0" fontId="1" fillId="12" borderId="1" xfId="1" applyFont="1" applyFill="1" applyBorder="1" applyAlignment="1">
      <alignment horizontal="center" vertical="center"/>
    </xf>
    <xf numFmtId="176" fontId="7" fillId="7" borderId="8" xfId="1" applyNumberFormat="1" applyFont="1" applyFill="1" applyBorder="1" applyAlignment="1">
      <alignment horizontal="center" vertical="center"/>
    </xf>
    <xf numFmtId="176" fontId="7" fillId="7" borderId="6" xfId="1" applyNumberFormat="1" applyFont="1" applyFill="1" applyBorder="1" applyAlignment="1">
      <alignment horizontal="center" vertical="center"/>
    </xf>
    <xf numFmtId="176" fontId="7" fillId="7" borderId="5" xfId="1" applyNumberFormat="1" applyFont="1" applyFill="1" applyBorder="1" applyAlignment="1">
      <alignment horizontal="center" vertical="center"/>
    </xf>
    <xf numFmtId="0" fontId="1" fillId="12" borderId="9" xfId="1" applyFont="1" applyFill="1" applyBorder="1" applyAlignment="1">
      <alignment horizontal="center" vertical="center"/>
    </xf>
    <xf numFmtId="0" fontId="1" fillId="12" borderId="8" xfId="1" applyFont="1" applyFill="1" applyBorder="1" applyAlignment="1">
      <alignment horizontal="center" vertical="center"/>
    </xf>
    <xf numFmtId="0" fontId="1" fillId="12" borderId="7" xfId="1" applyFont="1" applyFill="1" applyBorder="1" applyAlignment="1">
      <alignment horizontal="center" vertical="center"/>
    </xf>
    <xf numFmtId="0" fontId="1" fillId="12" borderId="6" xfId="1" applyFont="1" applyFill="1" applyBorder="1" applyAlignment="1">
      <alignment horizontal="center" vertical="center"/>
    </xf>
    <xf numFmtId="176" fontId="7" fillId="5" borderId="8" xfId="1" applyNumberFormat="1" applyFont="1" applyFill="1" applyBorder="1" applyAlignment="1">
      <alignment horizontal="center" vertical="center"/>
    </xf>
    <xf numFmtId="176" fontId="7" fillId="5" borderId="6" xfId="1" applyNumberFormat="1" applyFont="1" applyFill="1" applyBorder="1" applyAlignment="1">
      <alignment horizontal="center" vertical="center"/>
    </xf>
    <xf numFmtId="176" fontId="7" fillId="5" borderId="5" xfId="1" applyNumberFormat="1" applyFont="1" applyFill="1" applyBorder="1" applyAlignment="1">
      <alignment horizontal="center" vertical="center"/>
    </xf>
    <xf numFmtId="176" fontId="7" fillId="8" borderId="8" xfId="1" applyNumberFormat="1" applyFont="1" applyFill="1" applyBorder="1" applyAlignment="1">
      <alignment horizontal="center" vertical="center"/>
    </xf>
    <xf numFmtId="176" fontId="7" fillId="8" borderId="6" xfId="1" applyNumberFormat="1" applyFont="1" applyFill="1" applyBorder="1" applyAlignment="1">
      <alignment horizontal="center" vertical="center"/>
    </xf>
    <xf numFmtId="176" fontId="7" fillId="8" borderId="5" xfId="1" applyNumberFormat="1" applyFont="1" applyFill="1" applyBorder="1" applyAlignment="1">
      <alignment horizontal="center" vertical="center"/>
    </xf>
    <xf numFmtId="176" fontId="7" fillId="10" borderId="8" xfId="1" applyNumberFormat="1" applyFont="1" applyFill="1" applyBorder="1" applyAlignment="1">
      <alignment horizontal="center" vertical="center"/>
    </xf>
    <xf numFmtId="176" fontId="7" fillId="10" borderId="6" xfId="1" applyNumberFormat="1" applyFont="1" applyFill="1" applyBorder="1" applyAlignment="1">
      <alignment horizontal="center" vertical="center"/>
    </xf>
    <xf numFmtId="176" fontId="7" fillId="10" borderId="5" xfId="1" applyNumberFormat="1" applyFont="1" applyFill="1" applyBorder="1" applyAlignment="1">
      <alignment horizontal="center" vertical="center"/>
    </xf>
    <xf numFmtId="176" fontId="7" fillId="6" borderId="8" xfId="1" applyNumberFormat="1" applyFont="1" applyFill="1" applyBorder="1" applyAlignment="1">
      <alignment horizontal="center" vertical="center"/>
    </xf>
    <xf numFmtId="176" fontId="7" fillId="6" borderId="6" xfId="1" applyNumberFormat="1" applyFont="1" applyFill="1" applyBorder="1" applyAlignment="1">
      <alignment horizontal="center" vertical="center"/>
    </xf>
    <xf numFmtId="176" fontId="7" fillId="6" borderId="5" xfId="1" applyNumberFormat="1" applyFont="1" applyFill="1" applyBorder="1" applyAlignment="1">
      <alignment horizontal="center" vertical="center"/>
    </xf>
    <xf numFmtId="176" fontId="7" fillId="2" borderId="8" xfId="1" applyNumberFormat="1" applyFont="1" applyFill="1" applyBorder="1" applyAlignment="1">
      <alignment horizontal="center" vertical="center"/>
    </xf>
    <xf numFmtId="176" fontId="7" fillId="2" borderId="6" xfId="1" applyNumberFormat="1" applyFont="1" applyFill="1" applyBorder="1" applyAlignment="1">
      <alignment horizontal="center" vertical="center"/>
    </xf>
    <xf numFmtId="176" fontId="7" fillId="2" borderId="5" xfId="1" applyNumberFormat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176" fontId="7" fillId="3" borderId="8" xfId="1" applyNumberFormat="1" applyFont="1" applyFill="1" applyBorder="1" applyAlignment="1">
      <alignment horizontal="center" vertical="center"/>
    </xf>
    <xf numFmtId="176" fontId="7" fillId="3" borderId="6" xfId="1" applyNumberFormat="1" applyFont="1" applyFill="1" applyBorder="1" applyAlignment="1">
      <alignment horizontal="center" vertical="center"/>
    </xf>
    <xf numFmtId="176" fontId="7" fillId="3" borderId="5" xfId="1" applyNumberFormat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7" fillId="3" borderId="18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7" fillId="3" borderId="20" xfId="1" applyFont="1" applyFill="1" applyBorder="1" applyAlignment="1">
      <alignment horizontal="center" vertical="center"/>
    </xf>
    <xf numFmtId="0" fontId="7" fillId="3" borderId="16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8" borderId="3" xfId="1" applyFont="1" applyFill="1" applyBorder="1" applyAlignment="1">
      <alignment horizontal="center" vertical="center"/>
    </xf>
    <xf numFmtId="0" fontId="2" fillId="8" borderId="2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2" fillId="10" borderId="3" xfId="1" applyFont="1" applyFill="1" applyBorder="1" applyAlignment="1">
      <alignment horizontal="center" vertical="center"/>
    </xf>
    <xf numFmtId="0" fontId="2" fillId="10" borderId="2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6" borderId="3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7" fillId="9" borderId="23" xfId="1" applyFont="1" applyFill="1" applyBorder="1" applyAlignment="1">
      <alignment horizontal="center" vertical="center"/>
    </xf>
    <xf numFmtId="0" fontId="7" fillId="9" borderId="22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9" borderId="21" xfId="1" applyFont="1" applyFill="1" applyBorder="1" applyAlignment="1">
      <alignment horizontal="center" vertical="center"/>
    </xf>
    <xf numFmtId="0" fontId="7" fillId="9" borderId="20" xfId="1" applyFont="1" applyFill="1" applyBorder="1" applyAlignment="1">
      <alignment horizontal="center" vertical="center"/>
    </xf>
    <xf numFmtId="0" fontId="7" fillId="9" borderId="16" xfId="1" applyFont="1" applyFill="1" applyBorder="1" applyAlignment="1">
      <alignment horizontal="center" vertical="center"/>
    </xf>
    <xf numFmtId="0" fontId="7" fillId="11" borderId="23" xfId="1" applyFont="1" applyFill="1" applyBorder="1" applyAlignment="1">
      <alignment horizontal="center" vertical="center"/>
    </xf>
    <xf numFmtId="0" fontId="7" fillId="11" borderId="22" xfId="1" applyFont="1" applyFill="1" applyBorder="1" applyAlignment="1">
      <alignment horizontal="center" vertical="center"/>
    </xf>
    <xf numFmtId="0" fontId="7" fillId="11" borderId="18" xfId="1" applyFont="1" applyFill="1" applyBorder="1" applyAlignment="1">
      <alignment horizontal="center" vertical="center"/>
    </xf>
    <xf numFmtId="0" fontId="7" fillId="11" borderId="21" xfId="1" applyFont="1" applyFill="1" applyBorder="1" applyAlignment="1">
      <alignment horizontal="center" vertical="center"/>
    </xf>
    <xf numFmtId="0" fontId="7" fillId="11" borderId="20" xfId="1" applyFont="1" applyFill="1" applyBorder="1" applyAlignment="1">
      <alignment horizontal="center" vertical="center"/>
    </xf>
    <xf numFmtId="0" fontId="7" fillId="11" borderId="16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8" xfId="1" applyFont="1" applyFill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7" borderId="17" xfId="1" applyFont="1" applyFill="1" applyBorder="1" applyAlignment="1">
      <alignment horizontal="center" vertical="center"/>
    </xf>
    <xf numFmtId="0" fontId="1" fillId="7" borderId="25" xfId="1" applyFont="1" applyFill="1" applyBorder="1" applyAlignment="1">
      <alignment horizontal="center" vertical="center"/>
    </xf>
    <xf numFmtId="0" fontId="1" fillId="7" borderId="24" xfId="1" applyFont="1" applyFill="1" applyBorder="1" applyAlignment="1">
      <alignment horizontal="center" vertical="center"/>
    </xf>
    <xf numFmtId="0" fontId="1" fillId="7" borderId="4" xfId="1" applyFont="1" applyFill="1" applyBorder="1" applyAlignment="1">
      <alignment horizontal="center" vertical="center"/>
    </xf>
    <xf numFmtId="0" fontId="1" fillId="7" borderId="5" xfId="1" applyFont="1" applyFill="1" applyBorder="1" applyAlignment="1">
      <alignment horizontal="center" vertical="center"/>
    </xf>
    <xf numFmtId="0" fontId="2" fillId="8" borderId="9" xfId="1" applyFont="1" applyFill="1" applyBorder="1" applyAlignment="1">
      <alignment horizontal="center" vertical="center"/>
    </xf>
    <xf numFmtId="0" fontId="2" fillId="8" borderId="8" xfId="1" applyFont="1" applyFill="1" applyBorder="1" applyAlignment="1">
      <alignment horizontal="center" vertical="center"/>
    </xf>
    <xf numFmtId="0" fontId="2" fillId="8" borderId="10" xfId="1" applyFont="1" applyFill="1" applyBorder="1" applyAlignment="1">
      <alignment horizontal="center" vertical="center"/>
    </xf>
    <xf numFmtId="0" fontId="2" fillId="8" borderId="17" xfId="1" applyFont="1" applyFill="1" applyBorder="1" applyAlignment="1">
      <alignment horizontal="center" vertical="center"/>
    </xf>
    <xf numFmtId="0" fontId="1" fillId="8" borderId="25" xfId="1" applyFont="1" applyFill="1" applyBorder="1" applyAlignment="1">
      <alignment horizontal="center" vertical="center"/>
    </xf>
    <xf numFmtId="0" fontId="1" fillId="8" borderId="24" xfId="1" applyFont="1" applyFill="1" applyBorder="1" applyAlignment="1">
      <alignment horizontal="center" vertical="center"/>
    </xf>
    <xf numFmtId="0" fontId="1" fillId="8" borderId="4" xfId="1" applyFont="1" applyFill="1" applyBorder="1" applyAlignment="1">
      <alignment horizontal="center" vertical="center"/>
    </xf>
    <xf numFmtId="0" fontId="1" fillId="8" borderId="5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2" fillId="5" borderId="17" xfId="1" applyFont="1" applyFill="1" applyBorder="1" applyAlignment="1">
      <alignment horizontal="center" vertical="center"/>
    </xf>
    <xf numFmtId="0" fontId="1" fillId="12" borderId="10" xfId="1" applyFont="1" applyFill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13" borderId="9" xfId="1" applyFont="1" applyFill="1" applyBorder="1" applyAlignment="1">
      <alignment horizontal="center" vertical="center"/>
    </xf>
    <xf numFmtId="0" fontId="1" fillId="13" borderId="10" xfId="1" applyFont="1" applyFill="1" applyBorder="1" applyAlignment="1">
      <alignment horizontal="center" vertical="center"/>
    </xf>
    <xf numFmtId="9" fontId="1" fillId="0" borderId="7" xfId="1" applyNumberFormat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10" borderId="9" xfId="1" applyFont="1" applyFill="1" applyBorder="1" applyAlignment="1">
      <alignment horizontal="center" vertical="center"/>
    </xf>
    <xf numFmtId="0" fontId="2" fillId="10" borderId="8" xfId="1" applyFont="1" applyFill="1" applyBorder="1" applyAlignment="1">
      <alignment horizontal="center" vertical="center"/>
    </xf>
    <xf numFmtId="0" fontId="2" fillId="10" borderId="10" xfId="1" applyFont="1" applyFill="1" applyBorder="1" applyAlignment="1">
      <alignment horizontal="center" vertical="center"/>
    </xf>
    <xf numFmtId="0" fontId="2" fillId="10" borderId="17" xfId="1" applyFont="1" applyFill="1" applyBorder="1" applyAlignment="1">
      <alignment horizontal="center" vertical="center"/>
    </xf>
    <xf numFmtId="0" fontId="1" fillId="5" borderId="25" xfId="1" applyFont="1" applyFill="1" applyBorder="1" applyAlignment="1">
      <alignment horizontal="center" vertical="center"/>
    </xf>
    <xf numFmtId="0" fontId="1" fillId="5" borderId="24" xfId="1" applyFont="1" applyFill="1" applyBorder="1" applyAlignment="1">
      <alignment horizontal="center" vertical="center"/>
    </xf>
    <xf numFmtId="0" fontId="1" fillId="5" borderId="4" xfId="1" applyFont="1" applyFill="1" applyBorder="1" applyAlignment="1">
      <alignment horizontal="center" vertical="center"/>
    </xf>
    <xf numFmtId="0" fontId="1" fillId="5" borderId="5" xfId="1" applyFont="1" applyFill="1" applyBorder="1" applyAlignment="1">
      <alignment horizontal="center" vertical="center"/>
    </xf>
    <xf numFmtId="0" fontId="1" fillId="10" borderId="25" xfId="1" applyFont="1" applyFill="1" applyBorder="1" applyAlignment="1">
      <alignment horizontal="center" vertical="center"/>
    </xf>
    <xf numFmtId="0" fontId="1" fillId="10" borderId="24" xfId="1" applyFont="1" applyFill="1" applyBorder="1" applyAlignment="1">
      <alignment horizontal="center" vertical="center"/>
    </xf>
    <xf numFmtId="0" fontId="1" fillId="10" borderId="4" xfId="1" applyFont="1" applyFill="1" applyBorder="1" applyAlignment="1">
      <alignment horizontal="center" vertical="center"/>
    </xf>
    <xf numFmtId="0" fontId="1" fillId="10" borderId="5" xfId="1" applyFont="1" applyFill="1" applyBorder="1" applyAlignment="1">
      <alignment horizontal="center" vertical="center"/>
    </xf>
    <xf numFmtId="0" fontId="2" fillId="6" borderId="9" xfId="1" applyFont="1" applyFill="1" applyBorder="1" applyAlignment="1">
      <alignment horizontal="center" vertical="center"/>
    </xf>
    <xf numFmtId="0" fontId="2" fillId="6" borderId="8" xfId="1" applyFont="1" applyFill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0" fontId="2" fillId="6" borderId="17" xfId="1" applyFont="1" applyFill="1" applyBorder="1" applyAlignment="1">
      <alignment horizontal="center" vertical="center"/>
    </xf>
    <xf numFmtId="0" fontId="1" fillId="6" borderId="25" xfId="1" applyFont="1" applyFill="1" applyBorder="1" applyAlignment="1">
      <alignment horizontal="center" vertical="center"/>
    </xf>
    <xf numFmtId="0" fontId="1" fillId="6" borderId="24" xfId="1" applyFont="1" applyFill="1" applyBorder="1" applyAlignment="1">
      <alignment horizontal="center" vertical="center"/>
    </xf>
    <xf numFmtId="0" fontId="1" fillId="6" borderId="4" xfId="1" applyFont="1" applyFill="1" applyBorder="1" applyAlignment="1">
      <alignment horizontal="center" vertical="center"/>
    </xf>
    <xf numFmtId="0" fontId="1" fillId="6" borderId="5" xfId="1" applyFont="1" applyFill="1" applyBorder="1" applyAlignment="1">
      <alignment horizontal="center" vertical="center"/>
    </xf>
    <xf numFmtId="0" fontId="1" fillId="13" borderId="19" xfId="1" applyFont="1" applyFill="1" applyBorder="1" applyAlignment="1">
      <alignment horizontal="center" vertical="center"/>
    </xf>
    <xf numFmtId="0" fontId="1" fillId="13" borderId="17" xfId="1" applyFont="1" applyFill="1" applyBorder="1" applyAlignment="1">
      <alignment horizontal="center" vertical="center"/>
    </xf>
    <xf numFmtId="9" fontId="1" fillId="0" borderId="18" xfId="1" applyNumberFormat="1" applyFont="1" applyBorder="1" applyAlignment="1">
      <alignment horizontal="center" vertical="center"/>
    </xf>
    <xf numFmtId="176" fontId="7" fillId="11" borderId="8" xfId="1" applyNumberFormat="1" applyFont="1" applyFill="1" applyBorder="1" applyAlignment="1">
      <alignment horizontal="center" vertical="center"/>
    </xf>
    <xf numFmtId="176" fontId="7" fillId="11" borderId="6" xfId="1" applyNumberFormat="1" applyFont="1" applyFill="1" applyBorder="1" applyAlignment="1">
      <alignment horizontal="center" vertical="center"/>
    </xf>
    <xf numFmtId="176" fontId="7" fillId="11" borderId="5" xfId="1" applyNumberFormat="1" applyFont="1" applyFill="1" applyBorder="1" applyAlignment="1">
      <alignment horizontal="center" vertical="center"/>
    </xf>
    <xf numFmtId="0" fontId="7" fillId="4" borderId="23" xfId="1" applyFont="1" applyFill="1" applyBorder="1" applyAlignment="1">
      <alignment horizontal="center" vertical="center"/>
    </xf>
    <xf numFmtId="0" fontId="7" fillId="4" borderId="22" xfId="1" applyFont="1" applyFill="1" applyBorder="1" applyAlignment="1">
      <alignment horizontal="center" vertical="center"/>
    </xf>
    <xf numFmtId="0" fontId="7" fillId="4" borderId="18" xfId="1" applyFont="1" applyFill="1" applyBorder="1" applyAlignment="1">
      <alignment horizontal="center" vertical="center"/>
    </xf>
    <xf numFmtId="0" fontId="7" fillId="4" borderId="21" xfId="1" applyFont="1" applyFill="1" applyBorder="1" applyAlignment="1">
      <alignment horizontal="center" vertical="center"/>
    </xf>
    <xf numFmtId="0" fontId="7" fillId="4" borderId="20" xfId="1" applyFont="1" applyFill="1" applyBorder="1" applyAlignment="1">
      <alignment horizontal="center" vertical="center"/>
    </xf>
    <xf numFmtId="0" fontId="7" fillId="4" borderId="16" xfId="1" applyFont="1" applyFill="1" applyBorder="1" applyAlignment="1">
      <alignment horizontal="center" vertical="center"/>
    </xf>
    <xf numFmtId="176" fontId="7" fillId="4" borderId="8" xfId="1" applyNumberFormat="1" applyFont="1" applyFill="1" applyBorder="1" applyAlignment="1">
      <alignment horizontal="center" vertical="center"/>
    </xf>
    <xf numFmtId="176" fontId="7" fillId="4" borderId="6" xfId="1" applyNumberFormat="1" applyFont="1" applyFill="1" applyBorder="1" applyAlignment="1">
      <alignment horizontal="center" vertical="center"/>
    </xf>
    <xf numFmtId="176" fontId="7" fillId="4" borderId="5" xfId="1" applyNumberFormat="1" applyFont="1" applyFill="1" applyBorder="1" applyAlignment="1">
      <alignment horizontal="center" vertical="center"/>
    </xf>
    <xf numFmtId="176" fontId="7" fillId="9" borderId="8" xfId="1" applyNumberFormat="1" applyFont="1" applyFill="1" applyBorder="1" applyAlignment="1">
      <alignment horizontal="center" vertical="center"/>
    </xf>
    <xf numFmtId="176" fontId="7" fillId="9" borderId="6" xfId="1" applyNumberFormat="1" applyFont="1" applyFill="1" applyBorder="1" applyAlignment="1">
      <alignment horizontal="center" vertical="center"/>
    </xf>
    <xf numFmtId="176" fontId="7" fillId="9" borderId="5" xfId="1" applyNumberFormat="1" applyFont="1" applyFill="1" applyBorder="1" applyAlignment="1">
      <alignment horizontal="center" vertical="center"/>
    </xf>
    <xf numFmtId="0" fontId="1" fillId="13" borderId="14" xfId="1" applyFont="1" applyFill="1" applyBorder="1" applyAlignment="1">
      <alignment horizontal="center" vertical="center"/>
    </xf>
    <xf numFmtId="9" fontId="1" fillId="0" borderId="0" xfId="1" applyNumberFormat="1" applyFont="1" applyBorder="1" applyAlignment="1">
      <alignment horizontal="center" vertical="center"/>
    </xf>
    <xf numFmtId="9" fontId="1" fillId="0" borderId="21" xfId="1" applyNumberFormat="1" applyFont="1" applyBorder="1" applyAlignment="1">
      <alignment horizontal="center" vertical="center"/>
    </xf>
    <xf numFmtId="0" fontId="1" fillId="13" borderId="29" xfId="1" applyFont="1" applyFill="1" applyBorder="1" applyAlignment="1">
      <alignment horizontal="center" vertical="center"/>
    </xf>
    <xf numFmtId="0" fontId="1" fillId="13" borderId="30" xfId="1" applyFont="1" applyFill="1" applyBorder="1" applyAlignment="1">
      <alignment horizontal="center" vertical="center"/>
    </xf>
    <xf numFmtId="0" fontId="1" fillId="0" borderId="31" xfId="1" applyFont="1" applyBorder="1" applyAlignment="1">
      <alignment horizontal="center" vertical="center"/>
    </xf>
    <xf numFmtId="0" fontId="1" fillId="13" borderId="8" xfId="1" applyFont="1" applyFill="1" applyBorder="1" applyAlignment="1">
      <alignment horizontal="center" vertical="center"/>
    </xf>
    <xf numFmtId="9" fontId="1" fillId="0" borderId="6" xfId="1" applyNumberFormat="1" applyFont="1" applyBorder="1" applyAlignment="1">
      <alignment horizontal="center" vertical="center"/>
    </xf>
    <xf numFmtId="0" fontId="1" fillId="13" borderId="30" xfId="1" applyFont="1" applyFill="1" applyBorder="1" applyAlignment="1">
      <alignment horizontal="center" vertical="center"/>
    </xf>
    <xf numFmtId="0" fontId="1" fillId="12" borderId="29" xfId="1" applyFont="1" applyFill="1" applyBorder="1" applyAlignment="1">
      <alignment horizontal="center" vertical="center"/>
    </xf>
    <xf numFmtId="0" fontId="1" fillId="12" borderId="30" xfId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9" fontId="1" fillId="0" borderId="10" xfId="1" applyNumberFormat="1" applyFont="1" applyBorder="1" applyAlignment="1">
      <alignment horizontal="center" vertical="center"/>
    </xf>
    <xf numFmtId="9" fontId="1" fillId="0" borderId="30" xfId="1" applyNumberFormat="1" applyFont="1" applyBorder="1" applyAlignment="1">
      <alignment horizontal="center" vertical="center"/>
    </xf>
    <xf numFmtId="9" fontId="1" fillId="0" borderId="17" xfId="1" applyNumberFormat="1" applyFont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/>
    </xf>
    <xf numFmtId="0" fontId="7" fillId="2" borderId="32" xfId="1" applyFont="1" applyFill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/>
    </xf>
    <xf numFmtId="0" fontId="7" fillId="2" borderId="34" xfId="1" applyFont="1" applyFill="1" applyBorder="1" applyAlignment="1">
      <alignment horizontal="center" vertical="center"/>
    </xf>
    <xf numFmtId="0" fontId="7" fillId="3" borderId="32" xfId="1" applyFont="1" applyFill="1" applyBorder="1" applyAlignment="1">
      <alignment horizontal="center" vertical="center"/>
    </xf>
    <xf numFmtId="0" fontId="7" fillId="3" borderId="33" xfId="1" applyFont="1" applyFill="1" applyBorder="1" applyAlignment="1">
      <alignment horizontal="center" vertical="center"/>
    </xf>
    <xf numFmtId="0" fontId="7" fillId="3" borderId="34" xfId="1" applyFont="1" applyFill="1" applyBorder="1" applyAlignment="1">
      <alignment horizontal="center" vertical="center"/>
    </xf>
    <xf numFmtId="0" fontId="7" fillId="11" borderId="32" xfId="1" applyFont="1" applyFill="1" applyBorder="1" applyAlignment="1">
      <alignment horizontal="center" vertical="center"/>
    </xf>
    <xf numFmtId="0" fontId="7" fillId="11" borderId="33" xfId="1" applyFont="1" applyFill="1" applyBorder="1" applyAlignment="1">
      <alignment horizontal="center" vertical="center"/>
    </xf>
    <xf numFmtId="0" fontId="7" fillId="11" borderId="34" xfId="1" applyFont="1" applyFill="1" applyBorder="1" applyAlignment="1">
      <alignment horizontal="center" vertical="center"/>
    </xf>
    <xf numFmtId="0" fontId="7" fillId="9" borderId="32" xfId="1" applyFont="1" applyFill="1" applyBorder="1" applyAlignment="1">
      <alignment horizontal="center" vertical="center"/>
    </xf>
    <xf numFmtId="0" fontId="7" fillId="9" borderId="33" xfId="1" applyFont="1" applyFill="1" applyBorder="1" applyAlignment="1">
      <alignment horizontal="center" vertical="center"/>
    </xf>
    <xf numFmtId="0" fontId="7" fillId="9" borderId="34" xfId="1" applyFont="1" applyFill="1" applyBorder="1" applyAlignment="1">
      <alignment horizontal="center" vertical="center"/>
    </xf>
    <xf numFmtId="0" fontId="7" fillId="4" borderId="32" xfId="1" applyFont="1" applyFill="1" applyBorder="1" applyAlignment="1">
      <alignment horizontal="center" vertical="center"/>
    </xf>
    <xf numFmtId="0" fontId="7" fillId="4" borderId="33" xfId="1" applyFont="1" applyFill="1" applyBorder="1" applyAlignment="1">
      <alignment horizontal="center" vertical="center"/>
    </xf>
    <xf numFmtId="0" fontId="7" fillId="4" borderId="34" xfId="1" applyFont="1" applyFill="1" applyBorder="1" applyAlignment="1">
      <alignment horizontal="center" vertical="center"/>
    </xf>
    <xf numFmtId="9" fontId="1" fillId="0" borderId="19" xfId="1" applyNumberFormat="1" applyFont="1" applyBorder="1" applyAlignment="1">
      <alignment horizontal="center" vertical="center"/>
    </xf>
    <xf numFmtId="9" fontId="1" fillId="0" borderId="15" xfId="1" applyNumberFormat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7" fillId="4" borderId="39" xfId="1" applyFont="1" applyFill="1" applyBorder="1" applyAlignment="1">
      <alignment horizontal="center" vertical="center"/>
    </xf>
    <xf numFmtId="0" fontId="7" fillId="4" borderId="36" xfId="1" applyFont="1" applyFill="1" applyBorder="1" applyAlignment="1">
      <alignment horizontal="center" vertical="center"/>
    </xf>
    <xf numFmtId="0" fontId="7" fillId="4" borderId="37" xfId="1" applyFont="1" applyFill="1" applyBorder="1" applyAlignment="1">
      <alignment horizontal="center" vertical="center"/>
    </xf>
    <xf numFmtId="0" fontId="7" fillId="9" borderId="39" xfId="1" applyFont="1" applyFill="1" applyBorder="1" applyAlignment="1">
      <alignment horizontal="center" vertical="center"/>
    </xf>
    <xf numFmtId="0" fontId="7" fillId="9" borderId="36" xfId="1" applyFont="1" applyFill="1" applyBorder="1" applyAlignment="1">
      <alignment horizontal="center" vertical="center"/>
    </xf>
    <xf numFmtId="0" fontId="7" fillId="9" borderId="37" xfId="1" applyFont="1" applyFill="1" applyBorder="1" applyAlignment="1">
      <alignment horizontal="center" vertical="center"/>
    </xf>
    <xf numFmtId="0" fontId="7" fillId="11" borderId="39" xfId="1" applyFont="1" applyFill="1" applyBorder="1" applyAlignment="1">
      <alignment horizontal="center" vertical="center"/>
    </xf>
    <xf numFmtId="0" fontId="7" fillId="11" borderId="36" xfId="1" applyFont="1" applyFill="1" applyBorder="1" applyAlignment="1">
      <alignment horizontal="center" vertical="center"/>
    </xf>
    <xf numFmtId="0" fontId="7" fillId="11" borderId="37" xfId="1" applyFont="1" applyFill="1" applyBorder="1" applyAlignment="1">
      <alignment horizontal="center" vertical="center"/>
    </xf>
    <xf numFmtId="0" fontId="7" fillId="3" borderId="39" xfId="1" applyFont="1" applyFill="1" applyBorder="1" applyAlignment="1">
      <alignment horizontal="center" vertical="center"/>
    </xf>
    <xf numFmtId="0" fontId="7" fillId="3" borderId="36" xfId="1" applyFont="1" applyFill="1" applyBorder="1" applyAlignment="1">
      <alignment horizontal="center" vertical="center"/>
    </xf>
    <xf numFmtId="0" fontId="7" fillId="3" borderId="37" xfId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7" fillId="2" borderId="39" xfId="1" applyFont="1" applyFill="1" applyBorder="1" applyAlignment="1">
      <alignment horizontal="center" vertical="center"/>
    </xf>
    <xf numFmtId="0" fontId="7" fillId="2" borderId="37" xfId="1" applyFont="1" applyFill="1" applyBorder="1" applyAlignment="1">
      <alignment horizontal="center" vertical="center"/>
    </xf>
    <xf numFmtId="0" fontId="1" fillId="13" borderId="40" xfId="1" applyFont="1" applyFill="1" applyBorder="1" applyAlignment="1">
      <alignment horizontal="center" vertical="center"/>
    </xf>
    <xf numFmtId="0" fontId="1" fillId="13" borderId="41" xfId="1" applyFont="1" applyFill="1" applyBorder="1" applyAlignment="1">
      <alignment horizontal="center" vertical="center"/>
    </xf>
    <xf numFmtId="0" fontId="7" fillId="4" borderId="43" xfId="1" applyFont="1" applyFill="1" applyBorder="1" applyAlignment="1">
      <alignment horizontal="center" vertical="center"/>
    </xf>
    <xf numFmtId="0" fontId="7" fillId="4" borderId="44" xfId="1" applyFont="1" applyFill="1" applyBorder="1" applyAlignment="1">
      <alignment horizontal="center" vertical="center"/>
    </xf>
    <xf numFmtId="0" fontId="7" fillId="4" borderId="45" xfId="1" applyFont="1" applyFill="1" applyBorder="1" applyAlignment="1">
      <alignment horizontal="center" vertical="center"/>
    </xf>
    <xf numFmtId="0" fontId="7" fillId="9" borderId="43" xfId="1" applyFont="1" applyFill="1" applyBorder="1" applyAlignment="1">
      <alignment horizontal="center" vertical="center"/>
    </xf>
    <xf numFmtId="0" fontId="7" fillId="9" borderId="44" xfId="1" applyFont="1" applyFill="1" applyBorder="1" applyAlignment="1">
      <alignment horizontal="center" vertical="center"/>
    </xf>
    <xf numFmtId="0" fontId="7" fillId="9" borderId="45" xfId="1" applyFont="1" applyFill="1" applyBorder="1" applyAlignment="1">
      <alignment horizontal="center" vertical="center"/>
    </xf>
    <xf numFmtId="0" fontId="7" fillId="11" borderId="43" xfId="1" applyFont="1" applyFill="1" applyBorder="1" applyAlignment="1">
      <alignment horizontal="center" vertical="center"/>
    </xf>
    <xf numFmtId="0" fontId="7" fillId="11" borderId="44" xfId="1" applyFont="1" applyFill="1" applyBorder="1" applyAlignment="1">
      <alignment horizontal="center" vertical="center"/>
    </xf>
    <xf numFmtId="0" fontId="7" fillId="11" borderId="45" xfId="1" applyFont="1" applyFill="1" applyBorder="1" applyAlignment="1">
      <alignment horizontal="center" vertical="center"/>
    </xf>
    <xf numFmtId="0" fontId="7" fillId="3" borderId="43" xfId="1" applyFont="1" applyFill="1" applyBorder="1" applyAlignment="1">
      <alignment horizontal="center" vertical="center"/>
    </xf>
    <xf numFmtId="0" fontId="7" fillId="3" borderId="44" xfId="1" applyFont="1" applyFill="1" applyBorder="1" applyAlignment="1">
      <alignment horizontal="center" vertical="center"/>
    </xf>
    <xf numFmtId="0" fontId="7" fillId="3" borderId="45" xfId="1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176" fontId="7" fillId="5" borderId="29" xfId="1" applyNumberFormat="1" applyFont="1" applyFill="1" applyBorder="1" applyAlignment="1">
      <alignment horizontal="center" vertical="center"/>
    </xf>
    <xf numFmtId="176" fontId="7" fillId="5" borderId="0" xfId="1" applyNumberFormat="1" applyFont="1" applyFill="1" applyBorder="1" applyAlignment="1">
      <alignment horizontal="center" vertical="center"/>
    </xf>
    <xf numFmtId="176" fontId="7" fillId="5" borderId="31" xfId="1" applyNumberFormat="1" applyFont="1" applyFill="1" applyBorder="1" applyAlignment="1">
      <alignment horizontal="center" vertical="center"/>
    </xf>
    <xf numFmtId="176" fontId="7" fillId="8" borderId="29" xfId="1" applyNumberFormat="1" applyFont="1" applyFill="1" applyBorder="1" applyAlignment="1">
      <alignment horizontal="center" vertical="center"/>
    </xf>
    <xf numFmtId="176" fontId="7" fillId="8" borderId="0" xfId="1" applyNumberFormat="1" applyFont="1" applyFill="1" applyBorder="1" applyAlignment="1">
      <alignment horizontal="center" vertical="center"/>
    </xf>
    <xf numFmtId="176" fontId="7" fillId="8" borderId="31" xfId="1" applyNumberFormat="1" applyFont="1" applyFill="1" applyBorder="1" applyAlignment="1">
      <alignment horizontal="center" vertical="center"/>
    </xf>
    <xf numFmtId="176" fontId="7" fillId="10" borderId="29" xfId="1" applyNumberFormat="1" applyFont="1" applyFill="1" applyBorder="1" applyAlignment="1">
      <alignment horizontal="center" vertical="center"/>
    </xf>
    <xf numFmtId="176" fontId="7" fillId="10" borderId="0" xfId="1" applyNumberFormat="1" applyFont="1" applyFill="1" applyBorder="1" applyAlignment="1">
      <alignment horizontal="center" vertical="center"/>
    </xf>
    <xf numFmtId="176" fontId="7" fillId="10" borderId="31" xfId="1" applyNumberFormat="1" applyFont="1" applyFill="1" applyBorder="1" applyAlignment="1">
      <alignment horizontal="center" vertical="center"/>
    </xf>
    <xf numFmtId="176" fontId="7" fillId="6" borderId="29" xfId="1" applyNumberFormat="1" applyFont="1" applyFill="1" applyBorder="1" applyAlignment="1">
      <alignment horizontal="center" vertical="center"/>
    </xf>
    <xf numFmtId="176" fontId="7" fillId="6" borderId="0" xfId="1" applyNumberFormat="1" applyFont="1" applyFill="1" applyBorder="1" applyAlignment="1">
      <alignment horizontal="center" vertical="center"/>
    </xf>
    <xf numFmtId="176" fontId="7" fillId="6" borderId="31" xfId="1" applyNumberFormat="1" applyFont="1" applyFill="1" applyBorder="1" applyAlignment="1">
      <alignment horizontal="center" vertical="center"/>
    </xf>
    <xf numFmtId="176" fontId="7" fillId="7" borderId="29" xfId="1" applyNumberFormat="1" applyFont="1" applyFill="1" applyBorder="1" applyAlignment="1">
      <alignment horizontal="center" vertical="center"/>
    </xf>
    <xf numFmtId="176" fontId="7" fillId="7" borderId="0" xfId="1" applyNumberFormat="1" applyFont="1" applyFill="1" applyBorder="1" applyAlignment="1">
      <alignment horizontal="center" vertical="center"/>
    </xf>
    <xf numFmtId="176" fontId="7" fillId="7" borderId="31" xfId="1" applyNumberFormat="1" applyFont="1" applyFill="1" applyBorder="1" applyAlignment="1">
      <alignment horizontal="center" vertical="center"/>
    </xf>
    <xf numFmtId="176" fontId="7" fillId="4" borderId="9" xfId="1" applyNumberFormat="1" applyFont="1" applyFill="1" applyBorder="1" applyAlignment="1">
      <alignment horizontal="center" vertical="center"/>
    </xf>
    <xf numFmtId="176" fontId="7" fillId="4" borderId="7" xfId="1" applyNumberFormat="1" applyFont="1" applyFill="1" applyBorder="1" applyAlignment="1">
      <alignment horizontal="center" vertical="center"/>
    </xf>
    <xf numFmtId="176" fontId="7" fillId="4" borderId="4" xfId="1" applyNumberFormat="1" applyFont="1" applyFill="1" applyBorder="1" applyAlignment="1">
      <alignment horizontal="center" vertical="center"/>
    </xf>
    <xf numFmtId="176" fontId="7" fillId="9" borderId="9" xfId="1" applyNumberFormat="1" applyFont="1" applyFill="1" applyBorder="1" applyAlignment="1">
      <alignment horizontal="center" vertical="center"/>
    </xf>
    <xf numFmtId="176" fontId="7" fillId="9" borderId="7" xfId="1" applyNumberFormat="1" applyFont="1" applyFill="1" applyBorder="1" applyAlignment="1">
      <alignment horizontal="center" vertical="center"/>
    </xf>
    <xf numFmtId="176" fontId="7" fillId="9" borderId="4" xfId="1" applyNumberFormat="1" applyFont="1" applyFill="1" applyBorder="1" applyAlignment="1">
      <alignment horizontal="center" vertical="center"/>
    </xf>
    <xf numFmtId="176" fontId="7" fillId="11" borderId="9" xfId="1" applyNumberFormat="1" applyFont="1" applyFill="1" applyBorder="1" applyAlignment="1">
      <alignment horizontal="center" vertical="center"/>
    </xf>
    <xf numFmtId="176" fontId="7" fillId="11" borderId="7" xfId="1" applyNumberFormat="1" applyFont="1" applyFill="1" applyBorder="1" applyAlignment="1">
      <alignment horizontal="center" vertical="center"/>
    </xf>
    <xf numFmtId="176" fontId="7" fillId="11" borderId="4" xfId="1" applyNumberFormat="1" applyFont="1" applyFill="1" applyBorder="1" applyAlignment="1">
      <alignment horizontal="center" vertical="center"/>
    </xf>
    <xf numFmtId="176" fontId="7" fillId="3" borderId="9" xfId="1" applyNumberFormat="1" applyFont="1" applyFill="1" applyBorder="1" applyAlignment="1">
      <alignment horizontal="center" vertical="center"/>
    </xf>
    <xf numFmtId="176" fontId="7" fillId="3" borderId="7" xfId="1" applyNumberFormat="1" applyFont="1" applyFill="1" applyBorder="1" applyAlignment="1">
      <alignment horizontal="center" vertical="center"/>
    </xf>
    <xf numFmtId="176" fontId="7" fillId="3" borderId="4" xfId="1" applyNumberFormat="1" applyFont="1" applyFill="1" applyBorder="1" applyAlignment="1">
      <alignment horizontal="center" vertical="center"/>
    </xf>
    <xf numFmtId="176" fontId="7" fillId="2" borderId="9" xfId="1" applyNumberFormat="1" applyFont="1" applyFill="1" applyBorder="1" applyAlignment="1">
      <alignment horizontal="center" vertical="center"/>
    </xf>
    <xf numFmtId="176" fontId="7" fillId="2" borderId="7" xfId="1" applyNumberFormat="1" applyFont="1" applyFill="1" applyBorder="1" applyAlignment="1">
      <alignment horizontal="center" vertical="center"/>
    </xf>
    <xf numFmtId="176" fontId="7" fillId="2" borderId="4" xfId="1" applyNumberFormat="1" applyFont="1" applyFill="1" applyBorder="1" applyAlignment="1">
      <alignment horizontal="center" vertical="center"/>
    </xf>
    <xf numFmtId="0" fontId="1" fillId="12" borderId="4" xfId="1" applyFont="1" applyFill="1" applyBorder="1" applyAlignment="1">
      <alignment horizontal="center" vertical="center"/>
    </xf>
    <xf numFmtId="0" fontId="1" fillId="12" borderId="5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0" borderId="46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0" fontId="1" fillId="0" borderId="48" xfId="1" applyFont="1" applyBorder="1" applyAlignment="1">
      <alignment horizontal="center" vertical="center"/>
    </xf>
    <xf numFmtId="0" fontId="1" fillId="0" borderId="46" xfId="1" applyFont="1" applyBorder="1" applyAlignment="1">
      <alignment vertical="center"/>
    </xf>
    <xf numFmtId="0" fontId="1" fillId="0" borderId="48" xfId="1" applyFont="1" applyBorder="1" applyAlignment="1">
      <alignment vertical="center"/>
    </xf>
    <xf numFmtId="177" fontId="1" fillId="0" borderId="46" xfId="1" applyNumberFormat="1" applyFont="1" applyBorder="1" applyAlignment="1">
      <alignment horizontal="center" vertical="center"/>
    </xf>
    <xf numFmtId="177" fontId="1" fillId="0" borderId="47" xfId="1" applyNumberFormat="1" applyFont="1" applyBorder="1" applyAlignment="1">
      <alignment horizontal="center" vertical="center"/>
    </xf>
    <xf numFmtId="177" fontId="1" fillId="0" borderId="48" xfId="1" applyNumberFormat="1" applyFont="1" applyBorder="1" applyAlignment="1">
      <alignment horizontal="center" vertical="center"/>
    </xf>
    <xf numFmtId="177" fontId="1" fillId="0" borderId="42" xfId="1" applyNumberFormat="1" applyFont="1" applyBorder="1" applyAlignment="1">
      <alignment horizontal="center" vertical="center"/>
    </xf>
    <xf numFmtId="177" fontId="1" fillId="0" borderId="49" xfId="1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7E6E2F95-2D8A-45AA-98FE-96835F9B0049}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9FBA7"/>
      <color rgb="FFFFCC99"/>
      <color rgb="FFE4E4E4"/>
      <color rgb="FFFCFBD5"/>
      <color rgb="FFF9DBA5"/>
      <color rgb="FFF7C5B7"/>
      <color rgb="FFFCECD0"/>
      <color rgb="FFEABCDC"/>
      <color rgb="FFF4D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255C-F955-4BF0-B1DF-AEA1AAF682B1}">
  <dimension ref="B2:V38"/>
  <sheetViews>
    <sheetView tabSelected="1" zoomScale="85" zoomScaleNormal="85" workbookViewId="0">
      <selection activeCell="W14" sqref="W14"/>
    </sheetView>
  </sheetViews>
  <sheetFormatPr defaultRowHeight="16.5"/>
  <cols>
    <col min="1" max="1" width="9" style="11"/>
    <col min="2" max="2" width="7.375" style="11" customWidth="1"/>
    <col min="3" max="3" width="11.125" style="11" customWidth="1"/>
    <col min="4" max="4" width="13.125" style="11" customWidth="1"/>
    <col min="5" max="5" width="13.5" style="11" customWidth="1"/>
    <col min="6" max="18" width="7.125" style="11" bestFit="1" customWidth="1"/>
    <col min="19" max="16384" width="9" style="11"/>
  </cols>
  <sheetData>
    <row r="2" spans="2:22" ht="13.5" customHeight="1"/>
    <row r="3" spans="2:22" ht="14.25" customHeight="1" thickBot="1">
      <c r="S3" s="18" t="s">
        <v>43</v>
      </c>
      <c r="T3" s="17">
        <v>22</v>
      </c>
    </row>
    <row r="4" spans="2:22">
      <c r="B4" s="19" t="s">
        <v>42</v>
      </c>
      <c r="C4" s="19" t="s">
        <v>41</v>
      </c>
      <c r="D4" s="25" t="s">
        <v>8</v>
      </c>
      <c r="E4" s="161"/>
      <c r="F4" s="107" t="s">
        <v>7</v>
      </c>
      <c r="G4" s="155"/>
      <c r="H4" s="158"/>
      <c r="I4" s="107" t="s">
        <v>6</v>
      </c>
      <c r="J4" s="155"/>
      <c r="K4" s="158"/>
      <c r="L4" s="107" t="s">
        <v>5</v>
      </c>
      <c r="M4" s="155"/>
      <c r="N4" s="158"/>
      <c r="O4" s="209" t="s">
        <v>4</v>
      </c>
      <c r="P4" s="152"/>
      <c r="Q4" s="152"/>
      <c r="R4" s="210"/>
      <c r="S4" s="107" t="s">
        <v>3</v>
      </c>
      <c r="T4" s="158"/>
      <c r="U4" s="25" t="s">
        <v>40</v>
      </c>
      <c r="V4" s="26"/>
    </row>
    <row r="5" spans="2:22">
      <c r="B5" s="20"/>
      <c r="C5" s="20"/>
      <c r="D5" s="102"/>
      <c r="E5" s="162"/>
      <c r="F5" s="108"/>
      <c r="G5" s="156"/>
      <c r="H5" s="135"/>
      <c r="I5" s="108"/>
      <c r="J5" s="156"/>
      <c r="K5" s="135"/>
      <c r="L5" s="108"/>
      <c r="M5" s="156"/>
      <c r="N5" s="135"/>
      <c r="O5" s="160" t="s">
        <v>2</v>
      </c>
      <c r="P5" s="134" t="s">
        <v>1</v>
      </c>
      <c r="Q5" s="156"/>
      <c r="R5" s="135"/>
      <c r="S5" s="108"/>
      <c r="T5" s="135"/>
      <c r="U5" s="27"/>
      <c r="V5" s="28"/>
    </row>
    <row r="6" spans="2:22">
      <c r="B6" s="20"/>
      <c r="C6" s="20"/>
      <c r="D6" s="103" t="s">
        <v>0</v>
      </c>
      <c r="E6" s="163"/>
      <c r="F6" s="109">
        <v>0.3</v>
      </c>
      <c r="G6" s="153"/>
      <c r="H6" s="159"/>
      <c r="I6" s="109">
        <v>0.15</v>
      </c>
      <c r="J6" s="153"/>
      <c r="K6" s="159"/>
      <c r="L6" s="109">
        <v>0.1</v>
      </c>
      <c r="M6" s="153"/>
      <c r="N6" s="159"/>
      <c r="O6" s="154">
        <v>0.1</v>
      </c>
      <c r="P6" s="136">
        <v>0.15</v>
      </c>
      <c r="Q6" s="153"/>
      <c r="R6" s="159"/>
      <c r="S6" s="109">
        <v>0.2</v>
      </c>
      <c r="T6" s="104"/>
      <c r="U6" s="27"/>
      <c r="V6" s="28"/>
    </row>
    <row r="7" spans="2:22">
      <c r="B7" s="20"/>
      <c r="C7" s="20"/>
      <c r="D7" s="164"/>
      <c r="E7" s="169"/>
      <c r="F7" s="166"/>
      <c r="G7" s="167"/>
      <c r="H7" s="168"/>
      <c r="I7" s="166"/>
      <c r="J7" s="167"/>
      <c r="K7" s="168"/>
      <c r="L7" s="166"/>
      <c r="M7" s="167"/>
      <c r="N7" s="168"/>
      <c r="O7" s="187"/>
      <c r="P7" s="186"/>
      <c r="Q7" s="167"/>
      <c r="R7" s="168"/>
      <c r="S7" s="164"/>
      <c r="T7" s="165"/>
      <c r="U7" s="27"/>
      <c r="V7" s="28"/>
    </row>
    <row r="8" spans="2:22">
      <c r="B8" s="20"/>
      <c r="C8" s="20"/>
      <c r="D8" s="103" t="s">
        <v>49</v>
      </c>
      <c r="E8" s="163"/>
      <c r="F8" s="189" t="s">
        <v>50</v>
      </c>
      <c r="G8" s="193" t="s">
        <v>51</v>
      </c>
      <c r="H8" s="188" t="s">
        <v>52</v>
      </c>
      <c r="I8" s="189" t="s">
        <v>50</v>
      </c>
      <c r="J8" s="191" t="s">
        <v>51</v>
      </c>
      <c r="K8" s="188" t="s">
        <v>52</v>
      </c>
      <c r="L8" s="189" t="s">
        <v>50</v>
      </c>
      <c r="M8" s="191" t="s">
        <v>51</v>
      </c>
      <c r="N8" s="188" t="s">
        <v>52</v>
      </c>
      <c r="O8" s="189" t="s">
        <v>53</v>
      </c>
      <c r="P8" s="193" t="s">
        <v>50</v>
      </c>
      <c r="Q8" s="191" t="s">
        <v>51</v>
      </c>
      <c r="R8" s="188" t="s">
        <v>52</v>
      </c>
      <c r="S8" s="170" t="s">
        <v>54</v>
      </c>
      <c r="T8" s="188"/>
      <c r="U8" s="27"/>
      <c r="V8" s="28"/>
    </row>
    <row r="9" spans="2:22" ht="17.25" thickBot="1">
      <c r="B9" s="21"/>
      <c r="C9" s="21"/>
      <c r="D9" s="105"/>
      <c r="E9" s="157"/>
      <c r="F9" s="190"/>
      <c r="G9" s="110"/>
      <c r="H9" s="106"/>
      <c r="I9" s="190"/>
      <c r="J9" s="192"/>
      <c r="K9" s="106"/>
      <c r="L9" s="190"/>
      <c r="M9" s="192"/>
      <c r="N9" s="106"/>
      <c r="O9" s="190"/>
      <c r="P9" s="110"/>
      <c r="Q9" s="192"/>
      <c r="R9" s="106"/>
      <c r="S9" s="105"/>
      <c r="T9" s="106"/>
      <c r="U9" s="256"/>
      <c r="V9" s="257"/>
    </row>
    <row r="10" spans="2:22" ht="16.5" customHeight="1">
      <c r="B10" s="59" t="s">
        <v>11</v>
      </c>
      <c r="C10" s="12" t="s">
        <v>44</v>
      </c>
      <c r="D10" s="98" t="s">
        <v>12</v>
      </c>
      <c r="E10" s="99"/>
      <c r="F10" s="194"/>
      <c r="G10" s="183"/>
      <c r="H10" s="140"/>
      <c r="I10" s="194"/>
      <c r="J10" s="183"/>
      <c r="K10" s="140"/>
      <c r="L10" s="194"/>
      <c r="M10" s="183"/>
      <c r="N10" s="211"/>
      <c r="O10" s="194">
        <v>7</v>
      </c>
      <c r="P10" s="141"/>
      <c r="Q10" s="183"/>
      <c r="R10" s="211"/>
      <c r="S10" s="241" t="e" cm="1">
        <f t="array" ref="S10">1/T3*10*x</f>
        <v>#NAME?</v>
      </c>
      <c r="T10" s="146"/>
      <c r="U10" s="226" t="e">
        <f>F10*0.3+I10*0.15+L10*0.1+O10*0.1+P10*0.15+S10*0.2</f>
        <v>#NAME?</v>
      </c>
      <c r="V10" s="29"/>
    </row>
    <row r="11" spans="2:22" ht="16.5" customHeight="1">
      <c r="B11" s="60"/>
      <c r="C11" s="10" t="s">
        <v>14</v>
      </c>
      <c r="D11" s="100" t="s">
        <v>13</v>
      </c>
      <c r="E11" s="101"/>
      <c r="F11" s="195"/>
      <c r="G11" s="184"/>
      <c r="H11" s="142"/>
      <c r="I11" s="195"/>
      <c r="J11" s="184"/>
      <c r="K11" s="142"/>
      <c r="L11" s="195"/>
      <c r="M11" s="184"/>
      <c r="N11" s="212"/>
      <c r="O11" s="195"/>
      <c r="P11" s="143"/>
      <c r="Q11" s="184"/>
      <c r="R11" s="212"/>
      <c r="S11" s="242"/>
      <c r="T11" s="147"/>
      <c r="U11" s="227"/>
      <c r="V11" s="30"/>
    </row>
    <row r="12" spans="2:22" ht="16.5" customHeight="1">
      <c r="B12" s="60"/>
      <c r="C12" s="10" t="s">
        <v>16</v>
      </c>
      <c r="D12" s="118" t="s">
        <v>33</v>
      </c>
      <c r="E12" s="119"/>
      <c r="F12" s="195"/>
      <c r="G12" s="184"/>
      <c r="H12" s="142"/>
      <c r="I12" s="195"/>
      <c r="J12" s="184"/>
      <c r="K12" s="142"/>
      <c r="L12" s="195"/>
      <c r="M12" s="184"/>
      <c r="N12" s="212"/>
      <c r="O12" s="195"/>
      <c r="P12" s="143"/>
      <c r="Q12" s="184"/>
      <c r="R12" s="212"/>
      <c r="S12" s="242"/>
      <c r="T12" s="147"/>
      <c r="U12" s="227"/>
      <c r="V12" s="30"/>
    </row>
    <row r="13" spans="2:22" ht="16.5" customHeight="1" thickBot="1">
      <c r="B13" s="258"/>
      <c r="C13" s="259" t="s">
        <v>15</v>
      </c>
      <c r="D13" s="120"/>
      <c r="E13" s="121"/>
      <c r="F13" s="196"/>
      <c r="G13" s="185"/>
      <c r="H13" s="144"/>
      <c r="I13" s="196"/>
      <c r="J13" s="185"/>
      <c r="K13" s="144"/>
      <c r="L13" s="196"/>
      <c r="M13" s="185"/>
      <c r="N13" s="213"/>
      <c r="O13" s="196"/>
      <c r="P13" s="145"/>
      <c r="Q13" s="185"/>
      <c r="R13" s="213"/>
      <c r="S13" s="243"/>
      <c r="T13" s="148"/>
      <c r="U13" s="228"/>
      <c r="V13" s="31"/>
    </row>
    <row r="14" spans="2:22" ht="16.5" customHeight="1" thickBot="1">
      <c r="D14" s="260" t="s">
        <v>55</v>
      </c>
      <c r="E14" s="262"/>
      <c r="F14" s="260">
        <f>(F10+G10+H10)/3</f>
        <v>0</v>
      </c>
      <c r="G14" s="261"/>
      <c r="H14" s="262"/>
      <c r="I14" s="260">
        <f>(I10+J10+K10)/3</f>
        <v>0</v>
      </c>
      <c r="J14" s="261"/>
      <c r="K14" s="262"/>
      <c r="L14" s="260">
        <f>(L10+M10+N10)/3</f>
        <v>0</v>
      </c>
      <c r="M14" s="261"/>
      <c r="N14" s="262"/>
      <c r="O14" s="260"/>
      <c r="P14" s="261"/>
      <c r="Q14" s="261"/>
      <c r="R14" s="262"/>
      <c r="S14" s="263"/>
      <c r="T14" s="264"/>
    </row>
    <row r="15" spans="2:22" ht="14.25" customHeight="1" thickBot="1"/>
    <row r="16" spans="2:22" ht="16.5" customHeight="1">
      <c r="B16" s="61" t="s">
        <v>9</v>
      </c>
      <c r="C16" s="13" t="s">
        <v>45</v>
      </c>
      <c r="D16" s="90" t="s">
        <v>10</v>
      </c>
      <c r="E16" s="91"/>
      <c r="F16" s="197"/>
      <c r="G16" s="180"/>
      <c r="H16" s="70"/>
      <c r="I16" s="197"/>
      <c r="J16" s="180"/>
      <c r="K16" s="70"/>
      <c r="L16" s="197"/>
      <c r="M16" s="180"/>
      <c r="N16" s="214"/>
      <c r="O16" s="197">
        <v>10</v>
      </c>
      <c r="P16" s="71"/>
      <c r="Q16" s="180"/>
      <c r="R16" s="214"/>
      <c r="S16" s="244" t="e" cm="1">
        <f t="array" ref="S16">1/T3*10*x</f>
        <v>#NAME?</v>
      </c>
      <c r="T16" s="149"/>
      <c r="U16" s="229" t="e">
        <f>F16*0.3+I16*0.15+L16*0.1+O16*0.1+P16*0.15+S16*0.2</f>
        <v>#NAME?</v>
      </c>
      <c r="V16" s="32"/>
    </row>
    <row r="17" spans="2:22" ht="16.5" customHeight="1">
      <c r="B17" s="62"/>
      <c r="C17" s="9" t="s">
        <v>17</v>
      </c>
      <c r="D17" s="92"/>
      <c r="E17" s="93"/>
      <c r="F17" s="198"/>
      <c r="G17" s="181"/>
      <c r="H17" s="72"/>
      <c r="I17" s="198"/>
      <c r="J17" s="181"/>
      <c r="K17" s="72"/>
      <c r="L17" s="198"/>
      <c r="M17" s="181"/>
      <c r="N17" s="215"/>
      <c r="O17" s="198"/>
      <c r="P17" s="73"/>
      <c r="Q17" s="181"/>
      <c r="R17" s="215"/>
      <c r="S17" s="245"/>
      <c r="T17" s="150"/>
      <c r="U17" s="230"/>
      <c r="V17" s="33"/>
    </row>
    <row r="18" spans="2:22" ht="16.5" customHeight="1">
      <c r="B18" s="62"/>
      <c r="C18" s="9" t="s">
        <v>18</v>
      </c>
      <c r="D18" s="94" t="s">
        <v>34</v>
      </c>
      <c r="E18" s="95"/>
      <c r="F18" s="198"/>
      <c r="G18" s="181"/>
      <c r="H18" s="72"/>
      <c r="I18" s="198"/>
      <c r="J18" s="181"/>
      <c r="K18" s="72"/>
      <c r="L18" s="198"/>
      <c r="M18" s="181"/>
      <c r="N18" s="215"/>
      <c r="O18" s="198"/>
      <c r="P18" s="73"/>
      <c r="Q18" s="181"/>
      <c r="R18" s="215"/>
      <c r="S18" s="245"/>
      <c r="T18" s="150"/>
      <c r="U18" s="230"/>
      <c r="V18" s="33"/>
    </row>
    <row r="19" spans="2:22" ht="17.25" customHeight="1" thickBot="1">
      <c r="B19" s="63"/>
      <c r="C19" s="8" t="s">
        <v>19</v>
      </c>
      <c r="D19" s="96"/>
      <c r="E19" s="97"/>
      <c r="F19" s="199"/>
      <c r="G19" s="182"/>
      <c r="H19" s="74"/>
      <c r="I19" s="199"/>
      <c r="J19" s="182"/>
      <c r="K19" s="74"/>
      <c r="L19" s="199"/>
      <c r="M19" s="182"/>
      <c r="N19" s="216"/>
      <c r="O19" s="199"/>
      <c r="P19" s="75"/>
      <c r="Q19" s="182"/>
      <c r="R19" s="216"/>
      <c r="S19" s="246"/>
      <c r="T19" s="151"/>
      <c r="U19" s="231"/>
      <c r="V19" s="34"/>
    </row>
    <row r="20" spans="2:22" ht="16.5" customHeight="1" thickBot="1">
      <c r="D20" s="260" t="s">
        <v>55</v>
      </c>
      <c r="E20" s="262"/>
      <c r="F20" s="260">
        <f>(F16+G16+H16)/3</f>
        <v>0</v>
      </c>
      <c r="G20" s="261"/>
      <c r="H20" s="262"/>
      <c r="I20" s="260">
        <f>(I16+J16+K16)/3</f>
        <v>0</v>
      </c>
      <c r="J20" s="261"/>
      <c r="K20" s="262"/>
      <c r="L20" s="260">
        <f>(L16+M16+N16)/3</f>
        <v>0</v>
      </c>
      <c r="M20" s="261"/>
      <c r="N20" s="262"/>
      <c r="O20" s="260"/>
      <c r="P20" s="261"/>
      <c r="Q20" s="261"/>
      <c r="R20" s="262"/>
      <c r="S20" s="263"/>
      <c r="T20" s="264"/>
    </row>
    <row r="21" spans="2:22" ht="16.5" customHeight="1" thickBot="1"/>
    <row r="22" spans="2:22" ht="16.5" customHeight="1">
      <c r="B22" s="64" t="s">
        <v>20</v>
      </c>
      <c r="C22" s="14" t="s">
        <v>46</v>
      </c>
      <c r="D22" s="114" t="s">
        <v>32</v>
      </c>
      <c r="E22" s="115"/>
      <c r="F22" s="200"/>
      <c r="G22" s="177"/>
      <c r="H22" s="76"/>
      <c r="I22" s="200"/>
      <c r="J22" s="177"/>
      <c r="K22" s="76"/>
      <c r="L22" s="200"/>
      <c r="M22" s="177"/>
      <c r="N22" s="217"/>
      <c r="O22" s="200">
        <v>1</v>
      </c>
      <c r="P22" s="77"/>
      <c r="Q22" s="177"/>
      <c r="R22" s="217"/>
      <c r="S22" s="247" t="e" cm="1">
        <f t="array" ref="S22">1/T3*10*x</f>
        <v>#NAME?</v>
      </c>
      <c r="T22" s="137"/>
      <c r="U22" s="232" t="e">
        <f>F22*0.3+I22*0.15+L22*0.1+O22*0.1+P22*0.15+S22*0.2</f>
        <v>#NAME?</v>
      </c>
      <c r="V22" s="35"/>
    </row>
    <row r="23" spans="2:22" ht="17.25" customHeight="1">
      <c r="B23" s="65"/>
      <c r="C23" s="7" t="s">
        <v>23</v>
      </c>
      <c r="D23" s="116"/>
      <c r="E23" s="117"/>
      <c r="F23" s="201"/>
      <c r="G23" s="178"/>
      <c r="H23" s="78"/>
      <c r="I23" s="201"/>
      <c r="J23" s="178"/>
      <c r="K23" s="78"/>
      <c r="L23" s="201"/>
      <c r="M23" s="178"/>
      <c r="N23" s="218"/>
      <c r="O23" s="201"/>
      <c r="P23" s="79"/>
      <c r="Q23" s="178"/>
      <c r="R23" s="218"/>
      <c r="S23" s="248"/>
      <c r="T23" s="138"/>
      <c r="U23" s="233"/>
      <c r="V23" s="36"/>
    </row>
    <row r="24" spans="2:22" ht="16.5" customHeight="1">
      <c r="B24" s="65"/>
      <c r="C24" s="7" t="s">
        <v>24</v>
      </c>
      <c r="D24" s="122" t="s">
        <v>35</v>
      </c>
      <c r="E24" s="123"/>
      <c r="F24" s="201"/>
      <c r="G24" s="178"/>
      <c r="H24" s="78"/>
      <c r="I24" s="201"/>
      <c r="J24" s="178"/>
      <c r="K24" s="78"/>
      <c r="L24" s="201"/>
      <c r="M24" s="178"/>
      <c r="N24" s="218"/>
      <c r="O24" s="201"/>
      <c r="P24" s="79"/>
      <c r="Q24" s="178"/>
      <c r="R24" s="218"/>
      <c r="S24" s="248"/>
      <c r="T24" s="138"/>
      <c r="U24" s="233"/>
      <c r="V24" s="36"/>
    </row>
    <row r="25" spans="2:22" ht="16.5" customHeight="1" thickBot="1">
      <c r="B25" s="66"/>
      <c r="C25" s="6" t="s">
        <v>25</v>
      </c>
      <c r="D25" s="124"/>
      <c r="E25" s="125"/>
      <c r="F25" s="202"/>
      <c r="G25" s="179"/>
      <c r="H25" s="80"/>
      <c r="I25" s="202"/>
      <c r="J25" s="179"/>
      <c r="K25" s="80"/>
      <c r="L25" s="202"/>
      <c r="M25" s="179"/>
      <c r="N25" s="219"/>
      <c r="O25" s="202"/>
      <c r="P25" s="81"/>
      <c r="Q25" s="179"/>
      <c r="R25" s="219"/>
      <c r="S25" s="249"/>
      <c r="T25" s="139"/>
      <c r="U25" s="234"/>
      <c r="V25" s="37"/>
    </row>
    <row r="26" spans="2:22" ht="16.5" customHeight="1" thickBot="1">
      <c r="D26" s="260" t="s">
        <v>55</v>
      </c>
      <c r="E26" s="262"/>
      <c r="F26" s="260">
        <f>(F22+G22+H22)/3</f>
        <v>0</v>
      </c>
      <c r="G26" s="261"/>
      <c r="H26" s="262"/>
      <c r="I26" s="260">
        <f>(I22+J22+K22)/3</f>
        <v>0</v>
      </c>
      <c r="J26" s="261"/>
      <c r="K26" s="262"/>
      <c r="L26" s="260">
        <f>(L22+M22+N22)/3</f>
        <v>0</v>
      </c>
      <c r="M26" s="261"/>
      <c r="N26" s="262"/>
      <c r="O26" s="260"/>
      <c r="P26" s="261"/>
      <c r="Q26" s="261"/>
      <c r="R26" s="262"/>
      <c r="S26" s="263"/>
      <c r="T26" s="264"/>
    </row>
    <row r="27" spans="2:22" ht="17.25" customHeight="1" thickBot="1"/>
    <row r="28" spans="2:22" ht="16.5" customHeight="1">
      <c r="B28" s="67" t="s">
        <v>21</v>
      </c>
      <c r="C28" s="15" t="s">
        <v>47</v>
      </c>
      <c r="D28" s="126" t="s">
        <v>36</v>
      </c>
      <c r="E28" s="127"/>
      <c r="F28" s="203"/>
      <c r="G28" s="174"/>
      <c r="H28" s="53"/>
      <c r="I28" s="203"/>
      <c r="J28" s="174"/>
      <c r="K28" s="53"/>
      <c r="L28" s="203"/>
      <c r="M28" s="174"/>
      <c r="N28" s="220"/>
      <c r="O28" s="203">
        <v>8</v>
      </c>
      <c r="P28" s="54"/>
      <c r="Q28" s="174"/>
      <c r="R28" s="220"/>
      <c r="S28" s="250" t="e" cm="1">
        <f t="array" ref="S28">1/T3*10*x</f>
        <v>#NAME?</v>
      </c>
      <c r="T28" s="50"/>
      <c r="U28" s="235" t="e">
        <f>F28*0.3+I28*0.15+L28*0.1+O28*0.1+P28*0.15+S28*0.2</f>
        <v>#NAME?</v>
      </c>
      <c r="V28" s="38"/>
    </row>
    <row r="29" spans="2:22" ht="17.25" customHeight="1">
      <c r="B29" s="68"/>
      <c r="C29" s="5" t="s">
        <v>26</v>
      </c>
      <c r="D29" s="128"/>
      <c r="E29" s="129"/>
      <c r="F29" s="204"/>
      <c r="G29" s="175"/>
      <c r="H29" s="55"/>
      <c r="I29" s="204"/>
      <c r="J29" s="175"/>
      <c r="K29" s="55"/>
      <c r="L29" s="204"/>
      <c r="M29" s="175"/>
      <c r="N29" s="221"/>
      <c r="O29" s="204"/>
      <c r="P29" s="56"/>
      <c r="Q29" s="175"/>
      <c r="R29" s="221"/>
      <c r="S29" s="251"/>
      <c r="T29" s="51"/>
      <c r="U29" s="236"/>
      <c r="V29" s="39"/>
    </row>
    <row r="30" spans="2:22">
      <c r="B30" s="68"/>
      <c r="C30" s="5" t="s">
        <v>27</v>
      </c>
      <c r="D30" s="130" t="s">
        <v>37</v>
      </c>
      <c r="E30" s="131"/>
      <c r="F30" s="204"/>
      <c r="G30" s="175"/>
      <c r="H30" s="55"/>
      <c r="I30" s="204"/>
      <c r="J30" s="175"/>
      <c r="K30" s="55"/>
      <c r="L30" s="204"/>
      <c r="M30" s="175"/>
      <c r="N30" s="221"/>
      <c r="O30" s="204"/>
      <c r="P30" s="56"/>
      <c r="Q30" s="175"/>
      <c r="R30" s="221"/>
      <c r="S30" s="251"/>
      <c r="T30" s="51"/>
      <c r="U30" s="236"/>
      <c r="V30" s="39"/>
    </row>
    <row r="31" spans="2:22" ht="17.25" thickBot="1">
      <c r="B31" s="69"/>
      <c r="C31" s="4" t="s">
        <v>28</v>
      </c>
      <c r="D31" s="132"/>
      <c r="E31" s="133"/>
      <c r="F31" s="205"/>
      <c r="G31" s="176"/>
      <c r="H31" s="57"/>
      <c r="I31" s="205"/>
      <c r="J31" s="176"/>
      <c r="K31" s="57"/>
      <c r="L31" s="205"/>
      <c r="M31" s="176"/>
      <c r="N31" s="222"/>
      <c r="O31" s="205"/>
      <c r="P31" s="58"/>
      <c r="Q31" s="176"/>
      <c r="R31" s="222"/>
      <c r="S31" s="252"/>
      <c r="T31" s="52"/>
      <c r="U31" s="237"/>
      <c r="V31" s="40"/>
    </row>
    <row r="32" spans="2:22" ht="17.25" thickBot="1">
      <c r="D32" s="260" t="s">
        <v>55</v>
      </c>
      <c r="E32" s="262"/>
      <c r="F32" s="260">
        <f>(F28+G28+H28)/3</f>
        <v>0</v>
      </c>
      <c r="G32" s="261"/>
      <c r="H32" s="262"/>
      <c r="I32" s="260">
        <f>(I28+J28+K28)/3</f>
        <v>0</v>
      </c>
      <c r="J32" s="261"/>
      <c r="K32" s="262"/>
      <c r="L32" s="260">
        <f>(L28+M28+N28)/3</f>
        <v>0</v>
      </c>
      <c r="M32" s="261"/>
      <c r="N32" s="262"/>
      <c r="O32" s="260"/>
      <c r="P32" s="261"/>
      <c r="Q32" s="261"/>
      <c r="R32" s="262"/>
      <c r="S32" s="263"/>
      <c r="T32" s="264"/>
    </row>
    <row r="33" spans="2:22" ht="17.25" thickBot="1"/>
    <row r="34" spans="2:22">
      <c r="B34" s="111" t="s">
        <v>22</v>
      </c>
      <c r="C34" s="16" t="s">
        <v>48</v>
      </c>
      <c r="D34" s="82" t="s">
        <v>38</v>
      </c>
      <c r="E34" s="83"/>
      <c r="F34" s="207"/>
      <c r="G34" s="171"/>
      <c r="H34" s="44"/>
      <c r="I34" s="207"/>
      <c r="J34" s="171"/>
      <c r="K34" s="44"/>
      <c r="L34" s="207"/>
      <c r="M34" s="171"/>
      <c r="N34" s="223"/>
      <c r="O34" s="207">
        <v>3</v>
      </c>
      <c r="P34" s="45"/>
      <c r="Q34" s="171"/>
      <c r="R34" s="223"/>
      <c r="S34" s="253" t="e" cm="1">
        <f t="array" ref="S34">1/T3*10*x</f>
        <v>#NAME?</v>
      </c>
      <c r="T34" s="41"/>
      <c r="U34" s="238" t="e">
        <f>F34*0.3+I34*0.15+L34*0.1+O34*0.1+P34*0.15+S34*0.2</f>
        <v>#NAME?</v>
      </c>
      <c r="V34" s="22"/>
    </row>
    <row r="35" spans="2:22">
      <c r="B35" s="112"/>
      <c r="C35" s="3" t="s">
        <v>29</v>
      </c>
      <c r="D35" s="84"/>
      <c r="E35" s="85"/>
      <c r="F35" s="206"/>
      <c r="G35" s="172"/>
      <c r="H35" s="46"/>
      <c r="I35" s="206"/>
      <c r="J35" s="172"/>
      <c r="K35" s="46"/>
      <c r="L35" s="206"/>
      <c r="M35" s="172"/>
      <c r="N35" s="224"/>
      <c r="O35" s="206"/>
      <c r="P35" s="47"/>
      <c r="Q35" s="172"/>
      <c r="R35" s="224"/>
      <c r="S35" s="254"/>
      <c r="T35" s="42"/>
      <c r="U35" s="239"/>
      <c r="V35" s="23"/>
    </row>
    <row r="36" spans="2:22">
      <c r="B36" s="112"/>
      <c r="C36" s="2" t="s">
        <v>30</v>
      </c>
      <c r="D36" s="86" t="s">
        <v>39</v>
      </c>
      <c r="E36" s="87"/>
      <c r="F36" s="206"/>
      <c r="G36" s="172"/>
      <c r="H36" s="46"/>
      <c r="I36" s="206"/>
      <c r="J36" s="172"/>
      <c r="K36" s="46"/>
      <c r="L36" s="206"/>
      <c r="M36" s="172"/>
      <c r="N36" s="224"/>
      <c r="O36" s="206"/>
      <c r="P36" s="47"/>
      <c r="Q36" s="172"/>
      <c r="R36" s="224"/>
      <c r="S36" s="254"/>
      <c r="T36" s="42"/>
      <c r="U36" s="239"/>
      <c r="V36" s="23"/>
    </row>
    <row r="37" spans="2:22" ht="17.25" thickBot="1">
      <c r="B37" s="113"/>
      <c r="C37" s="1" t="s">
        <v>31</v>
      </c>
      <c r="D37" s="88"/>
      <c r="E37" s="89"/>
      <c r="F37" s="208"/>
      <c r="G37" s="173"/>
      <c r="H37" s="48"/>
      <c r="I37" s="208"/>
      <c r="J37" s="173"/>
      <c r="K37" s="48"/>
      <c r="L37" s="208"/>
      <c r="M37" s="173"/>
      <c r="N37" s="225"/>
      <c r="O37" s="208"/>
      <c r="P37" s="49"/>
      <c r="Q37" s="173"/>
      <c r="R37" s="225"/>
      <c r="S37" s="255"/>
      <c r="T37" s="43"/>
      <c r="U37" s="240"/>
      <c r="V37" s="24"/>
    </row>
    <row r="38" spans="2:22" ht="17.25" thickBot="1">
      <c r="D38" s="260" t="s">
        <v>55</v>
      </c>
      <c r="E38" s="262"/>
      <c r="F38" s="260">
        <f>(F34+G34+H34)/3</f>
        <v>0</v>
      </c>
      <c r="G38" s="261"/>
      <c r="H38" s="262"/>
      <c r="I38" s="260">
        <f>(I34+J34+K34)/3</f>
        <v>0</v>
      </c>
      <c r="J38" s="261"/>
      <c r="K38" s="262"/>
      <c r="L38" s="260">
        <f>(L34+M34+N34)/3</f>
        <v>0</v>
      </c>
      <c r="M38" s="261"/>
      <c r="N38" s="262"/>
      <c r="O38" s="260"/>
      <c r="P38" s="261"/>
      <c r="Q38" s="261"/>
      <c r="R38" s="262"/>
      <c r="S38" s="263"/>
      <c r="T38" s="264"/>
    </row>
  </sheetData>
  <mergeCells count="148">
    <mergeCell ref="Q34:Q37"/>
    <mergeCell ref="R34:R37"/>
    <mergeCell ref="S8:T9"/>
    <mergeCell ref="U4:V9"/>
    <mergeCell ref="F14:H14"/>
    <mergeCell ref="I14:K14"/>
    <mergeCell ref="L14:N14"/>
    <mergeCell ref="O14:R14"/>
    <mergeCell ref="F20:H20"/>
    <mergeCell ref="I20:K20"/>
    <mergeCell ref="L20:N20"/>
    <mergeCell ref="O20:R20"/>
    <mergeCell ref="F26:H26"/>
    <mergeCell ref="I26:K26"/>
    <mergeCell ref="L26:N26"/>
    <mergeCell ref="O26:R26"/>
    <mergeCell ref="Q22:Q25"/>
    <mergeCell ref="R22:R25"/>
    <mergeCell ref="P28:P31"/>
    <mergeCell ref="Q28:Q31"/>
    <mergeCell ref="R28:R31"/>
    <mergeCell ref="Q10:Q13"/>
    <mergeCell ref="R10:R13"/>
    <mergeCell ref="P16:P19"/>
    <mergeCell ref="Q16:Q19"/>
    <mergeCell ref="R16:R19"/>
    <mergeCell ref="N28:N31"/>
    <mergeCell ref="L34:L37"/>
    <mergeCell ref="M34:M37"/>
    <mergeCell ref="N34:N37"/>
    <mergeCell ref="P10:P13"/>
    <mergeCell ref="P22:P25"/>
    <mergeCell ref="P34:P37"/>
    <mergeCell ref="L32:N32"/>
    <mergeCell ref="O32:R32"/>
    <mergeCell ref="N10:N13"/>
    <mergeCell ref="L16:L19"/>
    <mergeCell ref="M16:M19"/>
    <mergeCell ref="N16:N19"/>
    <mergeCell ref="L22:L25"/>
    <mergeCell ref="M22:M25"/>
    <mergeCell ref="N22:N25"/>
    <mergeCell ref="J34:J37"/>
    <mergeCell ref="I34:I37"/>
    <mergeCell ref="K10:K13"/>
    <mergeCell ref="K16:K19"/>
    <mergeCell ref="K22:K25"/>
    <mergeCell ref="K28:K31"/>
    <mergeCell ref="K34:K37"/>
    <mergeCell ref="I32:K32"/>
    <mergeCell ref="H34:H37"/>
    <mergeCell ref="G34:G37"/>
    <mergeCell ref="F34:F37"/>
    <mergeCell ref="I28:I31"/>
    <mergeCell ref="I22:I25"/>
    <mergeCell ref="F32:H32"/>
    <mergeCell ref="F10:F13"/>
    <mergeCell ref="G10:G13"/>
    <mergeCell ref="H10:H13"/>
    <mergeCell ref="F16:F19"/>
    <mergeCell ref="H16:H19"/>
    <mergeCell ref="G16:G19"/>
    <mergeCell ref="H22:H25"/>
    <mergeCell ref="G22:G25"/>
    <mergeCell ref="F22:F25"/>
    <mergeCell ref="H28:H31"/>
    <mergeCell ref="G28:G31"/>
    <mergeCell ref="O6:O7"/>
    <mergeCell ref="O8:O9"/>
    <mergeCell ref="P8:P9"/>
    <mergeCell ref="Q8:Q9"/>
    <mergeCell ref="R8:R9"/>
    <mergeCell ref="P6:R7"/>
    <mergeCell ref="O34:O37"/>
    <mergeCell ref="O28:O31"/>
    <mergeCell ref="O22:O25"/>
    <mergeCell ref="O16:O19"/>
    <mergeCell ref="O10:O13"/>
    <mergeCell ref="I6:K7"/>
    <mergeCell ref="L4:N5"/>
    <mergeCell ref="L6:N7"/>
    <mergeCell ref="B4:B9"/>
    <mergeCell ref="C4:C9"/>
    <mergeCell ref="D8:E9"/>
    <mergeCell ref="H8:H9"/>
    <mergeCell ref="G8:G9"/>
    <mergeCell ref="F8:F9"/>
    <mergeCell ref="K8:K9"/>
    <mergeCell ref="J8:J9"/>
    <mergeCell ref="I8:I9"/>
    <mergeCell ref="N8:N9"/>
    <mergeCell ref="M8:M9"/>
    <mergeCell ref="L8:L9"/>
    <mergeCell ref="S22:T25"/>
    <mergeCell ref="S10:T13"/>
    <mergeCell ref="S16:T19"/>
    <mergeCell ref="O4:R4"/>
    <mergeCell ref="I4:K5"/>
    <mergeCell ref="S4:T5"/>
    <mergeCell ref="S6:T7"/>
    <mergeCell ref="P5:R5"/>
    <mergeCell ref="D4:E5"/>
    <mergeCell ref="D6:E7"/>
    <mergeCell ref="B34:B37"/>
    <mergeCell ref="D22:E23"/>
    <mergeCell ref="D12:E13"/>
    <mergeCell ref="D24:E25"/>
    <mergeCell ref="D28:E29"/>
    <mergeCell ref="D30:E31"/>
    <mergeCell ref="F4:H5"/>
    <mergeCell ref="F6:H7"/>
    <mergeCell ref="D34:E35"/>
    <mergeCell ref="D36:E37"/>
    <mergeCell ref="D16:E17"/>
    <mergeCell ref="D18:E19"/>
    <mergeCell ref="D10:E10"/>
    <mergeCell ref="D11:E11"/>
    <mergeCell ref="D14:E14"/>
    <mergeCell ref="D20:E20"/>
    <mergeCell ref="D26:E26"/>
    <mergeCell ref="D32:E32"/>
    <mergeCell ref="I16:I19"/>
    <mergeCell ref="J16:J19"/>
    <mergeCell ref="J22:J25"/>
    <mergeCell ref="F38:H38"/>
    <mergeCell ref="I38:K38"/>
    <mergeCell ref="L38:N38"/>
    <mergeCell ref="O38:R38"/>
    <mergeCell ref="B10:B13"/>
    <mergeCell ref="B16:B19"/>
    <mergeCell ref="B22:B25"/>
    <mergeCell ref="B28:B31"/>
    <mergeCell ref="F28:F31"/>
    <mergeCell ref="I10:I13"/>
    <mergeCell ref="J10:J13"/>
    <mergeCell ref="J28:J31"/>
    <mergeCell ref="L10:L13"/>
    <mergeCell ref="M10:M13"/>
    <mergeCell ref="L28:L31"/>
    <mergeCell ref="M28:M31"/>
    <mergeCell ref="D38:E38"/>
    <mergeCell ref="U34:V37"/>
    <mergeCell ref="U10:V13"/>
    <mergeCell ref="U16:V19"/>
    <mergeCell ref="U22:V25"/>
    <mergeCell ref="U28:V31"/>
    <mergeCell ref="S34:T37"/>
    <mergeCell ref="S28:T31"/>
  </mergeCells>
  <phoneticPr fontId="4" type="noConversion"/>
  <pageMargins left="0.7" right="0.7" top="0.75" bottom="0.75" header="0.3" footer="0.3"/>
  <ignoredErrors>
    <ignoredError sqref="S10:V1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BC08-7B7B-4E15-AFAA-0E3FF1900D5D}">
  <dimension ref="B2:V38"/>
  <sheetViews>
    <sheetView topLeftCell="A5" zoomScaleNormal="100" workbookViewId="0">
      <selection activeCell="S6" sqref="S6:T7"/>
    </sheetView>
  </sheetViews>
  <sheetFormatPr defaultRowHeight="16.5"/>
  <cols>
    <col min="1" max="1" width="9" style="11"/>
    <col min="2" max="2" width="7.375" style="11" customWidth="1"/>
    <col min="3" max="3" width="11.125" style="11" customWidth="1"/>
    <col min="4" max="4" width="13.125" style="11" customWidth="1"/>
    <col min="5" max="5" width="13.5" style="11" customWidth="1"/>
    <col min="6" max="18" width="7.125" style="11" bestFit="1" customWidth="1"/>
    <col min="19" max="16384" width="9" style="11"/>
  </cols>
  <sheetData>
    <row r="2" spans="2:22" ht="13.5" customHeight="1"/>
    <row r="3" spans="2:22" ht="14.25" customHeight="1" thickBot="1">
      <c r="S3" s="18" t="s">
        <v>43</v>
      </c>
      <c r="T3" s="17">
        <v>21</v>
      </c>
    </row>
    <row r="4" spans="2:22">
      <c r="B4" s="19" t="s">
        <v>42</v>
      </c>
      <c r="C4" s="19" t="s">
        <v>41</v>
      </c>
      <c r="D4" s="25" t="s">
        <v>8</v>
      </c>
      <c r="E4" s="161"/>
      <c r="F4" s="107" t="s">
        <v>7</v>
      </c>
      <c r="G4" s="155"/>
      <c r="H4" s="158"/>
      <c r="I4" s="107" t="s">
        <v>6</v>
      </c>
      <c r="J4" s="155"/>
      <c r="K4" s="158"/>
      <c r="L4" s="107" t="s">
        <v>5</v>
      </c>
      <c r="M4" s="155"/>
      <c r="N4" s="158"/>
      <c r="O4" s="209" t="s">
        <v>4</v>
      </c>
      <c r="P4" s="152"/>
      <c r="Q4" s="152"/>
      <c r="R4" s="210"/>
      <c r="S4" s="107" t="s">
        <v>3</v>
      </c>
      <c r="T4" s="158"/>
      <c r="U4" s="25" t="s">
        <v>40</v>
      </c>
      <c r="V4" s="26"/>
    </row>
    <row r="5" spans="2:22">
      <c r="B5" s="20"/>
      <c r="C5" s="20"/>
      <c r="D5" s="102"/>
      <c r="E5" s="162"/>
      <c r="F5" s="108"/>
      <c r="G5" s="156"/>
      <c r="H5" s="135"/>
      <c r="I5" s="108"/>
      <c r="J5" s="156"/>
      <c r="K5" s="135"/>
      <c r="L5" s="108"/>
      <c r="M5" s="156"/>
      <c r="N5" s="135"/>
      <c r="O5" s="160" t="s">
        <v>2</v>
      </c>
      <c r="P5" s="134" t="s">
        <v>1</v>
      </c>
      <c r="Q5" s="156"/>
      <c r="R5" s="135"/>
      <c r="S5" s="108"/>
      <c r="T5" s="135"/>
      <c r="U5" s="27"/>
      <c r="V5" s="28"/>
    </row>
    <row r="6" spans="2:22">
      <c r="B6" s="20"/>
      <c r="C6" s="20"/>
      <c r="D6" s="103" t="s">
        <v>0</v>
      </c>
      <c r="E6" s="163"/>
      <c r="F6" s="109">
        <v>0.3</v>
      </c>
      <c r="G6" s="153"/>
      <c r="H6" s="159"/>
      <c r="I6" s="109">
        <v>0.15</v>
      </c>
      <c r="J6" s="153"/>
      <c r="K6" s="159"/>
      <c r="L6" s="109">
        <v>0.1</v>
      </c>
      <c r="M6" s="153"/>
      <c r="N6" s="159"/>
      <c r="O6" s="154">
        <v>0.1</v>
      </c>
      <c r="P6" s="136">
        <v>0.15</v>
      </c>
      <c r="Q6" s="153"/>
      <c r="R6" s="159"/>
      <c r="S6" s="109">
        <v>0.2</v>
      </c>
      <c r="T6" s="104"/>
      <c r="U6" s="27"/>
      <c r="V6" s="28"/>
    </row>
    <row r="7" spans="2:22">
      <c r="B7" s="20"/>
      <c r="C7" s="20"/>
      <c r="D7" s="164"/>
      <c r="E7" s="169"/>
      <c r="F7" s="166"/>
      <c r="G7" s="167"/>
      <c r="H7" s="168"/>
      <c r="I7" s="166"/>
      <c r="J7" s="167"/>
      <c r="K7" s="168"/>
      <c r="L7" s="166"/>
      <c r="M7" s="167"/>
      <c r="N7" s="168"/>
      <c r="O7" s="187"/>
      <c r="P7" s="186"/>
      <c r="Q7" s="167"/>
      <c r="R7" s="168"/>
      <c r="S7" s="164"/>
      <c r="T7" s="165"/>
      <c r="U7" s="27"/>
      <c r="V7" s="28"/>
    </row>
    <row r="8" spans="2:22">
      <c r="B8" s="20"/>
      <c r="C8" s="20"/>
      <c r="D8" s="103" t="s">
        <v>49</v>
      </c>
      <c r="E8" s="163"/>
      <c r="F8" s="189">
        <v>1</v>
      </c>
      <c r="G8" s="193">
        <v>2</v>
      </c>
      <c r="H8" s="188">
        <v>3</v>
      </c>
      <c r="I8" s="189">
        <v>1</v>
      </c>
      <c r="J8" s="191">
        <v>2</v>
      </c>
      <c r="K8" s="188">
        <v>3</v>
      </c>
      <c r="L8" s="189">
        <v>1</v>
      </c>
      <c r="M8" s="191">
        <v>2</v>
      </c>
      <c r="N8" s="188">
        <v>3</v>
      </c>
      <c r="O8" s="189">
        <v>4</v>
      </c>
      <c r="P8" s="193">
        <v>1</v>
      </c>
      <c r="Q8" s="191">
        <v>2</v>
      </c>
      <c r="R8" s="188">
        <v>3</v>
      </c>
      <c r="S8" s="170" t="s">
        <v>54</v>
      </c>
      <c r="T8" s="188"/>
      <c r="U8" s="27"/>
      <c r="V8" s="28"/>
    </row>
    <row r="9" spans="2:22" ht="17.25" thickBot="1">
      <c r="B9" s="21"/>
      <c r="C9" s="21"/>
      <c r="D9" s="105"/>
      <c r="E9" s="157"/>
      <c r="F9" s="190"/>
      <c r="G9" s="110"/>
      <c r="H9" s="106"/>
      <c r="I9" s="190"/>
      <c r="J9" s="192"/>
      <c r="K9" s="106"/>
      <c r="L9" s="190"/>
      <c r="M9" s="192"/>
      <c r="N9" s="106"/>
      <c r="O9" s="190"/>
      <c r="P9" s="110"/>
      <c r="Q9" s="192"/>
      <c r="R9" s="106"/>
      <c r="S9" s="105"/>
      <c r="T9" s="106"/>
      <c r="U9" s="256"/>
      <c r="V9" s="257"/>
    </row>
    <row r="10" spans="2:22" ht="16.5" customHeight="1">
      <c r="B10" s="59" t="s">
        <v>11</v>
      </c>
      <c r="C10" s="12" t="s">
        <v>44</v>
      </c>
      <c r="D10" s="98" t="s">
        <v>12</v>
      </c>
      <c r="E10" s="99"/>
      <c r="F10" s="194"/>
      <c r="G10" s="183"/>
      <c r="H10" s="140"/>
      <c r="I10" s="194"/>
      <c r="J10" s="183"/>
      <c r="K10" s="140"/>
      <c r="L10" s="194"/>
      <c r="M10" s="183"/>
      <c r="N10" s="211"/>
      <c r="O10" s="194"/>
      <c r="P10" s="141"/>
      <c r="Q10" s="183"/>
      <c r="R10" s="211"/>
      <c r="S10" s="241"/>
      <c r="T10" s="146"/>
      <c r="U10" s="226"/>
      <c r="V10" s="29"/>
    </row>
    <row r="11" spans="2:22" ht="16.5" customHeight="1">
      <c r="B11" s="60"/>
      <c r="C11" s="10" t="s">
        <v>14</v>
      </c>
      <c r="D11" s="100" t="s">
        <v>13</v>
      </c>
      <c r="E11" s="101"/>
      <c r="F11" s="195"/>
      <c r="G11" s="184"/>
      <c r="H11" s="142"/>
      <c r="I11" s="195"/>
      <c r="J11" s="184"/>
      <c r="K11" s="142"/>
      <c r="L11" s="195"/>
      <c r="M11" s="184"/>
      <c r="N11" s="212"/>
      <c r="O11" s="195"/>
      <c r="P11" s="143"/>
      <c r="Q11" s="184"/>
      <c r="R11" s="212"/>
      <c r="S11" s="242"/>
      <c r="T11" s="147"/>
      <c r="U11" s="227"/>
      <c r="V11" s="30"/>
    </row>
    <row r="12" spans="2:22" ht="16.5" customHeight="1">
      <c r="B12" s="60"/>
      <c r="C12" s="10" t="s">
        <v>16</v>
      </c>
      <c r="D12" s="118" t="s">
        <v>33</v>
      </c>
      <c r="E12" s="119"/>
      <c r="F12" s="195"/>
      <c r="G12" s="184"/>
      <c r="H12" s="142"/>
      <c r="I12" s="195"/>
      <c r="J12" s="184"/>
      <c r="K12" s="142"/>
      <c r="L12" s="195"/>
      <c r="M12" s="184"/>
      <c r="N12" s="212"/>
      <c r="O12" s="195"/>
      <c r="P12" s="143"/>
      <c r="Q12" s="184"/>
      <c r="R12" s="212"/>
      <c r="S12" s="242"/>
      <c r="T12" s="147"/>
      <c r="U12" s="227"/>
      <c r="V12" s="30"/>
    </row>
    <row r="13" spans="2:22" ht="16.5" customHeight="1" thickBot="1">
      <c r="B13" s="258"/>
      <c r="C13" s="259" t="s">
        <v>15</v>
      </c>
      <c r="D13" s="120"/>
      <c r="E13" s="121"/>
      <c r="F13" s="196"/>
      <c r="G13" s="185"/>
      <c r="H13" s="144"/>
      <c r="I13" s="196"/>
      <c r="J13" s="185"/>
      <c r="K13" s="144"/>
      <c r="L13" s="196"/>
      <c r="M13" s="185"/>
      <c r="N13" s="213"/>
      <c r="O13" s="196"/>
      <c r="P13" s="145"/>
      <c r="Q13" s="185"/>
      <c r="R13" s="213"/>
      <c r="S13" s="243"/>
      <c r="T13" s="148"/>
      <c r="U13" s="228"/>
      <c r="V13" s="31"/>
    </row>
    <row r="14" spans="2:22" ht="16.5" customHeight="1" thickBot="1">
      <c r="D14" s="260" t="s">
        <v>55</v>
      </c>
      <c r="E14" s="262"/>
      <c r="F14" s="265"/>
      <c r="G14" s="266"/>
      <c r="H14" s="267"/>
      <c r="I14" s="265"/>
      <c r="J14" s="266"/>
      <c r="K14" s="267"/>
      <c r="L14" s="265"/>
      <c r="M14" s="266"/>
      <c r="N14" s="267"/>
      <c r="O14" s="268"/>
      <c r="P14" s="269"/>
      <c r="Q14" s="266"/>
      <c r="R14" s="267"/>
      <c r="S14" s="265"/>
      <c r="T14" s="267"/>
    </row>
    <row r="15" spans="2:22" ht="14.25" customHeight="1" thickBot="1"/>
    <row r="16" spans="2:22" ht="16.5" customHeight="1">
      <c r="B16" s="61" t="s">
        <v>9</v>
      </c>
      <c r="C16" s="13" t="s">
        <v>45</v>
      </c>
      <c r="D16" s="90" t="s">
        <v>10</v>
      </c>
      <c r="E16" s="91"/>
      <c r="F16" s="197"/>
      <c r="G16" s="180"/>
      <c r="H16" s="70"/>
      <c r="I16" s="197"/>
      <c r="J16" s="180"/>
      <c r="K16" s="70"/>
      <c r="L16" s="197"/>
      <c r="M16" s="180"/>
      <c r="N16" s="214"/>
      <c r="O16" s="197"/>
      <c r="P16" s="71"/>
      <c r="Q16" s="180"/>
      <c r="R16" s="214"/>
      <c r="S16" s="244"/>
      <c r="T16" s="149"/>
      <c r="U16" s="229"/>
      <c r="V16" s="32"/>
    </row>
    <row r="17" spans="2:22" ht="16.5" customHeight="1">
      <c r="B17" s="62"/>
      <c r="C17" s="9" t="s">
        <v>17</v>
      </c>
      <c r="D17" s="92"/>
      <c r="E17" s="93"/>
      <c r="F17" s="198"/>
      <c r="G17" s="181"/>
      <c r="H17" s="72"/>
      <c r="I17" s="198"/>
      <c r="J17" s="181"/>
      <c r="K17" s="72"/>
      <c r="L17" s="198"/>
      <c r="M17" s="181"/>
      <c r="N17" s="215"/>
      <c r="O17" s="198"/>
      <c r="P17" s="73"/>
      <c r="Q17" s="181"/>
      <c r="R17" s="215"/>
      <c r="S17" s="245"/>
      <c r="T17" s="150"/>
      <c r="U17" s="230"/>
      <c r="V17" s="33"/>
    </row>
    <row r="18" spans="2:22" ht="16.5" customHeight="1">
      <c r="B18" s="62"/>
      <c r="C18" s="9" t="s">
        <v>18</v>
      </c>
      <c r="D18" s="94" t="s">
        <v>34</v>
      </c>
      <c r="E18" s="95"/>
      <c r="F18" s="198"/>
      <c r="G18" s="181"/>
      <c r="H18" s="72"/>
      <c r="I18" s="198"/>
      <c r="J18" s="181"/>
      <c r="K18" s="72"/>
      <c r="L18" s="198"/>
      <c r="M18" s="181"/>
      <c r="N18" s="215"/>
      <c r="O18" s="198"/>
      <c r="P18" s="73"/>
      <c r="Q18" s="181"/>
      <c r="R18" s="215"/>
      <c r="S18" s="245"/>
      <c r="T18" s="150"/>
      <c r="U18" s="230"/>
      <c r="V18" s="33"/>
    </row>
    <row r="19" spans="2:22" ht="17.25" customHeight="1" thickBot="1">
      <c r="B19" s="63"/>
      <c r="C19" s="8" t="s">
        <v>19</v>
      </c>
      <c r="D19" s="96"/>
      <c r="E19" s="97"/>
      <c r="F19" s="199"/>
      <c r="G19" s="182"/>
      <c r="H19" s="74"/>
      <c r="I19" s="199"/>
      <c r="J19" s="182"/>
      <c r="K19" s="74"/>
      <c r="L19" s="199"/>
      <c r="M19" s="182"/>
      <c r="N19" s="216"/>
      <c r="O19" s="199"/>
      <c r="P19" s="75"/>
      <c r="Q19" s="182"/>
      <c r="R19" s="216"/>
      <c r="S19" s="246"/>
      <c r="T19" s="151"/>
      <c r="U19" s="231"/>
      <c r="V19" s="34"/>
    </row>
    <row r="20" spans="2:22" ht="16.5" customHeight="1" thickBot="1">
      <c r="D20" s="260" t="s">
        <v>55</v>
      </c>
      <c r="E20" s="262"/>
      <c r="F20" s="265"/>
      <c r="G20" s="266"/>
      <c r="H20" s="267"/>
      <c r="I20" s="265"/>
      <c r="J20" s="266"/>
      <c r="K20" s="267"/>
      <c r="L20" s="265"/>
      <c r="M20" s="266"/>
      <c r="N20" s="267"/>
      <c r="O20" s="268"/>
      <c r="P20" s="269"/>
      <c r="Q20" s="266"/>
      <c r="R20" s="267"/>
      <c r="S20" s="265"/>
      <c r="T20" s="267"/>
    </row>
    <row r="21" spans="2:22" ht="16.5" customHeight="1" thickBot="1"/>
    <row r="22" spans="2:22" ht="16.5" customHeight="1">
      <c r="B22" s="64" t="s">
        <v>20</v>
      </c>
      <c r="C22" s="14" t="s">
        <v>46</v>
      </c>
      <c r="D22" s="114" t="s">
        <v>32</v>
      </c>
      <c r="E22" s="115"/>
      <c r="F22" s="200"/>
      <c r="G22" s="177"/>
      <c r="H22" s="76"/>
      <c r="I22" s="200"/>
      <c r="J22" s="177"/>
      <c r="K22" s="76"/>
      <c r="L22" s="200"/>
      <c r="M22" s="177"/>
      <c r="N22" s="217"/>
      <c r="O22" s="200"/>
      <c r="P22" s="77"/>
      <c r="Q22" s="177"/>
      <c r="R22" s="217"/>
      <c r="S22" s="247"/>
      <c r="T22" s="137"/>
      <c r="U22" s="232"/>
      <c r="V22" s="35"/>
    </row>
    <row r="23" spans="2:22" ht="17.25" customHeight="1">
      <c r="B23" s="65"/>
      <c r="C23" s="7" t="s">
        <v>23</v>
      </c>
      <c r="D23" s="116"/>
      <c r="E23" s="117"/>
      <c r="F23" s="201"/>
      <c r="G23" s="178"/>
      <c r="H23" s="78"/>
      <c r="I23" s="201"/>
      <c r="J23" s="178"/>
      <c r="K23" s="78"/>
      <c r="L23" s="201"/>
      <c r="M23" s="178"/>
      <c r="N23" s="218"/>
      <c r="O23" s="201"/>
      <c r="P23" s="79"/>
      <c r="Q23" s="178"/>
      <c r="R23" s="218"/>
      <c r="S23" s="248"/>
      <c r="T23" s="138"/>
      <c r="U23" s="233"/>
      <c r="V23" s="36"/>
    </row>
    <row r="24" spans="2:22" ht="16.5" customHeight="1">
      <c r="B24" s="65"/>
      <c r="C24" s="7" t="s">
        <v>24</v>
      </c>
      <c r="D24" s="122" t="s">
        <v>35</v>
      </c>
      <c r="E24" s="123"/>
      <c r="F24" s="201"/>
      <c r="G24" s="178"/>
      <c r="H24" s="78"/>
      <c r="I24" s="201"/>
      <c r="J24" s="178"/>
      <c r="K24" s="78"/>
      <c r="L24" s="201"/>
      <c r="M24" s="178"/>
      <c r="N24" s="218"/>
      <c r="O24" s="201"/>
      <c r="P24" s="79"/>
      <c r="Q24" s="178"/>
      <c r="R24" s="218"/>
      <c r="S24" s="248"/>
      <c r="T24" s="138"/>
      <c r="U24" s="233"/>
      <c r="V24" s="36"/>
    </row>
    <row r="25" spans="2:22" ht="16.5" customHeight="1" thickBot="1">
      <c r="B25" s="66"/>
      <c r="C25" s="6" t="s">
        <v>25</v>
      </c>
      <c r="D25" s="124"/>
      <c r="E25" s="125"/>
      <c r="F25" s="202"/>
      <c r="G25" s="179"/>
      <c r="H25" s="80"/>
      <c r="I25" s="202"/>
      <c r="J25" s="179"/>
      <c r="K25" s="80"/>
      <c r="L25" s="202"/>
      <c r="M25" s="179"/>
      <c r="N25" s="219"/>
      <c r="O25" s="202"/>
      <c r="P25" s="81"/>
      <c r="Q25" s="179"/>
      <c r="R25" s="219"/>
      <c r="S25" s="249"/>
      <c r="T25" s="139"/>
      <c r="U25" s="234"/>
      <c r="V25" s="37"/>
    </row>
    <row r="26" spans="2:22" ht="16.5" customHeight="1" thickBot="1">
      <c r="D26" s="260" t="s">
        <v>55</v>
      </c>
      <c r="E26" s="262"/>
      <c r="F26" s="265"/>
      <c r="G26" s="266"/>
      <c r="H26" s="267"/>
      <c r="I26" s="265"/>
      <c r="J26" s="266"/>
      <c r="K26" s="267"/>
      <c r="L26" s="265"/>
      <c r="M26" s="266"/>
      <c r="N26" s="267"/>
      <c r="O26" s="268"/>
      <c r="P26" s="269"/>
      <c r="Q26" s="266"/>
      <c r="R26" s="267"/>
      <c r="S26" s="265"/>
      <c r="T26" s="267"/>
    </row>
    <row r="27" spans="2:22" ht="17.25" customHeight="1" thickBot="1"/>
    <row r="28" spans="2:22" ht="16.5" customHeight="1">
      <c r="B28" s="67" t="s">
        <v>21</v>
      </c>
      <c r="C28" s="15" t="s">
        <v>47</v>
      </c>
      <c r="D28" s="126" t="s">
        <v>36</v>
      </c>
      <c r="E28" s="127"/>
      <c r="F28" s="203"/>
      <c r="G28" s="174"/>
      <c r="H28" s="53"/>
      <c r="I28" s="203"/>
      <c r="J28" s="174"/>
      <c r="K28" s="53"/>
      <c r="L28" s="203"/>
      <c r="M28" s="174"/>
      <c r="N28" s="220"/>
      <c r="O28" s="203"/>
      <c r="P28" s="54"/>
      <c r="Q28" s="174"/>
      <c r="R28" s="220"/>
      <c r="S28" s="250"/>
      <c r="T28" s="50"/>
      <c r="U28" s="235"/>
      <c r="V28" s="38"/>
    </row>
    <row r="29" spans="2:22" ht="17.25" customHeight="1">
      <c r="B29" s="68"/>
      <c r="C29" s="5" t="s">
        <v>26</v>
      </c>
      <c r="D29" s="128"/>
      <c r="E29" s="129"/>
      <c r="F29" s="204"/>
      <c r="G29" s="175"/>
      <c r="H29" s="55"/>
      <c r="I29" s="204"/>
      <c r="J29" s="175"/>
      <c r="K29" s="55"/>
      <c r="L29" s="204"/>
      <c r="M29" s="175"/>
      <c r="N29" s="221"/>
      <c r="O29" s="204"/>
      <c r="P29" s="56"/>
      <c r="Q29" s="175"/>
      <c r="R29" s="221"/>
      <c r="S29" s="251"/>
      <c r="T29" s="51"/>
      <c r="U29" s="236"/>
      <c r="V29" s="39"/>
    </row>
    <row r="30" spans="2:22" ht="16.5" customHeight="1">
      <c r="B30" s="68"/>
      <c r="C30" s="5" t="s">
        <v>27</v>
      </c>
      <c r="D30" s="130" t="s">
        <v>37</v>
      </c>
      <c r="E30" s="131"/>
      <c r="F30" s="204"/>
      <c r="G30" s="175"/>
      <c r="H30" s="55"/>
      <c r="I30" s="204"/>
      <c r="J30" s="175"/>
      <c r="K30" s="55"/>
      <c r="L30" s="204"/>
      <c r="M30" s="175"/>
      <c r="N30" s="221"/>
      <c r="O30" s="204"/>
      <c r="P30" s="56"/>
      <c r="Q30" s="175"/>
      <c r="R30" s="221"/>
      <c r="S30" s="251"/>
      <c r="T30" s="51"/>
      <c r="U30" s="236"/>
      <c r="V30" s="39"/>
    </row>
    <row r="31" spans="2:22" ht="17.25" customHeight="1" thickBot="1">
      <c r="B31" s="69"/>
      <c r="C31" s="4" t="s">
        <v>28</v>
      </c>
      <c r="D31" s="132"/>
      <c r="E31" s="133"/>
      <c r="F31" s="205"/>
      <c r="G31" s="176"/>
      <c r="H31" s="57"/>
      <c r="I31" s="205"/>
      <c r="J31" s="176"/>
      <c r="K31" s="57"/>
      <c r="L31" s="205"/>
      <c r="M31" s="176"/>
      <c r="N31" s="222"/>
      <c r="O31" s="205"/>
      <c r="P31" s="58"/>
      <c r="Q31" s="176"/>
      <c r="R31" s="222"/>
      <c r="S31" s="252"/>
      <c r="T31" s="52"/>
      <c r="U31" s="237"/>
      <c r="V31" s="40"/>
    </row>
    <row r="32" spans="2:22" ht="17.25" thickBot="1">
      <c r="D32" s="260" t="s">
        <v>55</v>
      </c>
      <c r="E32" s="262"/>
      <c r="F32" s="265"/>
      <c r="G32" s="266"/>
      <c r="H32" s="267"/>
      <c r="I32" s="265"/>
      <c r="J32" s="266"/>
      <c r="K32" s="267"/>
      <c r="L32" s="265"/>
      <c r="M32" s="266"/>
      <c r="N32" s="267"/>
      <c r="O32" s="268"/>
      <c r="P32" s="269"/>
      <c r="Q32" s="266"/>
      <c r="R32" s="267"/>
      <c r="S32" s="265"/>
      <c r="T32" s="267"/>
    </row>
    <row r="33" spans="2:22" ht="17.25" thickBot="1"/>
    <row r="34" spans="2:22" ht="16.5" customHeight="1">
      <c r="B34" s="111" t="s">
        <v>22</v>
      </c>
      <c r="C34" s="16" t="s">
        <v>48</v>
      </c>
      <c r="D34" s="82" t="s">
        <v>38</v>
      </c>
      <c r="E34" s="83"/>
      <c r="F34" s="207"/>
      <c r="G34" s="171"/>
      <c r="H34" s="44"/>
      <c r="I34" s="207"/>
      <c r="J34" s="171"/>
      <c r="K34" s="44"/>
      <c r="L34" s="207"/>
      <c r="M34" s="171"/>
      <c r="N34" s="223"/>
      <c r="O34" s="207"/>
      <c r="P34" s="45"/>
      <c r="Q34" s="171"/>
      <c r="R34" s="223"/>
      <c r="S34" s="253"/>
      <c r="T34" s="41"/>
      <c r="U34" s="238"/>
      <c r="V34" s="22"/>
    </row>
    <row r="35" spans="2:22" ht="16.5" customHeight="1">
      <c r="B35" s="112"/>
      <c r="C35" s="3" t="s">
        <v>29</v>
      </c>
      <c r="D35" s="84"/>
      <c r="E35" s="85"/>
      <c r="F35" s="206"/>
      <c r="G35" s="172"/>
      <c r="H35" s="46"/>
      <c r="I35" s="206"/>
      <c r="J35" s="172"/>
      <c r="K35" s="46"/>
      <c r="L35" s="206"/>
      <c r="M35" s="172"/>
      <c r="N35" s="224"/>
      <c r="O35" s="206"/>
      <c r="P35" s="47"/>
      <c r="Q35" s="172"/>
      <c r="R35" s="224"/>
      <c r="S35" s="254"/>
      <c r="T35" s="42"/>
      <c r="U35" s="239"/>
      <c r="V35" s="23"/>
    </row>
    <row r="36" spans="2:22" ht="16.5" customHeight="1">
      <c r="B36" s="112"/>
      <c r="C36" s="2" t="s">
        <v>30</v>
      </c>
      <c r="D36" s="86" t="s">
        <v>39</v>
      </c>
      <c r="E36" s="87"/>
      <c r="F36" s="206"/>
      <c r="G36" s="172"/>
      <c r="H36" s="46"/>
      <c r="I36" s="206"/>
      <c r="J36" s="172"/>
      <c r="K36" s="46"/>
      <c r="L36" s="206"/>
      <c r="M36" s="172"/>
      <c r="N36" s="224"/>
      <c r="O36" s="206"/>
      <c r="P36" s="47"/>
      <c r="Q36" s="172"/>
      <c r="R36" s="224"/>
      <c r="S36" s="254"/>
      <c r="T36" s="42"/>
      <c r="U36" s="239"/>
      <c r="V36" s="23"/>
    </row>
    <row r="37" spans="2:22" ht="17.25" customHeight="1" thickBot="1">
      <c r="B37" s="113"/>
      <c r="C37" s="1" t="s">
        <v>31</v>
      </c>
      <c r="D37" s="88"/>
      <c r="E37" s="89"/>
      <c r="F37" s="208"/>
      <c r="G37" s="173"/>
      <c r="H37" s="48"/>
      <c r="I37" s="208"/>
      <c r="J37" s="173"/>
      <c r="K37" s="48"/>
      <c r="L37" s="208"/>
      <c r="M37" s="173"/>
      <c r="N37" s="225"/>
      <c r="O37" s="208"/>
      <c r="P37" s="49"/>
      <c r="Q37" s="173"/>
      <c r="R37" s="225"/>
      <c r="S37" s="255"/>
      <c r="T37" s="43"/>
      <c r="U37" s="240"/>
      <c r="V37" s="24"/>
    </row>
    <row r="38" spans="2:22" ht="17.25" thickBot="1">
      <c r="D38" s="260" t="s">
        <v>55</v>
      </c>
      <c r="E38" s="262"/>
      <c r="F38" s="265"/>
      <c r="G38" s="266"/>
      <c r="H38" s="267"/>
      <c r="I38" s="265"/>
      <c r="J38" s="266"/>
      <c r="K38" s="267"/>
      <c r="L38" s="265"/>
      <c r="M38" s="266"/>
      <c r="N38" s="267"/>
      <c r="O38" s="268"/>
      <c r="P38" s="269"/>
      <c r="Q38" s="266"/>
      <c r="R38" s="267"/>
      <c r="S38" s="265"/>
      <c r="T38" s="267"/>
    </row>
  </sheetData>
  <mergeCells count="153">
    <mergeCell ref="D38:E38"/>
    <mergeCell ref="F38:H38"/>
    <mergeCell ref="I38:K38"/>
    <mergeCell ref="L38:N38"/>
    <mergeCell ref="P38:R38"/>
    <mergeCell ref="S38:T38"/>
    <mergeCell ref="P34:P37"/>
    <mergeCell ref="Q34:Q37"/>
    <mergeCell ref="R34:R37"/>
    <mergeCell ref="S34:T37"/>
    <mergeCell ref="U34:V37"/>
    <mergeCell ref="D36:E37"/>
    <mergeCell ref="J34:J37"/>
    <mergeCell ref="K34:K37"/>
    <mergeCell ref="L34:L37"/>
    <mergeCell ref="M34:M37"/>
    <mergeCell ref="N34:N37"/>
    <mergeCell ref="O34:O37"/>
    <mergeCell ref="B34:B37"/>
    <mergeCell ref="D34:E35"/>
    <mergeCell ref="F34:F37"/>
    <mergeCell ref="G34:G37"/>
    <mergeCell ref="H34:H37"/>
    <mergeCell ref="I34:I37"/>
    <mergeCell ref="D32:E32"/>
    <mergeCell ref="F32:H32"/>
    <mergeCell ref="I32:K32"/>
    <mergeCell ref="L32:N32"/>
    <mergeCell ref="P32:R32"/>
    <mergeCell ref="S32:T32"/>
    <mergeCell ref="P28:P31"/>
    <mergeCell ref="Q28:Q31"/>
    <mergeCell ref="R28:R31"/>
    <mergeCell ref="S28:T31"/>
    <mergeCell ref="U28:V31"/>
    <mergeCell ref="D30:E31"/>
    <mergeCell ref="J28:J31"/>
    <mergeCell ref="K28:K31"/>
    <mergeCell ref="L28:L31"/>
    <mergeCell ref="M28:M31"/>
    <mergeCell ref="N28:N31"/>
    <mergeCell ref="O28:O31"/>
    <mergeCell ref="B28:B31"/>
    <mergeCell ref="D28:E29"/>
    <mergeCell ref="F28:F31"/>
    <mergeCell ref="G28:G31"/>
    <mergeCell ref="H28:H31"/>
    <mergeCell ref="I28:I31"/>
    <mergeCell ref="D26:E26"/>
    <mergeCell ref="F26:H26"/>
    <mergeCell ref="I26:K26"/>
    <mergeCell ref="L26:N26"/>
    <mergeCell ref="P26:R26"/>
    <mergeCell ref="S26:T26"/>
    <mergeCell ref="P22:P25"/>
    <mergeCell ref="Q22:Q25"/>
    <mergeCell ref="R22:R25"/>
    <mergeCell ref="S22:T25"/>
    <mergeCell ref="U22:V25"/>
    <mergeCell ref="D24:E25"/>
    <mergeCell ref="J22:J25"/>
    <mergeCell ref="K22:K25"/>
    <mergeCell ref="L22:L25"/>
    <mergeCell ref="M22:M25"/>
    <mergeCell ref="N22:N25"/>
    <mergeCell ref="O22:O25"/>
    <mergeCell ref="B22:B25"/>
    <mergeCell ref="D22:E23"/>
    <mergeCell ref="F22:F25"/>
    <mergeCell ref="G22:G25"/>
    <mergeCell ref="H22:H25"/>
    <mergeCell ref="I22:I25"/>
    <mergeCell ref="R16:R19"/>
    <mergeCell ref="S16:T19"/>
    <mergeCell ref="U16:V19"/>
    <mergeCell ref="D18:E19"/>
    <mergeCell ref="D20:E20"/>
    <mergeCell ref="F20:H20"/>
    <mergeCell ref="I20:K20"/>
    <mergeCell ref="L20:N20"/>
    <mergeCell ref="P20:R20"/>
    <mergeCell ref="S20:T20"/>
    <mergeCell ref="L16:L19"/>
    <mergeCell ref="M16:M19"/>
    <mergeCell ref="N16:N19"/>
    <mergeCell ref="O16:O19"/>
    <mergeCell ref="P16:P19"/>
    <mergeCell ref="Q16:Q19"/>
    <mergeCell ref="P14:R14"/>
    <mergeCell ref="S14:T14"/>
    <mergeCell ref="B16:B19"/>
    <mergeCell ref="D16:E17"/>
    <mergeCell ref="F16:F19"/>
    <mergeCell ref="G16:G19"/>
    <mergeCell ref="H16:H19"/>
    <mergeCell ref="I16:I19"/>
    <mergeCell ref="J16:J19"/>
    <mergeCell ref="K16:K19"/>
    <mergeCell ref="D11:E11"/>
    <mergeCell ref="D12:E13"/>
    <mergeCell ref="D14:E14"/>
    <mergeCell ref="F14:H14"/>
    <mergeCell ref="I14:K14"/>
    <mergeCell ref="L14:N14"/>
    <mergeCell ref="O10:O13"/>
    <mergeCell ref="P10:P13"/>
    <mergeCell ref="Q10:Q13"/>
    <mergeCell ref="R10:R13"/>
    <mergeCell ref="S10:T13"/>
    <mergeCell ref="U10:V13"/>
    <mergeCell ref="I10:I13"/>
    <mergeCell ref="J10:J13"/>
    <mergeCell ref="K10:K13"/>
    <mergeCell ref="L10:L13"/>
    <mergeCell ref="M10:M13"/>
    <mergeCell ref="N10:N13"/>
    <mergeCell ref="O8:O9"/>
    <mergeCell ref="P8:P9"/>
    <mergeCell ref="Q8:Q9"/>
    <mergeCell ref="R8:R9"/>
    <mergeCell ref="S8:T9"/>
    <mergeCell ref="B10:B13"/>
    <mergeCell ref="D10:E10"/>
    <mergeCell ref="F10:F13"/>
    <mergeCell ref="G10:G13"/>
    <mergeCell ref="H10:H13"/>
    <mergeCell ref="S6:T7"/>
    <mergeCell ref="D8:E9"/>
    <mergeCell ref="F8:F9"/>
    <mergeCell ref="G8:G9"/>
    <mergeCell ref="H8:H9"/>
    <mergeCell ref="I8:I9"/>
    <mergeCell ref="J8:J9"/>
    <mergeCell ref="K8:K9"/>
    <mergeCell ref="L8:L9"/>
    <mergeCell ref="M8:M9"/>
    <mergeCell ref="O4:R4"/>
    <mergeCell ref="S4:T5"/>
    <mergeCell ref="U4:V9"/>
    <mergeCell ref="P5:R5"/>
    <mergeCell ref="D6:E7"/>
    <mergeCell ref="F6:H7"/>
    <mergeCell ref="I6:K7"/>
    <mergeCell ref="L6:N7"/>
    <mergeCell ref="O6:O7"/>
    <mergeCell ref="P6:R7"/>
    <mergeCell ref="B4:B9"/>
    <mergeCell ref="C4:C9"/>
    <mergeCell ref="D4:E5"/>
    <mergeCell ref="F4:H5"/>
    <mergeCell ref="I4:K5"/>
    <mergeCell ref="L4:N5"/>
    <mergeCell ref="N8:N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2A9B-1737-4D2E-BDEB-F71AB9C36793}">
  <dimension ref="B2:V38"/>
  <sheetViews>
    <sheetView zoomScale="85" zoomScaleNormal="85" workbookViewId="0">
      <selection activeCell="X34" sqref="X34"/>
    </sheetView>
  </sheetViews>
  <sheetFormatPr defaultRowHeight="16.5"/>
  <cols>
    <col min="1" max="1" width="9" style="11"/>
    <col min="2" max="2" width="7.375" style="11" customWidth="1"/>
    <col min="3" max="3" width="11.125" style="11" customWidth="1"/>
    <col min="4" max="4" width="13.125" style="11" customWidth="1"/>
    <col min="5" max="5" width="13.5" style="11" customWidth="1"/>
    <col min="6" max="18" width="7.125" style="11" bestFit="1" customWidth="1"/>
    <col min="19" max="16384" width="9" style="11"/>
  </cols>
  <sheetData>
    <row r="2" spans="2:22" ht="13.5" customHeight="1"/>
    <row r="3" spans="2:22" ht="14.25" customHeight="1" thickBot="1">
      <c r="S3" s="18" t="s">
        <v>43</v>
      </c>
      <c r="T3" s="17">
        <v>21</v>
      </c>
    </row>
    <row r="4" spans="2:22">
      <c r="B4" s="19" t="s">
        <v>42</v>
      </c>
      <c r="C4" s="19" t="s">
        <v>41</v>
      </c>
      <c r="D4" s="25" t="s">
        <v>8</v>
      </c>
      <c r="E4" s="161"/>
      <c r="F4" s="107" t="s">
        <v>7</v>
      </c>
      <c r="G4" s="155"/>
      <c r="H4" s="158"/>
      <c r="I4" s="107" t="s">
        <v>6</v>
      </c>
      <c r="J4" s="155"/>
      <c r="K4" s="158"/>
      <c r="L4" s="107" t="s">
        <v>5</v>
      </c>
      <c r="M4" s="155"/>
      <c r="N4" s="158"/>
      <c r="O4" s="209" t="s">
        <v>4</v>
      </c>
      <c r="P4" s="152"/>
      <c r="Q4" s="152"/>
      <c r="R4" s="210"/>
      <c r="S4" s="107" t="s">
        <v>3</v>
      </c>
      <c r="T4" s="158"/>
      <c r="U4" s="25" t="s">
        <v>40</v>
      </c>
      <c r="V4" s="26"/>
    </row>
    <row r="5" spans="2:22">
      <c r="B5" s="20"/>
      <c r="C5" s="20"/>
      <c r="D5" s="102"/>
      <c r="E5" s="162"/>
      <c r="F5" s="108"/>
      <c r="G5" s="156"/>
      <c r="H5" s="135"/>
      <c r="I5" s="108"/>
      <c r="J5" s="156"/>
      <c r="K5" s="135"/>
      <c r="L5" s="108"/>
      <c r="M5" s="156"/>
      <c r="N5" s="135"/>
      <c r="O5" s="160" t="s">
        <v>2</v>
      </c>
      <c r="P5" s="134" t="s">
        <v>1</v>
      </c>
      <c r="Q5" s="156"/>
      <c r="R5" s="135"/>
      <c r="S5" s="108"/>
      <c r="T5" s="135"/>
      <c r="U5" s="27"/>
      <c r="V5" s="28"/>
    </row>
    <row r="6" spans="2:22">
      <c r="B6" s="20"/>
      <c r="C6" s="20"/>
      <c r="D6" s="103" t="s">
        <v>0</v>
      </c>
      <c r="E6" s="163"/>
      <c r="F6" s="109">
        <v>0.3</v>
      </c>
      <c r="G6" s="153"/>
      <c r="H6" s="159"/>
      <c r="I6" s="109">
        <v>0.15</v>
      </c>
      <c r="J6" s="153"/>
      <c r="K6" s="159"/>
      <c r="L6" s="109">
        <v>0.1</v>
      </c>
      <c r="M6" s="153"/>
      <c r="N6" s="159"/>
      <c r="O6" s="154">
        <v>0.1</v>
      </c>
      <c r="P6" s="136">
        <v>0.15</v>
      </c>
      <c r="Q6" s="153"/>
      <c r="R6" s="159"/>
      <c r="S6" s="109">
        <v>0.2</v>
      </c>
      <c r="T6" s="104"/>
      <c r="U6" s="27"/>
      <c r="V6" s="28"/>
    </row>
    <row r="7" spans="2:22">
      <c r="B7" s="20"/>
      <c r="C7" s="20"/>
      <c r="D7" s="164"/>
      <c r="E7" s="169"/>
      <c r="F7" s="166"/>
      <c r="G7" s="167"/>
      <c r="H7" s="168"/>
      <c r="I7" s="166"/>
      <c r="J7" s="167"/>
      <c r="K7" s="168"/>
      <c r="L7" s="166"/>
      <c r="M7" s="167"/>
      <c r="N7" s="168"/>
      <c r="O7" s="187"/>
      <c r="P7" s="186"/>
      <c r="Q7" s="167"/>
      <c r="R7" s="168"/>
      <c r="S7" s="164"/>
      <c r="T7" s="165"/>
      <c r="U7" s="27"/>
      <c r="V7" s="28"/>
    </row>
    <row r="8" spans="2:22">
      <c r="B8" s="20"/>
      <c r="C8" s="20"/>
      <c r="D8" s="103" t="s">
        <v>49</v>
      </c>
      <c r="E8" s="163"/>
      <c r="F8" s="189">
        <v>1</v>
      </c>
      <c r="G8" s="193">
        <v>2</v>
      </c>
      <c r="H8" s="188">
        <v>3</v>
      </c>
      <c r="I8" s="189">
        <v>1</v>
      </c>
      <c r="J8" s="191">
        <v>2</v>
      </c>
      <c r="K8" s="188">
        <v>3</v>
      </c>
      <c r="L8" s="189">
        <v>1</v>
      </c>
      <c r="M8" s="191">
        <v>2</v>
      </c>
      <c r="N8" s="188">
        <v>3</v>
      </c>
      <c r="O8" s="189">
        <v>4</v>
      </c>
      <c r="P8" s="193">
        <v>1</v>
      </c>
      <c r="Q8" s="191">
        <v>2</v>
      </c>
      <c r="R8" s="188">
        <v>3</v>
      </c>
      <c r="S8" s="170" t="s">
        <v>54</v>
      </c>
      <c r="T8" s="188"/>
      <c r="U8" s="27"/>
      <c r="V8" s="28"/>
    </row>
    <row r="9" spans="2:22" ht="17.25" thickBot="1">
      <c r="B9" s="21"/>
      <c r="C9" s="21"/>
      <c r="D9" s="105"/>
      <c r="E9" s="157"/>
      <c r="F9" s="190"/>
      <c r="G9" s="110"/>
      <c r="H9" s="106"/>
      <c r="I9" s="190"/>
      <c r="J9" s="192"/>
      <c r="K9" s="106"/>
      <c r="L9" s="190"/>
      <c r="M9" s="192"/>
      <c r="N9" s="106"/>
      <c r="O9" s="190"/>
      <c r="P9" s="110"/>
      <c r="Q9" s="192"/>
      <c r="R9" s="106"/>
      <c r="S9" s="105"/>
      <c r="T9" s="106"/>
      <c r="U9" s="256"/>
      <c r="V9" s="257"/>
    </row>
    <row r="10" spans="2:22" ht="16.5" customHeight="1">
      <c r="B10" s="59" t="s">
        <v>11</v>
      </c>
      <c r="C10" s="12" t="s">
        <v>44</v>
      </c>
      <c r="D10" s="98" t="s">
        <v>12</v>
      </c>
      <c r="E10" s="99"/>
      <c r="F10" s="194">
        <v>22</v>
      </c>
      <c r="G10" s="183">
        <v>25</v>
      </c>
      <c r="H10" s="140">
        <v>20</v>
      </c>
      <c r="I10" s="194">
        <v>11</v>
      </c>
      <c r="J10" s="183">
        <v>12</v>
      </c>
      <c r="K10" s="140">
        <v>10</v>
      </c>
      <c r="L10" s="194">
        <v>7</v>
      </c>
      <c r="M10" s="183">
        <v>7</v>
      </c>
      <c r="N10" s="211">
        <v>7</v>
      </c>
      <c r="O10" s="194">
        <v>7</v>
      </c>
      <c r="P10" s="141">
        <v>12</v>
      </c>
      <c r="Q10" s="183">
        <v>15</v>
      </c>
      <c r="R10" s="211">
        <v>14</v>
      </c>
      <c r="S10" s="241">
        <f>1/T3*10*2*5</f>
        <v>4.7619047619047619</v>
      </c>
      <c r="T10" s="146"/>
      <c r="U10" s="226">
        <f>SUM(F14:T14)</f>
        <v>65.761904761904759</v>
      </c>
      <c r="V10" s="29"/>
    </row>
    <row r="11" spans="2:22" ht="16.5" customHeight="1">
      <c r="B11" s="60"/>
      <c r="C11" s="10" t="s">
        <v>14</v>
      </c>
      <c r="D11" s="100" t="s">
        <v>13</v>
      </c>
      <c r="E11" s="101"/>
      <c r="F11" s="195"/>
      <c r="G11" s="184"/>
      <c r="H11" s="142"/>
      <c r="I11" s="195"/>
      <c r="J11" s="184"/>
      <c r="K11" s="142"/>
      <c r="L11" s="195"/>
      <c r="M11" s="184"/>
      <c r="N11" s="212"/>
      <c r="O11" s="195"/>
      <c r="P11" s="143"/>
      <c r="Q11" s="184"/>
      <c r="R11" s="212"/>
      <c r="S11" s="242"/>
      <c r="T11" s="147"/>
      <c r="U11" s="227"/>
      <c r="V11" s="30"/>
    </row>
    <row r="12" spans="2:22" ht="16.5" customHeight="1">
      <c r="B12" s="60"/>
      <c r="C12" s="10" t="s">
        <v>16</v>
      </c>
      <c r="D12" s="118" t="s">
        <v>33</v>
      </c>
      <c r="E12" s="119"/>
      <c r="F12" s="195"/>
      <c r="G12" s="184"/>
      <c r="H12" s="142"/>
      <c r="I12" s="195"/>
      <c r="J12" s="184"/>
      <c r="K12" s="142"/>
      <c r="L12" s="195"/>
      <c r="M12" s="184"/>
      <c r="N12" s="212"/>
      <c r="O12" s="195"/>
      <c r="P12" s="143"/>
      <c r="Q12" s="184"/>
      <c r="R12" s="212"/>
      <c r="S12" s="242"/>
      <c r="T12" s="147"/>
      <c r="U12" s="227"/>
      <c r="V12" s="30"/>
    </row>
    <row r="13" spans="2:22" ht="16.5" customHeight="1" thickBot="1">
      <c r="B13" s="258"/>
      <c r="C13" s="259" t="s">
        <v>15</v>
      </c>
      <c r="D13" s="120"/>
      <c r="E13" s="121"/>
      <c r="F13" s="196"/>
      <c r="G13" s="185"/>
      <c r="H13" s="144"/>
      <c r="I13" s="196"/>
      <c r="J13" s="185"/>
      <c r="K13" s="144"/>
      <c r="L13" s="196"/>
      <c r="M13" s="185"/>
      <c r="N13" s="213"/>
      <c r="O13" s="196"/>
      <c r="P13" s="145"/>
      <c r="Q13" s="185"/>
      <c r="R13" s="213"/>
      <c r="S13" s="243"/>
      <c r="T13" s="148"/>
      <c r="U13" s="228"/>
      <c r="V13" s="31"/>
    </row>
    <row r="14" spans="2:22" ht="16.5" customHeight="1" thickBot="1">
      <c r="D14" s="260" t="s">
        <v>55</v>
      </c>
      <c r="E14" s="262"/>
      <c r="F14" s="265">
        <f>(F10+G10+H10)/3</f>
        <v>22.333333333333332</v>
      </c>
      <c r="G14" s="266"/>
      <c r="H14" s="267"/>
      <c r="I14" s="265">
        <f>(I10+J10+K10)/3</f>
        <v>11</v>
      </c>
      <c r="J14" s="266"/>
      <c r="K14" s="267"/>
      <c r="L14" s="265">
        <f>(L10+M10+N10)/3</f>
        <v>7</v>
      </c>
      <c r="M14" s="266"/>
      <c r="N14" s="267"/>
      <c r="O14" s="268">
        <f>O10</f>
        <v>7</v>
      </c>
      <c r="P14" s="269">
        <f>(P10+Q10+R10)/3</f>
        <v>13.666666666666666</v>
      </c>
      <c r="Q14" s="266"/>
      <c r="R14" s="267"/>
      <c r="S14" s="265">
        <f>S10</f>
        <v>4.7619047619047619</v>
      </c>
      <c r="T14" s="267"/>
    </row>
    <row r="15" spans="2:22" ht="14.25" customHeight="1" thickBot="1"/>
    <row r="16" spans="2:22" ht="16.5" customHeight="1">
      <c r="B16" s="61" t="s">
        <v>9</v>
      </c>
      <c r="C16" s="13" t="s">
        <v>45</v>
      </c>
      <c r="D16" s="90" t="s">
        <v>10</v>
      </c>
      <c r="E16" s="91"/>
      <c r="F16" s="197">
        <v>25</v>
      </c>
      <c r="G16" s="180">
        <v>20</v>
      </c>
      <c r="H16" s="70">
        <v>21</v>
      </c>
      <c r="I16" s="197">
        <v>12</v>
      </c>
      <c r="J16" s="180">
        <v>10</v>
      </c>
      <c r="K16" s="70">
        <v>11</v>
      </c>
      <c r="L16" s="197">
        <v>10</v>
      </c>
      <c r="M16" s="180">
        <v>8</v>
      </c>
      <c r="N16" s="214">
        <v>8</v>
      </c>
      <c r="O16" s="197">
        <v>10</v>
      </c>
      <c r="P16" s="71">
        <v>13</v>
      </c>
      <c r="Q16" s="180">
        <v>15</v>
      </c>
      <c r="R16" s="214">
        <v>15</v>
      </c>
      <c r="S16" s="244">
        <f>1/T3*10*5*2</f>
        <v>4.7619047619047619</v>
      </c>
      <c r="T16" s="149"/>
      <c r="U16" s="229">
        <f>SUM(F20:T20)</f>
        <v>70.761904761904759</v>
      </c>
      <c r="V16" s="32"/>
    </row>
    <row r="17" spans="2:22" ht="16.5" customHeight="1">
      <c r="B17" s="62"/>
      <c r="C17" s="9" t="s">
        <v>17</v>
      </c>
      <c r="D17" s="92"/>
      <c r="E17" s="93"/>
      <c r="F17" s="198"/>
      <c r="G17" s="181"/>
      <c r="H17" s="72"/>
      <c r="I17" s="198"/>
      <c r="J17" s="181"/>
      <c r="K17" s="72"/>
      <c r="L17" s="198"/>
      <c r="M17" s="181"/>
      <c r="N17" s="215"/>
      <c r="O17" s="198"/>
      <c r="P17" s="73"/>
      <c r="Q17" s="181"/>
      <c r="R17" s="215"/>
      <c r="S17" s="245"/>
      <c r="T17" s="150"/>
      <c r="U17" s="230"/>
      <c r="V17" s="33"/>
    </row>
    <row r="18" spans="2:22" ht="16.5" customHeight="1">
      <c r="B18" s="62"/>
      <c r="C18" s="9" t="s">
        <v>18</v>
      </c>
      <c r="D18" s="94" t="s">
        <v>34</v>
      </c>
      <c r="E18" s="95"/>
      <c r="F18" s="198"/>
      <c r="G18" s="181"/>
      <c r="H18" s="72"/>
      <c r="I18" s="198"/>
      <c r="J18" s="181"/>
      <c r="K18" s="72"/>
      <c r="L18" s="198"/>
      <c r="M18" s="181"/>
      <c r="N18" s="215"/>
      <c r="O18" s="198"/>
      <c r="P18" s="73"/>
      <c r="Q18" s="181"/>
      <c r="R18" s="215"/>
      <c r="S18" s="245"/>
      <c r="T18" s="150"/>
      <c r="U18" s="230"/>
      <c r="V18" s="33"/>
    </row>
    <row r="19" spans="2:22" ht="17.25" customHeight="1" thickBot="1">
      <c r="B19" s="63"/>
      <c r="C19" s="8" t="s">
        <v>19</v>
      </c>
      <c r="D19" s="96"/>
      <c r="E19" s="97"/>
      <c r="F19" s="199"/>
      <c r="G19" s="182"/>
      <c r="H19" s="74"/>
      <c r="I19" s="199"/>
      <c r="J19" s="182"/>
      <c r="K19" s="74"/>
      <c r="L19" s="199"/>
      <c r="M19" s="182"/>
      <c r="N19" s="216"/>
      <c r="O19" s="199"/>
      <c r="P19" s="75"/>
      <c r="Q19" s="182"/>
      <c r="R19" s="216"/>
      <c r="S19" s="246"/>
      <c r="T19" s="151"/>
      <c r="U19" s="231"/>
      <c r="V19" s="34"/>
    </row>
    <row r="20" spans="2:22" ht="16.5" customHeight="1" thickBot="1">
      <c r="D20" s="260" t="s">
        <v>55</v>
      </c>
      <c r="E20" s="262"/>
      <c r="F20" s="265">
        <f>(F16+G16+H16)/3</f>
        <v>22</v>
      </c>
      <c r="G20" s="266"/>
      <c r="H20" s="267"/>
      <c r="I20" s="265">
        <f>(I16+J16+K16)/3</f>
        <v>11</v>
      </c>
      <c r="J20" s="266"/>
      <c r="K20" s="267"/>
      <c r="L20" s="265">
        <f>(L16+M16+N16)/3</f>
        <v>8.6666666666666661</v>
      </c>
      <c r="M20" s="266"/>
      <c r="N20" s="267"/>
      <c r="O20" s="268">
        <f>O16</f>
        <v>10</v>
      </c>
      <c r="P20" s="269">
        <f>(P16+Q16+R16)/3</f>
        <v>14.333333333333334</v>
      </c>
      <c r="Q20" s="266"/>
      <c r="R20" s="267"/>
      <c r="S20" s="265">
        <f>S16</f>
        <v>4.7619047619047619</v>
      </c>
      <c r="T20" s="267"/>
    </row>
    <row r="21" spans="2:22" ht="16.5" customHeight="1" thickBot="1"/>
    <row r="22" spans="2:22" ht="16.5" customHeight="1">
      <c r="B22" s="64" t="s">
        <v>20</v>
      </c>
      <c r="C22" s="14" t="s">
        <v>46</v>
      </c>
      <c r="D22" s="114" t="s">
        <v>32</v>
      </c>
      <c r="E22" s="115"/>
      <c r="F22" s="200">
        <v>22</v>
      </c>
      <c r="G22" s="177">
        <v>18</v>
      </c>
      <c r="H22" s="76">
        <v>19</v>
      </c>
      <c r="I22" s="200">
        <v>15</v>
      </c>
      <c r="J22" s="177">
        <v>14</v>
      </c>
      <c r="K22" s="76">
        <v>15</v>
      </c>
      <c r="L22" s="200">
        <v>6</v>
      </c>
      <c r="M22" s="177">
        <v>9</v>
      </c>
      <c r="N22" s="217">
        <v>6</v>
      </c>
      <c r="O22" s="200">
        <v>2</v>
      </c>
      <c r="P22" s="77">
        <v>11</v>
      </c>
      <c r="Q22" s="177">
        <v>10</v>
      </c>
      <c r="R22" s="217">
        <v>8</v>
      </c>
      <c r="S22" s="247">
        <f>1/T3*10*4*2</f>
        <v>3.8095238095238093</v>
      </c>
      <c r="T22" s="137"/>
      <c r="U22" s="232">
        <f>SUM(F26:T26)</f>
        <v>56.80952380952381</v>
      </c>
      <c r="V22" s="35"/>
    </row>
    <row r="23" spans="2:22" ht="17.25" customHeight="1">
      <c r="B23" s="65"/>
      <c r="C23" s="7" t="s">
        <v>23</v>
      </c>
      <c r="D23" s="116"/>
      <c r="E23" s="117"/>
      <c r="F23" s="201"/>
      <c r="G23" s="178"/>
      <c r="H23" s="78"/>
      <c r="I23" s="201"/>
      <c r="J23" s="178"/>
      <c r="K23" s="78"/>
      <c r="L23" s="201"/>
      <c r="M23" s="178"/>
      <c r="N23" s="218"/>
      <c r="O23" s="201"/>
      <c r="P23" s="79"/>
      <c r="Q23" s="178"/>
      <c r="R23" s="218"/>
      <c r="S23" s="248"/>
      <c r="T23" s="138"/>
      <c r="U23" s="233"/>
      <c r="V23" s="36"/>
    </row>
    <row r="24" spans="2:22" ht="16.5" customHeight="1">
      <c r="B24" s="65"/>
      <c r="C24" s="7" t="s">
        <v>24</v>
      </c>
      <c r="D24" s="122" t="s">
        <v>35</v>
      </c>
      <c r="E24" s="123"/>
      <c r="F24" s="201"/>
      <c r="G24" s="178"/>
      <c r="H24" s="78"/>
      <c r="I24" s="201"/>
      <c r="J24" s="178"/>
      <c r="K24" s="78"/>
      <c r="L24" s="201"/>
      <c r="M24" s="178"/>
      <c r="N24" s="218"/>
      <c r="O24" s="201"/>
      <c r="P24" s="79"/>
      <c r="Q24" s="178"/>
      <c r="R24" s="218"/>
      <c r="S24" s="248"/>
      <c r="T24" s="138"/>
      <c r="U24" s="233"/>
      <c r="V24" s="36"/>
    </row>
    <row r="25" spans="2:22" ht="16.5" customHeight="1" thickBot="1">
      <c r="B25" s="66"/>
      <c r="C25" s="6" t="s">
        <v>25</v>
      </c>
      <c r="D25" s="124"/>
      <c r="E25" s="125"/>
      <c r="F25" s="202"/>
      <c r="G25" s="179"/>
      <c r="H25" s="80"/>
      <c r="I25" s="202"/>
      <c r="J25" s="179"/>
      <c r="K25" s="80"/>
      <c r="L25" s="202"/>
      <c r="M25" s="179"/>
      <c r="N25" s="219"/>
      <c r="O25" s="202"/>
      <c r="P25" s="81"/>
      <c r="Q25" s="179"/>
      <c r="R25" s="219"/>
      <c r="S25" s="249"/>
      <c r="T25" s="139"/>
      <c r="U25" s="234"/>
      <c r="V25" s="37"/>
    </row>
    <row r="26" spans="2:22" ht="16.5" customHeight="1" thickBot="1">
      <c r="D26" s="260" t="s">
        <v>55</v>
      </c>
      <c r="E26" s="262"/>
      <c r="F26" s="265">
        <f>(F22+G22+H22)/3</f>
        <v>19.666666666666668</v>
      </c>
      <c r="G26" s="266"/>
      <c r="H26" s="267"/>
      <c r="I26" s="265">
        <f>(I22+J22+K22)/3</f>
        <v>14.666666666666666</v>
      </c>
      <c r="J26" s="266"/>
      <c r="K26" s="267"/>
      <c r="L26" s="265">
        <f>(L22+M22+N22)/3</f>
        <v>7</v>
      </c>
      <c r="M26" s="266"/>
      <c r="N26" s="267"/>
      <c r="O26" s="268">
        <f>O22</f>
        <v>2</v>
      </c>
      <c r="P26" s="269">
        <f>(P22+Q22+R22)/3</f>
        <v>9.6666666666666661</v>
      </c>
      <c r="Q26" s="266"/>
      <c r="R26" s="267"/>
      <c r="S26" s="265">
        <f>S22</f>
        <v>3.8095238095238093</v>
      </c>
      <c r="T26" s="267"/>
    </row>
    <row r="27" spans="2:22" ht="17.25" customHeight="1" thickBot="1"/>
    <row r="28" spans="2:22" ht="16.5" customHeight="1">
      <c r="B28" s="67" t="s">
        <v>21</v>
      </c>
      <c r="C28" s="15" t="s">
        <v>47</v>
      </c>
      <c r="D28" s="126" t="s">
        <v>36</v>
      </c>
      <c r="E28" s="127"/>
      <c r="F28" s="203">
        <v>18</v>
      </c>
      <c r="G28" s="174">
        <v>15</v>
      </c>
      <c r="H28" s="53">
        <v>17</v>
      </c>
      <c r="I28" s="203">
        <v>10</v>
      </c>
      <c r="J28" s="174">
        <v>9</v>
      </c>
      <c r="K28" s="53">
        <v>8</v>
      </c>
      <c r="L28" s="203">
        <v>9</v>
      </c>
      <c r="M28" s="174">
        <v>9</v>
      </c>
      <c r="N28" s="220">
        <v>8</v>
      </c>
      <c r="O28" s="203">
        <v>8</v>
      </c>
      <c r="P28" s="54">
        <v>12</v>
      </c>
      <c r="Q28" s="174">
        <v>13</v>
      </c>
      <c r="R28" s="220">
        <v>13</v>
      </c>
      <c r="S28" s="250">
        <f>1/T3*10*4*2</f>
        <v>3.8095238095238093</v>
      </c>
      <c r="T28" s="50"/>
      <c r="U28" s="235">
        <f>SUM(F32:T32)</f>
        <v>58.80952380952381</v>
      </c>
      <c r="V28" s="38"/>
    </row>
    <row r="29" spans="2:22" ht="17.25" customHeight="1">
      <c r="B29" s="68"/>
      <c r="C29" s="5" t="s">
        <v>26</v>
      </c>
      <c r="D29" s="128"/>
      <c r="E29" s="129"/>
      <c r="F29" s="204"/>
      <c r="G29" s="175"/>
      <c r="H29" s="55"/>
      <c r="I29" s="204"/>
      <c r="J29" s="175"/>
      <c r="K29" s="55"/>
      <c r="L29" s="204"/>
      <c r="M29" s="175"/>
      <c r="N29" s="221"/>
      <c r="O29" s="204"/>
      <c r="P29" s="56"/>
      <c r="Q29" s="175"/>
      <c r="R29" s="221"/>
      <c r="S29" s="251"/>
      <c r="T29" s="51"/>
      <c r="U29" s="236"/>
      <c r="V29" s="39"/>
    </row>
    <row r="30" spans="2:22" ht="16.5" customHeight="1">
      <c r="B30" s="68"/>
      <c r="C30" s="5" t="s">
        <v>27</v>
      </c>
      <c r="D30" s="130" t="s">
        <v>37</v>
      </c>
      <c r="E30" s="131"/>
      <c r="F30" s="204"/>
      <c r="G30" s="175"/>
      <c r="H30" s="55"/>
      <c r="I30" s="204"/>
      <c r="J30" s="175"/>
      <c r="K30" s="55"/>
      <c r="L30" s="204"/>
      <c r="M30" s="175"/>
      <c r="N30" s="221"/>
      <c r="O30" s="204"/>
      <c r="P30" s="56"/>
      <c r="Q30" s="175"/>
      <c r="R30" s="221"/>
      <c r="S30" s="251"/>
      <c r="T30" s="51"/>
      <c r="U30" s="236"/>
      <c r="V30" s="39"/>
    </row>
    <row r="31" spans="2:22" ht="17.25" customHeight="1" thickBot="1">
      <c r="B31" s="69"/>
      <c r="C31" s="4" t="s">
        <v>28</v>
      </c>
      <c r="D31" s="132"/>
      <c r="E31" s="133"/>
      <c r="F31" s="205"/>
      <c r="G31" s="176"/>
      <c r="H31" s="57"/>
      <c r="I31" s="205"/>
      <c r="J31" s="176"/>
      <c r="K31" s="57"/>
      <c r="L31" s="205"/>
      <c r="M31" s="176"/>
      <c r="N31" s="222"/>
      <c r="O31" s="205"/>
      <c r="P31" s="58"/>
      <c r="Q31" s="176"/>
      <c r="R31" s="222"/>
      <c r="S31" s="252"/>
      <c r="T31" s="52"/>
      <c r="U31" s="237"/>
      <c r="V31" s="40"/>
    </row>
    <row r="32" spans="2:22" ht="17.25" thickBot="1">
      <c r="D32" s="260" t="s">
        <v>55</v>
      </c>
      <c r="E32" s="262"/>
      <c r="F32" s="265">
        <f>(F28+G28+H28)/3</f>
        <v>16.666666666666668</v>
      </c>
      <c r="G32" s="266"/>
      <c r="H32" s="267"/>
      <c r="I32" s="265">
        <f>(I28+J28+K28)/3</f>
        <v>9</v>
      </c>
      <c r="J32" s="266"/>
      <c r="K32" s="267"/>
      <c r="L32" s="265">
        <f>(L28+M28+N28)/3</f>
        <v>8.6666666666666661</v>
      </c>
      <c r="M32" s="266"/>
      <c r="N32" s="267"/>
      <c r="O32" s="268">
        <f>O28</f>
        <v>8</v>
      </c>
      <c r="P32" s="269">
        <f>(P28+Q28+R28)/3</f>
        <v>12.666666666666666</v>
      </c>
      <c r="Q32" s="266"/>
      <c r="R32" s="267"/>
      <c r="S32" s="265">
        <f>S28</f>
        <v>3.8095238095238093</v>
      </c>
      <c r="T32" s="267"/>
    </row>
    <row r="33" spans="2:22" ht="17.25" thickBot="1"/>
    <row r="34" spans="2:22" ht="16.5" customHeight="1">
      <c r="B34" s="111" t="s">
        <v>22</v>
      </c>
      <c r="C34" s="16" t="s">
        <v>48</v>
      </c>
      <c r="D34" s="82" t="s">
        <v>38</v>
      </c>
      <c r="E34" s="83"/>
      <c r="F34" s="207">
        <v>23</v>
      </c>
      <c r="G34" s="171">
        <v>20</v>
      </c>
      <c r="H34" s="44">
        <v>23</v>
      </c>
      <c r="I34" s="207">
        <v>14</v>
      </c>
      <c r="J34" s="171">
        <v>15</v>
      </c>
      <c r="K34" s="44">
        <v>14</v>
      </c>
      <c r="L34" s="207">
        <v>8</v>
      </c>
      <c r="M34" s="171">
        <v>8</v>
      </c>
      <c r="N34" s="223">
        <v>8</v>
      </c>
      <c r="O34" s="207">
        <v>3</v>
      </c>
      <c r="P34" s="45">
        <v>14</v>
      </c>
      <c r="Q34" s="171">
        <v>15</v>
      </c>
      <c r="R34" s="223">
        <v>15</v>
      </c>
      <c r="S34" s="253">
        <f>1/T3*10*3*2</f>
        <v>2.8571428571428568</v>
      </c>
      <c r="T34" s="41"/>
      <c r="U34" s="238">
        <f>SUM(F38:T38)</f>
        <v>64.857142857142861</v>
      </c>
      <c r="V34" s="22"/>
    </row>
    <row r="35" spans="2:22" ht="16.5" customHeight="1">
      <c r="B35" s="112"/>
      <c r="C35" s="3" t="s">
        <v>29</v>
      </c>
      <c r="D35" s="84"/>
      <c r="E35" s="85"/>
      <c r="F35" s="206"/>
      <c r="G35" s="172"/>
      <c r="H35" s="46"/>
      <c r="I35" s="206"/>
      <c r="J35" s="172"/>
      <c r="K35" s="46"/>
      <c r="L35" s="206"/>
      <c r="M35" s="172"/>
      <c r="N35" s="224"/>
      <c r="O35" s="206"/>
      <c r="P35" s="47"/>
      <c r="Q35" s="172"/>
      <c r="R35" s="224"/>
      <c r="S35" s="254"/>
      <c r="T35" s="42"/>
      <c r="U35" s="239"/>
      <c r="V35" s="23"/>
    </row>
    <row r="36" spans="2:22" ht="16.5" customHeight="1">
      <c r="B36" s="112"/>
      <c r="C36" s="2" t="s">
        <v>30</v>
      </c>
      <c r="D36" s="86" t="s">
        <v>39</v>
      </c>
      <c r="E36" s="87"/>
      <c r="F36" s="206"/>
      <c r="G36" s="172"/>
      <c r="H36" s="46"/>
      <c r="I36" s="206"/>
      <c r="J36" s="172"/>
      <c r="K36" s="46"/>
      <c r="L36" s="206"/>
      <c r="M36" s="172"/>
      <c r="N36" s="224"/>
      <c r="O36" s="206"/>
      <c r="P36" s="47"/>
      <c r="Q36" s="172"/>
      <c r="R36" s="224"/>
      <c r="S36" s="254"/>
      <c r="T36" s="42"/>
      <c r="U36" s="239"/>
      <c r="V36" s="23"/>
    </row>
    <row r="37" spans="2:22" ht="17.25" customHeight="1" thickBot="1">
      <c r="B37" s="113"/>
      <c r="C37" s="1" t="s">
        <v>31</v>
      </c>
      <c r="D37" s="88"/>
      <c r="E37" s="89"/>
      <c r="F37" s="208"/>
      <c r="G37" s="173"/>
      <c r="H37" s="48"/>
      <c r="I37" s="208"/>
      <c r="J37" s="173"/>
      <c r="K37" s="48"/>
      <c r="L37" s="208"/>
      <c r="M37" s="173"/>
      <c r="N37" s="225"/>
      <c r="O37" s="208"/>
      <c r="P37" s="49"/>
      <c r="Q37" s="173"/>
      <c r="R37" s="225"/>
      <c r="S37" s="255"/>
      <c r="T37" s="43"/>
      <c r="U37" s="240"/>
      <c r="V37" s="24"/>
    </row>
    <row r="38" spans="2:22" ht="17.25" thickBot="1">
      <c r="D38" s="260" t="s">
        <v>55</v>
      </c>
      <c r="E38" s="262"/>
      <c r="F38" s="265">
        <f>(F34+G34+H34)/3</f>
        <v>22</v>
      </c>
      <c r="G38" s="266"/>
      <c r="H38" s="267"/>
      <c r="I38" s="265">
        <f>(I34+J34+K34)/3</f>
        <v>14.333333333333334</v>
      </c>
      <c r="J38" s="266"/>
      <c r="K38" s="267"/>
      <c r="L38" s="265">
        <f>(L34+M34+N34)/3</f>
        <v>8</v>
      </c>
      <c r="M38" s="266"/>
      <c r="N38" s="267"/>
      <c r="O38" s="268">
        <f>O34</f>
        <v>3</v>
      </c>
      <c r="P38" s="269">
        <f>(P34+Q34+R34)/3</f>
        <v>14.666666666666666</v>
      </c>
      <c r="Q38" s="266"/>
      <c r="R38" s="267"/>
      <c r="S38" s="265">
        <f>S34</f>
        <v>2.8571428571428568</v>
      </c>
      <c r="T38" s="267"/>
    </row>
  </sheetData>
  <mergeCells count="153">
    <mergeCell ref="S38:T38"/>
    <mergeCell ref="S14:T14"/>
    <mergeCell ref="P20:R20"/>
    <mergeCell ref="S20:T20"/>
    <mergeCell ref="P26:R26"/>
    <mergeCell ref="S26:T26"/>
    <mergeCell ref="P32:R32"/>
    <mergeCell ref="S32:T32"/>
    <mergeCell ref="D38:E38"/>
    <mergeCell ref="F38:H38"/>
    <mergeCell ref="I38:K38"/>
    <mergeCell ref="L38:N38"/>
    <mergeCell ref="P14:R14"/>
    <mergeCell ref="P38:R38"/>
    <mergeCell ref="P34:P37"/>
    <mergeCell ref="Q34:Q37"/>
    <mergeCell ref="R34:R37"/>
    <mergeCell ref="S34:T37"/>
    <mergeCell ref="U34:V37"/>
    <mergeCell ref="D36:E37"/>
    <mergeCell ref="J34:J37"/>
    <mergeCell ref="K34:K37"/>
    <mergeCell ref="L34:L37"/>
    <mergeCell ref="M34:M37"/>
    <mergeCell ref="N34:N37"/>
    <mergeCell ref="O34:O37"/>
    <mergeCell ref="B34:B37"/>
    <mergeCell ref="D34:E35"/>
    <mergeCell ref="F34:F37"/>
    <mergeCell ref="G34:G37"/>
    <mergeCell ref="H34:H37"/>
    <mergeCell ref="I34:I37"/>
    <mergeCell ref="D30:E31"/>
    <mergeCell ref="D32:E32"/>
    <mergeCell ref="F32:H32"/>
    <mergeCell ref="I32:K32"/>
    <mergeCell ref="L32:N32"/>
    <mergeCell ref="O28:O31"/>
    <mergeCell ref="P28:P31"/>
    <mergeCell ref="Q28:Q31"/>
    <mergeCell ref="R28:R31"/>
    <mergeCell ref="S28:T31"/>
    <mergeCell ref="U28:V31"/>
    <mergeCell ref="I28:I31"/>
    <mergeCell ref="J28:J31"/>
    <mergeCell ref="K28:K31"/>
    <mergeCell ref="L28:L31"/>
    <mergeCell ref="M28:M31"/>
    <mergeCell ref="N28:N31"/>
    <mergeCell ref="D26:E26"/>
    <mergeCell ref="F26:H26"/>
    <mergeCell ref="I26:K26"/>
    <mergeCell ref="L26:N26"/>
    <mergeCell ref="B28:B31"/>
    <mergeCell ref="D28:E29"/>
    <mergeCell ref="F28:F31"/>
    <mergeCell ref="G28:G31"/>
    <mergeCell ref="H28:H31"/>
    <mergeCell ref="P22:P25"/>
    <mergeCell ref="Q22:Q25"/>
    <mergeCell ref="R22:R25"/>
    <mergeCell ref="S22:T25"/>
    <mergeCell ref="U22:V25"/>
    <mergeCell ref="D24:E25"/>
    <mergeCell ref="J22:J25"/>
    <mergeCell ref="K22:K25"/>
    <mergeCell ref="L22:L25"/>
    <mergeCell ref="M22:M25"/>
    <mergeCell ref="N22:N25"/>
    <mergeCell ref="O22:O25"/>
    <mergeCell ref="B22:B25"/>
    <mergeCell ref="D22:E23"/>
    <mergeCell ref="F22:F25"/>
    <mergeCell ref="G22:G25"/>
    <mergeCell ref="H22:H25"/>
    <mergeCell ref="I22:I25"/>
    <mergeCell ref="S16:T19"/>
    <mergeCell ref="U16:V19"/>
    <mergeCell ref="D18:E19"/>
    <mergeCell ref="D20:E20"/>
    <mergeCell ref="F20:H20"/>
    <mergeCell ref="I20:K20"/>
    <mergeCell ref="L20:N20"/>
    <mergeCell ref="M16:M19"/>
    <mergeCell ref="N16:N19"/>
    <mergeCell ref="O16:O19"/>
    <mergeCell ref="P16:P19"/>
    <mergeCell ref="Q16:Q19"/>
    <mergeCell ref="R16:R19"/>
    <mergeCell ref="B16:B19"/>
    <mergeCell ref="D16:E17"/>
    <mergeCell ref="F16:F19"/>
    <mergeCell ref="G16:G19"/>
    <mergeCell ref="H16:H19"/>
    <mergeCell ref="I16:I19"/>
    <mergeCell ref="J16:J19"/>
    <mergeCell ref="K16:K19"/>
    <mergeCell ref="L16:L19"/>
    <mergeCell ref="D11:E11"/>
    <mergeCell ref="D12:E13"/>
    <mergeCell ref="D14:E14"/>
    <mergeCell ref="F14:H14"/>
    <mergeCell ref="I14:K14"/>
    <mergeCell ref="L14:N14"/>
    <mergeCell ref="O10:O13"/>
    <mergeCell ref="P10:P13"/>
    <mergeCell ref="Q10:Q13"/>
    <mergeCell ref="R10:R13"/>
    <mergeCell ref="S10:T13"/>
    <mergeCell ref="U10:V13"/>
    <mergeCell ref="I10:I13"/>
    <mergeCell ref="J10:J13"/>
    <mergeCell ref="K10:K13"/>
    <mergeCell ref="L10:L13"/>
    <mergeCell ref="M10:M13"/>
    <mergeCell ref="N10:N13"/>
    <mergeCell ref="O8:O9"/>
    <mergeCell ref="P8:P9"/>
    <mergeCell ref="Q8:Q9"/>
    <mergeCell ref="R8:R9"/>
    <mergeCell ref="S8:T9"/>
    <mergeCell ref="B10:B13"/>
    <mergeCell ref="D10:E10"/>
    <mergeCell ref="F10:F13"/>
    <mergeCell ref="G10:G13"/>
    <mergeCell ref="H10:H13"/>
    <mergeCell ref="S6:T7"/>
    <mergeCell ref="D8:E9"/>
    <mergeCell ref="F8:F9"/>
    <mergeCell ref="G8:G9"/>
    <mergeCell ref="H8:H9"/>
    <mergeCell ref="I8:I9"/>
    <mergeCell ref="J8:J9"/>
    <mergeCell ref="K8:K9"/>
    <mergeCell ref="L8:L9"/>
    <mergeCell ref="M8:M9"/>
    <mergeCell ref="O4:R4"/>
    <mergeCell ref="S4:T5"/>
    <mergeCell ref="U4:V9"/>
    <mergeCell ref="P5:R5"/>
    <mergeCell ref="D6:E7"/>
    <mergeCell ref="F6:H7"/>
    <mergeCell ref="I6:K7"/>
    <mergeCell ref="L6:N7"/>
    <mergeCell ref="O6:O7"/>
    <mergeCell ref="P6:R7"/>
    <mergeCell ref="B4:B9"/>
    <mergeCell ref="C4:C9"/>
    <mergeCell ref="D4:E5"/>
    <mergeCell ref="F4:H5"/>
    <mergeCell ref="I4:K5"/>
    <mergeCell ref="L4:N5"/>
    <mergeCell ref="N8:N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Sheet1 (3)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HSB</dc:creator>
  <cp:lastModifiedBy>이진진</cp:lastModifiedBy>
  <cp:revision>52</cp:revision>
  <dcterms:created xsi:type="dcterms:W3CDTF">2023-01-09T00:35:26Z</dcterms:created>
  <dcterms:modified xsi:type="dcterms:W3CDTF">2023-10-29T06:39:59Z</dcterms:modified>
  <cp:version>0906.0100.01</cp:version>
</cp:coreProperties>
</file>