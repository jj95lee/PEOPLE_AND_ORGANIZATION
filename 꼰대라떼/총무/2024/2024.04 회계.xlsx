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월" sheetId="1" r:id="rId4"/>
  </sheets>
  <definedNames/>
  <calcPr/>
  <extLst>
    <ext uri="GoogleSheetsCustomDataVersion2">
      <go:sheetsCustomData xmlns:go="http://customooxmlschemas.google.com/" r:id="rId5" roundtripDataChecksum="pnRdlF627kV45XN1PqRpbs5m7KrxAMFGaSQZkxxggpg="/>
    </ext>
  </extLst>
</workbook>
</file>

<file path=xl/sharedStrings.xml><?xml version="1.0" encoding="utf-8"?>
<sst xmlns="http://schemas.openxmlformats.org/spreadsheetml/2006/main" count="56" uniqueCount="26">
  <si>
    <t>월</t>
  </si>
  <si>
    <t>일</t>
  </si>
  <si>
    <t>요일</t>
  </si>
  <si>
    <t>수입</t>
  </si>
  <si>
    <t>지출</t>
  </si>
  <si>
    <t>잔여 금액</t>
  </si>
  <si>
    <t>최대 보증금</t>
  </si>
  <si>
    <t>실사용가능 금액</t>
  </si>
  <si>
    <t>(보증금 포함)</t>
  </si>
  <si>
    <t>(보증금 제외)</t>
  </si>
  <si>
    <t>비용</t>
  </si>
  <si>
    <t>매출처</t>
  </si>
  <si>
    <t>내용</t>
  </si>
  <si>
    <t>매입처</t>
  </si>
  <si>
    <t>신희찬</t>
  </si>
  <si>
    <t>3월 잔여회비</t>
  </si>
  <si>
    <t>화</t>
  </si>
  <si>
    <t>수</t>
  </si>
  <si>
    <t>목</t>
  </si>
  <si>
    <t>금</t>
  </si>
  <si>
    <t>토</t>
  </si>
  <si>
    <t>이진진</t>
  </si>
  <si>
    <t>정기모임 뒷풀이 지원금
(DOSE 을지로점)</t>
  </si>
  <si>
    <t>카카오뱅크</t>
  </si>
  <si>
    <t>예금이자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</si>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</sst>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"/>
  </numFmts>
  <fonts count="4">
    <font>
      <sz val="11.0"/>
      <color theme="1"/>
      <name val="Calibri"/>
      <scheme val="minor"/>
    </font>
    <font>
      <sz val="11.0"/>
      <color theme="1"/>
      <name val="Malgun Gothic"/>
    </font>
    <font/>
    <font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5B5F0"/>
        <bgColor rgb="FFF5B5F0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9D7F7"/>
        <bgColor rgb="FFF9D7F7"/>
      </patternFill>
    </fill>
    <fill>
      <patternFill patternType="solid">
        <fgColor rgb="FFC5E0B3"/>
        <bgColor rgb="FFC5E0B3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EE6F9"/>
        <bgColor rgb="FFFEE6F9"/>
      </patternFill>
    </fill>
    <fill>
      <patternFill patternType="solid">
        <fgColor rgb="FFE2EFD9"/>
        <bgColor rgb="FFE2EFD9"/>
      </patternFill>
    </fill>
  </fills>
  <borders count="22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/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/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A5A5A5"/>
      </bottom>
    </border>
    <border>
      <left/>
      <right style="thin">
        <color rgb="FF666666"/>
      </right>
      <top style="thin">
        <color rgb="FF666666"/>
      </top>
      <bottom style="thin">
        <color rgb="FFA5A5A5"/>
      </bottom>
    </border>
    <border>
      <left/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/>
      <bottom style="thin">
        <color rgb="FFA5A5A5"/>
      </bottom>
    </border>
    <border>
      <left/>
      <right style="thin">
        <color rgb="FF666666"/>
      </right>
      <top/>
      <bottom style="thin">
        <color rgb="FFA5A5A5"/>
      </bottom>
    </border>
    <border>
      <left/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rgb="FFA5A5A5"/>
      </bottom>
    </border>
    <border>
      <left/>
      <right style="thin">
        <color rgb="FF666666"/>
      </right>
      <top style="thin">
        <color rgb="FFA5A5A5"/>
      </top>
      <bottom style="thin">
        <color rgb="FFA5A5A5"/>
      </bottom>
    </border>
    <border>
      <left/>
      <right style="thin">
        <color rgb="FF666666"/>
      </right>
      <bottom style="thin">
        <color rgb="FFA5A5A5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2" fillId="5" fontId="1" numFmtId="164" xfId="0" applyAlignment="1" applyBorder="1" applyFill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6" fontId="1" numFmtId="164" xfId="0" applyAlignment="1" applyBorder="1" applyFill="1" applyFont="1" applyNumberFormat="1">
      <alignment horizontal="center" vertical="center"/>
    </xf>
    <xf borderId="5" fillId="7" fontId="1" numFmtId="164" xfId="0" applyAlignment="1" applyBorder="1" applyFill="1" applyFont="1" applyNumberFormat="1">
      <alignment horizontal="center" vertical="center"/>
    </xf>
    <xf borderId="1" fillId="8" fontId="1" numFmtId="164" xfId="0" applyAlignment="1" applyBorder="1" applyFill="1" applyFont="1" applyNumberFormat="1">
      <alignment horizontal="center" vertical="center"/>
    </xf>
    <xf borderId="5" fillId="9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7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0" fillId="9" fontId="1" numFmtId="0" xfId="0" applyAlignment="1" applyBorder="1" applyFont="1">
      <alignment horizontal="center" vertical="center"/>
    </xf>
    <xf borderId="12" fillId="10" fontId="1" numFmtId="164" xfId="0" applyAlignment="1" applyBorder="1" applyFill="1" applyFont="1" applyNumberFormat="1">
      <alignment horizontal="center" vertical="center"/>
    </xf>
    <xf borderId="12" fillId="11" fontId="1" numFmtId="164" xfId="0" applyAlignment="1" applyBorder="1" applyFill="1" applyFont="1" applyNumberFormat="1">
      <alignment horizontal="center" vertical="center"/>
    </xf>
    <xf borderId="12" fillId="12" fontId="1" numFmtId="164" xfId="0" applyAlignment="1" applyBorder="1" applyFill="1" applyFont="1" applyNumberFormat="1">
      <alignment horizontal="center" vertical="center"/>
    </xf>
    <xf borderId="12" fillId="13" fontId="1" numFmtId="164" xfId="0" applyAlignment="1" applyBorder="1" applyFill="1" applyFont="1" applyNumberFormat="1">
      <alignment horizontal="center" vertical="center"/>
    </xf>
    <xf borderId="12" fillId="14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readingOrder="0" vertical="center"/>
    </xf>
    <xf borderId="12" fillId="15" fontId="1" numFmtId="164" xfId="0" applyAlignment="1" applyBorder="1" applyFill="1" applyFont="1" applyNumberFormat="1">
      <alignment horizontal="center" vertical="center"/>
    </xf>
    <xf borderId="12" fillId="4" fontId="1" numFmtId="164" xfId="0" applyAlignment="1" applyBorder="1" applyFont="1" applyNumberFormat="1">
      <alignment horizontal="center" vertical="center"/>
    </xf>
    <xf borderId="13" fillId="16" fontId="3" numFmtId="164" xfId="0" applyAlignment="1" applyBorder="1" applyFill="1" applyFont="1" applyNumberFormat="1">
      <alignment horizontal="center" readingOrder="0" vertical="center"/>
    </xf>
    <xf borderId="14" fillId="16" fontId="3" numFmtId="164" xfId="0" applyAlignment="1" applyBorder="1" applyFont="1" applyNumberFormat="1">
      <alignment horizontal="center" vertical="center"/>
    </xf>
    <xf borderId="14" fillId="16" fontId="3" numFmtId="164" xfId="0" applyAlignment="1" applyBorder="1" applyFont="1" applyNumberFormat="1">
      <alignment horizontal="center" readingOrder="0" vertical="center"/>
    </xf>
    <xf borderId="14" fillId="17" fontId="3" numFmtId="164" xfId="0" applyAlignment="1" applyBorder="1" applyFill="1" applyFont="1" applyNumberFormat="1">
      <alignment horizontal="center" vertical="center"/>
    </xf>
    <xf borderId="14" fillId="18" fontId="3" numFmtId="164" xfId="0" applyAlignment="1" applyBorder="1" applyFill="1" applyFont="1" applyNumberFormat="1">
      <alignment horizontal="center" readingOrder="0" vertical="center"/>
    </xf>
    <xf borderId="15" fillId="19" fontId="3" numFmtId="164" xfId="0" applyAlignment="1" applyBorder="1" applyFill="1" applyFont="1" applyNumberFormat="1">
      <alignment horizontal="center" vertical="center"/>
    </xf>
    <xf borderId="15" fillId="20" fontId="3" numFmtId="164" xfId="0" applyAlignment="1" applyBorder="1" applyFill="1" applyFont="1" applyNumberFormat="1">
      <alignment horizontal="center" readingOrder="0" vertical="center"/>
    </xf>
    <xf borderId="12" fillId="15" fontId="1" numFmtId="164" xfId="0" applyAlignment="1" applyBorder="1" applyFont="1" applyNumberFormat="1">
      <alignment horizontal="center" readingOrder="0" vertical="center"/>
    </xf>
    <xf borderId="16" fillId="16" fontId="3" numFmtId="164" xfId="0" applyAlignment="1" applyBorder="1" applyFont="1" applyNumberFormat="1">
      <alignment horizontal="center" vertical="center"/>
    </xf>
    <xf borderId="17" fillId="16" fontId="3" numFmtId="164" xfId="0" applyAlignment="1" applyBorder="1" applyFont="1" applyNumberFormat="1">
      <alignment horizontal="center" vertical="center"/>
    </xf>
    <xf borderId="17" fillId="17" fontId="3" numFmtId="164" xfId="0" applyAlignment="1" applyBorder="1" applyFont="1" applyNumberFormat="1">
      <alignment horizontal="center" vertical="center"/>
    </xf>
    <xf borderId="17" fillId="18" fontId="3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vertical="center"/>
    </xf>
    <xf borderId="15" fillId="20" fontId="3" numFmtId="164" xfId="0" applyAlignment="1" applyBorder="1" applyFont="1" applyNumberFormat="1">
      <alignment horizontal="center" vertical="center"/>
    </xf>
    <xf borderId="12" fillId="4" fontId="1" numFmtId="164" xfId="0" applyAlignment="1" applyBorder="1" applyFont="1" applyNumberFormat="1">
      <alignment horizontal="center" readingOrder="0" vertical="center"/>
    </xf>
    <xf borderId="17" fillId="17" fontId="3" numFmtId="164" xfId="0" applyAlignment="1" applyBorder="1" applyFont="1" applyNumberFormat="1">
      <alignment horizontal="center" readingOrder="0" vertical="center"/>
    </xf>
    <xf borderId="17" fillId="18" fontId="3" numFmtId="164" xfId="0" applyAlignment="1" applyBorder="1" applyFont="1" applyNumberFormat="1">
      <alignment horizontal="center" readingOrder="0" vertical="center"/>
    </xf>
    <xf borderId="19" fillId="16" fontId="3" numFmtId="164" xfId="0" applyAlignment="1" applyBorder="1" applyFont="1" applyNumberFormat="1">
      <alignment horizontal="center" vertical="center"/>
    </xf>
    <xf borderId="20" fillId="16" fontId="3" numFmtId="164" xfId="0" applyAlignment="1" applyBorder="1" applyFont="1" applyNumberFormat="1">
      <alignment horizontal="center" vertical="center"/>
    </xf>
    <xf borderId="20" fillId="17" fontId="3" numFmtId="164" xfId="0" applyAlignment="1" applyBorder="1" applyFont="1" applyNumberFormat="1">
      <alignment horizontal="center" vertical="center"/>
    </xf>
    <xf borderId="20" fillId="18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16" fillId="16" fontId="3" numFmtId="164" xfId="0" applyAlignment="1" applyBorder="1" applyFont="1" applyNumberFormat="1">
      <alignment horizontal="center" readingOrder="0" vertical="center"/>
    </xf>
    <xf borderId="17" fillId="16" fontId="3" numFmtId="164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vertical="center"/>
    </xf>
    <xf borderId="2" fillId="2" fontId="1" numFmtId="164" xfId="0" applyAlignment="1" applyBorder="1" applyFont="1" applyNumberForma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9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7.86"/>
    <col customWidth="1" min="4" max="5" width="15.71"/>
    <col customWidth="1" min="6" max="6" width="31.29"/>
    <col customWidth="1" min="7" max="7" width="15.71"/>
    <col customWidth="1" min="8" max="8" width="25.57"/>
    <col customWidth="1" min="9" max="9" width="33.14"/>
    <col customWidth="1" min="10" max="10" width="15.71"/>
    <col customWidth="1" min="11" max="11" width="11.57"/>
    <col customWidth="1" min="12" max="12" width="15.86"/>
    <col customWidth="1" min="13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5"/>
      <c r="I1" s="6"/>
      <c r="J1" s="8" t="s">
        <v>5</v>
      </c>
      <c r="K1" s="9" t="s">
        <v>6</v>
      </c>
      <c r="L1" s="10" t="s">
        <v>7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2"/>
      <c r="B2" s="12"/>
      <c r="C2" s="12"/>
      <c r="D2" s="13"/>
      <c r="E2" s="14"/>
      <c r="F2" s="15"/>
      <c r="G2" s="13"/>
      <c r="H2" s="14"/>
      <c r="I2" s="15"/>
      <c r="J2" s="16" t="s">
        <v>8</v>
      </c>
      <c r="K2" s="17"/>
      <c r="L2" s="18" t="s">
        <v>9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7"/>
      <c r="B3" s="17"/>
      <c r="C3" s="17"/>
      <c r="D3" s="19" t="s">
        <v>10</v>
      </c>
      <c r="E3" s="19" t="s">
        <v>11</v>
      </c>
      <c r="F3" s="19" t="s">
        <v>12</v>
      </c>
      <c r="G3" s="20" t="s">
        <v>10</v>
      </c>
      <c r="H3" s="20" t="s">
        <v>13</v>
      </c>
      <c r="I3" s="20" t="s">
        <v>12</v>
      </c>
      <c r="J3" s="21" t="s">
        <v>10</v>
      </c>
      <c r="K3" s="22" t="s">
        <v>10</v>
      </c>
      <c r="L3" s="23" t="s">
        <v>10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24">
        <v>4.0</v>
      </c>
      <c r="B4" s="25">
        <v>1.0</v>
      </c>
      <c r="C4" s="26" t="s">
        <v>0</v>
      </c>
      <c r="D4" s="27">
        <v>978243.0</v>
      </c>
      <c r="E4" s="28" t="s">
        <v>14</v>
      </c>
      <c r="F4" s="29" t="s">
        <v>15</v>
      </c>
      <c r="G4" s="30"/>
      <c r="H4" s="30"/>
      <c r="I4" s="30"/>
      <c r="J4" s="31">
        <v>978243.0</v>
      </c>
      <c r="K4" s="32">
        <v>390000.0</v>
      </c>
      <c r="L4" s="33">
        <v>588243.0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2"/>
      <c r="B5" s="34">
        <v>2.0</v>
      </c>
      <c r="C5" s="26" t="s">
        <v>16</v>
      </c>
      <c r="D5" s="35"/>
      <c r="E5" s="36"/>
      <c r="F5" s="36"/>
      <c r="G5" s="37"/>
      <c r="H5" s="37"/>
      <c r="I5" s="37"/>
      <c r="J5" s="38"/>
      <c r="K5" s="39"/>
      <c r="L5" s="4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2"/>
      <c r="B6" s="34">
        <v>3.0</v>
      </c>
      <c r="C6" s="26" t="s">
        <v>17</v>
      </c>
      <c r="D6" s="35"/>
      <c r="E6" s="36"/>
      <c r="F6" s="36"/>
      <c r="G6" s="37"/>
      <c r="H6" s="37"/>
      <c r="I6" s="37"/>
      <c r="J6" s="38"/>
      <c r="K6" s="39"/>
      <c r="L6" s="4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2"/>
      <c r="B7" s="34">
        <v>4.0</v>
      </c>
      <c r="C7" s="26" t="s">
        <v>18</v>
      </c>
      <c r="D7" s="35"/>
      <c r="E7" s="36"/>
      <c r="F7" s="36"/>
      <c r="G7" s="37"/>
      <c r="H7" s="37"/>
      <c r="I7" s="37"/>
      <c r="J7" s="38"/>
      <c r="K7" s="39"/>
      <c r="L7" s="4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2"/>
      <c r="B8" s="34">
        <v>5.0</v>
      </c>
      <c r="C8" s="41" t="s">
        <v>19</v>
      </c>
      <c r="D8" s="35"/>
      <c r="E8" s="36"/>
      <c r="F8" s="36"/>
      <c r="G8" s="37"/>
      <c r="H8" s="37"/>
      <c r="I8" s="37"/>
      <c r="J8" s="38"/>
      <c r="K8" s="39"/>
      <c r="L8" s="4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2"/>
      <c r="B9" s="34">
        <v>6.0</v>
      </c>
      <c r="C9" s="26" t="s">
        <v>20</v>
      </c>
      <c r="D9" s="35"/>
      <c r="E9" s="36"/>
      <c r="F9" s="36"/>
      <c r="G9" s="37"/>
      <c r="H9" s="37"/>
      <c r="I9" s="37"/>
      <c r="J9" s="38"/>
      <c r="K9" s="39"/>
      <c r="L9" s="4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2"/>
      <c r="B10" s="34">
        <v>7.0</v>
      </c>
      <c r="C10" s="26" t="s">
        <v>1</v>
      </c>
      <c r="D10" s="35"/>
      <c r="E10" s="36"/>
      <c r="F10" s="36"/>
      <c r="G10" s="37"/>
      <c r="H10" s="37"/>
      <c r="I10" s="37"/>
      <c r="J10" s="38"/>
      <c r="K10" s="39"/>
      <c r="L10" s="4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2"/>
      <c r="B11" s="34">
        <v>8.0</v>
      </c>
      <c r="C11" s="26" t="s">
        <v>0</v>
      </c>
      <c r="D11" s="35"/>
      <c r="E11" s="36"/>
      <c r="F11" s="36"/>
      <c r="G11" s="37"/>
      <c r="H11" s="37"/>
      <c r="I11" s="37"/>
      <c r="J11" s="38"/>
      <c r="K11" s="39"/>
      <c r="L11" s="4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/>
      <c r="B12" s="34">
        <v>9.0</v>
      </c>
      <c r="C12" s="26" t="s">
        <v>16</v>
      </c>
      <c r="D12" s="35"/>
      <c r="E12" s="36"/>
      <c r="F12" s="36"/>
      <c r="G12" s="42">
        <v>16800.0</v>
      </c>
      <c r="H12" s="42" t="s">
        <v>21</v>
      </c>
      <c r="I12" s="42" t="s">
        <v>22</v>
      </c>
      <c r="J12" s="43">
        <v>961443.0</v>
      </c>
      <c r="K12" s="39"/>
      <c r="L12" s="33">
        <v>571443.0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2"/>
      <c r="B13" s="34">
        <v>10.0</v>
      </c>
      <c r="C13" s="26" t="s">
        <v>17</v>
      </c>
      <c r="D13" s="35"/>
      <c r="E13" s="36"/>
      <c r="F13" s="36"/>
      <c r="G13" s="37"/>
      <c r="H13" s="37"/>
      <c r="I13" s="37"/>
      <c r="J13" s="38"/>
      <c r="K13" s="39"/>
      <c r="L13" s="4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2"/>
      <c r="B14" s="34">
        <v>11.0</v>
      </c>
      <c r="C14" s="41" t="s">
        <v>18</v>
      </c>
      <c r="D14" s="35"/>
      <c r="E14" s="36"/>
      <c r="F14" s="36"/>
      <c r="G14" s="37"/>
      <c r="H14" s="37"/>
      <c r="I14" s="37"/>
      <c r="J14" s="38"/>
      <c r="K14" s="39"/>
      <c r="L14" s="4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2"/>
      <c r="B15" s="34">
        <v>12.0</v>
      </c>
      <c r="C15" s="26" t="s">
        <v>19</v>
      </c>
      <c r="D15" s="35"/>
      <c r="E15" s="36"/>
      <c r="F15" s="36"/>
      <c r="G15" s="37"/>
      <c r="H15" s="37"/>
      <c r="I15" s="37"/>
      <c r="J15" s="38"/>
      <c r="K15" s="39"/>
      <c r="L15" s="4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2"/>
      <c r="B16" s="34">
        <v>13.0</v>
      </c>
      <c r="C16" s="26" t="s">
        <v>20</v>
      </c>
      <c r="D16" s="35"/>
      <c r="E16" s="36"/>
      <c r="F16" s="36"/>
      <c r="G16" s="37"/>
      <c r="H16" s="37"/>
      <c r="I16" s="37"/>
      <c r="J16" s="38"/>
      <c r="K16" s="39"/>
      <c r="L16" s="4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12"/>
      <c r="B17" s="34">
        <v>14.0</v>
      </c>
      <c r="C17" s="26" t="s">
        <v>1</v>
      </c>
      <c r="D17" s="35"/>
      <c r="E17" s="36"/>
      <c r="F17" s="36"/>
      <c r="G17" s="37"/>
      <c r="H17" s="37"/>
      <c r="I17" s="37"/>
      <c r="J17" s="38"/>
      <c r="K17" s="39"/>
      <c r="L17" s="4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12"/>
      <c r="B18" s="34">
        <v>15.0</v>
      </c>
      <c r="C18" s="26" t="s">
        <v>0</v>
      </c>
      <c r="D18" s="44"/>
      <c r="E18" s="45"/>
      <c r="F18" s="45"/>
      <c r="G18" s="46"/>
      <c r="H18" s="46"/>
      <c r="I18" s="46"/>
      <c r="J18" s="47"/>
      <c r="K18" s="39"/>
      <c r="L18" s="4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12"/>
      <c r="B19" s="34">
        <v>16.0</v>
      </c>
      <c r="C19" s="26" t="s">
        <v>16</v>
      </c>
      <c r="D19" s="35"/>
      <c r="E19" s="36"/>
      <c r="F19" s="36"/>
      <c r="G19" s="37"/>
      <c r="H19" s="37"/>
      <c r="I19" s="37"/>
      <c r="J19" s="38"/>
      <c r="K19" s="39"/>
      <c r="L19" s="4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12"/>
      <c r="B20" s="34">
        <v>17.0</v>
      </c>
      <c r="C20" s="26" t="s">
        <v>17</v>
      </c>
      <c r="D20" s="35"/>
      <c r="E20" s="36"/>
      <c r="F20" s="36"/>
      <c r="G20" s="37"/>
      <c r="H20" s="37"/>
      <c r="I20" s="37"/>
      <c r="J20" s="38"/>
      <c r="K20" s="39"/>
      <c r="L20" s="4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12"/>
      <c r="B21" s="34">
        <v>18.0</v>
      </c>
      <c r="C21" s="26" t="s">
        <v>18</v>
      </c>
      <c r="D21" s="44"/>
      <c r="E21" s="45"/>
      <c r="F21" s="45"/>
      <c r="G21" s="46"/>
      <c r="H21" s="46"/>
      <c r="I21" s="46"/>
      <c r="J21" s="47"/>
      <c r="K21" s="39"/>
      <c r="L21" s="4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12"/>
      <c r="B22" s="34">
        <v>19.0</v>
      </c>
      <c r="C22" s="26" t="s">
        <v>19</v>
      </c>
      <c r="D22" s="44"/>
      <c r="E22" s="45"/>
      <c r="F22" s="45"/>
      <c r="G22" s="46"/>
      <c r="H22" s="46"/>
      <c r="I22" s="46"/>
      <c r="J22" s="47"/>
      <c r="K22" s="39"/>
      <c r="L22" s="4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12"/>
      <c r="B23" s="34">
        <v>20.0</v>
      </c>
      <c r="C23" s="26" t="s">
        <v>20</v>
      </c>
      <c r="D23" s="35"/>
      <c r="E23" s="36"/>
      <c r="F23" s="36"/>
      <c r="G23" s="37"/>
      <c r="H23" s="37"/>
      <c r="I23" s="37"/>
      <c r="J23" s="38"/>
      <c r="K23" s="39"/>
      <c r="L23" s="4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12"/>
      <c r="B24" s="34">
        <v>21.0</v>
      </c>
      <c r="C24" s="26" t="s">
        <v>1</v>
      </c>
      <c r="D24" s="35"/>
      <c r="E24" s="36"/>
      <c r="F24" s="36"/>
      <c r="G24" s="37"/>
      <c r="H24" s="37"/>
      <c r="I24" s="37"/>
      <c r="J24" s="38"/>
      <c r="K24" s="39"/>
      <c r="L24" s="4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12"/>
      <c r="B25" s="34">
        <v>22.0</v>
      </c>
      <c r="C25" s="26" t="s">
        <v>0</v>
      </c>
      <c r="D25" s="44"/>
      <c r="E25" s="45"/>
      <c r="F25" s="45"/>
      <c r="G25" s="46"/>
      <c r="H25" s="46"/>
      <c r="I25" s="46"/>
      <c r="J25" s="47"/>
      <c r="K25" s="39"/>
      <c r="L25" s="40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12"/>
      <c r="B26" s="34">
        <v>23.0</v>
      </c>
      <c r="C26" s="26" t="s">
        <v>16</v>
      </c>
      <c r="D26" s="35"/>
      <c r="E26" s="36"/>
      <c r="F26" s="36"/>
      <c r="G26" s="37"/>
      <c r="H26" s="37"/>
      <c r="I26" s="37"/>
      <c r="J26" s="38"/>
      <c r="K26" s="39"/>
      <c r="L26" s="4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12"/>
      <c r="B27" s="34">
        <v>24.0</v>
      </c>
      <c r="C27" s="26" t="s">
        <v>17</v>
      </c>
      <c r="D27" s="35"/>
      <c r="E27" s="36"/>
      <c r="F27" s="36"/>
      <c r="G27" s="37"/>
      <c r="H27" s="37"/>
      <c r="I27" s="37"/>
      <c r="J27" s="38"/>
      <c r="K27" s="39"/>
      <c r="L27" s="4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12"/>
      <c r="B28" s="34">
        <v>25.0</v>
      </c>
      <c r="C28" s="26" t="s">
        <v>18</v>
      </c>
      <c r="D28" s="35"/>
      <c r="E28" s="36"/>
      <c r="F28" s="36"/>
      <c r="G28" s="37"/>
      <c r="H28" s="37"/>
      <c r="I28" s="37"/>
      <c r="J28" s="38"/>
      <c r="K28" s="39"/>
      <c r="L28" s="40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12"/>
      <c r="B29" s="34">
        <v>26.0</v>
      </c>
      <c r="C29" s="26" t="s">
        <v>19</v>
      </c>
      <c r="D29" s="35"/>
      <c r="E29" s="36"/>
      <c r="F29" s="36"/>
      <c r="G29" s="37"/>
      <c r="H29" s="37"/>
      <c r="I29" s="37"/>
      <c r="J29" s="38"/>
      <c r="K29" s="39"/>
      <c r="L29" s="40"/>
      <c r="M29" s="11"/>
      <c r="N29" s="11"/>
      <c r="O29" s="48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2"/>
      <c r="B30" s="34">
        <v>27.0</v>
      </c>
      <c r="C30" s="26" t="s">
        <v>20</v>
      </c>
      <c r="D30" s="49">
        <v>83.0</v>
      </c>
      <c r="E30" s="50" t="s">
        <v>23</v>
      </c>
      <c r="F30" s="50" t="s">
        <v>24</v>
      </c>
      <c r="G30" s="37"/>
      <c r="H30" s="37"/>
      <c r="I30" s="37"/>
      <c r="J30" s="43">
        <v>961526.0</v>
      </c>
      <c r="K30" s="39"/>
      <c r="L30" s="33">
        <v>571526.0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12"/>
      <c r="B31" s="34">
        <v>28.0</v>
      </c>
      <c r="C31" s="41" t="s">
        <v>1</v>
      </c>
      <c r="D31" s="35"/>
      <c r="E31" s="36"/>
      <c r="F31" s="36"/>
      <c r="G31" s="37"/>
      <c r="H31" s="37"/>
      <c r="I31" s="37"/>
      <c r="J31" s="38"/>
      <c r="K31" s="39"/>
      <c r="L31" s="4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2"/>
      <c r="B32" s="34">
        <v>29.0</v>
      </c>
      <c r="C32" s="41" t="s">
        <v>0</v>
      </c>
      <c r="D32" s="35"/>
      <c r="E32" s="36"/>
      <c r="F32" s="36"/>
      <c r="G32" s="37"/>
      <c r="H32" s="37"/>
      <c r="I32" s="37"/>
      <c r="J32" s="38"/>
      <c r="K32" s="39"/>
      <c r="L32" s="40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7"/>
      <c r="B33" s="34">
        <v>30.0</v>
      </c>
      <c r="C33" s="41" t="s">
        <v>16</v>
      </c>
      <c r="D33" s="35"/>
      <c r="E33" s="36"/>
      <c r="F33" s="36"/>
      <c r="G33" s="37"/>
      <c r="H33" s="37"/>
      <c r="I33" s="37"/>
      <c r="J33" s="38"/>
      <c r="K33" s="51"/>
      <c r="L33" s="40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52" t="s">
        <v>25</v>
      </c>
      <c r="B34" s="5"/>
      <c r="C34" s="6"/>
      <c r="D34" s="4">
        <f>SUM(D4:D33)</f>
        <v>978326</v>
      </c>
      <c r="E34" s="5"/>
      <c r="F34" s="6"/>
      <c r="G34" s="7">
        <f>SUM(G4:G33)</f>
        <v>16800</v>
      </c>
      <c r="H34" s="5"/>
      <c r="I34" s="6"/>
      <c r="J34" s="53">
        <f>D34-G34</f>
        <v>961526</v>
      </c>
      <c r="K34" s="9">
        <f>K4</f>
        <v>390000</v>
      </c>
      <c r="L34" s="54">
        <f>J34-K34</f>
        <v>571526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3"/>
      <c r="B35" s="14"/>
      <c r="C35" s="15"/>
      <c r="D35" s="13"/>
      <c r="E35" s="14"/>
      <c r="F35" s="15"/>
      <c r="G35" s="13"/>
      <c r="H35" s="14"/>
      <c r="I35" s="15"/>
      <c r="J35" s="17"/>
      <c r="K35" s="17"/>
      <c r="L35" s="17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</sheetData>
  <mergeCells count="14">
    <mergeCell ref="A34:C35"/>
    <mergeCell ref="D34:F35"/>
    <mergeCell ref="G34:I35"/>
    <mergeCell ref="J34:J35"/>
    <mergeCell ref="K34:K35"/>
    <mergeCell ref="L34:L35"/>
    <mergeCell ref="A1:A3"/>
    <mergeCell ref="C1:C3"/>
    <mergeCell ref="D1:F2"/>
    <mergeCell ref="G1:I2"/>
    <mergeCell ref="K1:K2"/>
    <mergeCell ref="A4:A33"/>
    <mergeCell ref="K4:K33"/>
    <mergeCell ref="B1:B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2023-01-11T12:57:29Z</dcterms:created>
  <dc:creator>이진진</dc:creator>
</cp:coreProperties>
</file>