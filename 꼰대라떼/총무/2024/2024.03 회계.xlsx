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월" sheetId="1" r:id="rId4"/>
  </sheets>
  <definedNames/>
  <calcPr/>
  <extLst>
    <ext uri="GoogleSheetsCustomDataVersion2">
      <go:sheetsCustomData xmlns:go="http://customooxmlschemas.google.com/" r:id="rId5" roundtripDataChecksum="6xZ7x+CUbQa+2iC28nE874/cUR6M3USTfaT9QkKRXL0="/>
    </ext>
  </extLst>
</workbook>
</file>

<file path=xl/sharedStrings.xml><?xml version="1.0" encoding="utf-8"?>
<sst xmlns="http://schemas.openxmlformats.org/spreadsheetml/2006/main" count="95" uniqueCount="62">
  <si>
    <t>월</t>
  </si>
  <si>
    <t>일</t>
  </si>
  <si>
    <t>요일</t>
  </si>
  <si>
    <t>수입</t>
  </si>
  <si>
    <t>지출</t>
  </si>
  <si>
    <t>잔여 금액</t>
  </si>
  <si>
    <t>최대 보증금</t>
  </si>
  <si>
    <t>실사용가능 금액</t>
  </si>
  <si>
    <t>(보증금 포함)</t>
  </si>
  <si>
    <t>(보증금 제외)</t>
  </si>
  <si>
    <t>비용</t>
  </si>
  <si>
    <t>매출처</t>
  </si>
  <si>
    <t>내용</t>
  </si>
  <si>
    <t>매입처</t>
  </si>
  <si>
    <t>금</t>
  </si>
  <si>
    <t>신희찬</t>
  </si>
  <si>
    <t>2월 잔여회비</t>
  </si>
  <si>
    <t>토</t>
  </si>
  <si>
    <t>오븐에 빠진닭 강남 2호점</t>
  </si>
  <si>
    <r>
      <rPr>
        <rFont val="Arial"/>
        <color theme="1"/>
        <sz val="11.0"/>
      </rPr>
      <t>신입회원</t>
    </r>
    <r>
      <rPr>
        <rFont val="Calibri"/>
        <color theme="1"/>
        <sz val="11.0"/>
      </rPr>
      <t xml:space="preserve"> </t>
    </r>
    <r>
      <rPr>
        <rFont val="Arial"/>
        <color theme="1"/>
        <sz val="11.0"/>
      </rPr>
      <t>강남</t>
    </r>
    <r>
      <rPr>
        <rFont val="Calibri"/>
        <color theme="1"/>
        <sz val="11.0"/>
      </rPr>
      <t xml:space="preserve"> 비</t>
    </r>
    <r>
      <rPr>
        <rFont val="Arial"/>
        <color theme="1"/>
        <sz val="11.0"/>
      </rPr>
      <t>정기모임</t>
    </r>
    <r>
      <rPr>
        <rFont val="Calibri"/>
        <color theme="1"/>
        <sz val="11.0"/>
      </rPr>
      <t xml:space="preserve"> </t>
    </r>
    <r>
      <rPr>
        <rFont val="Arial"/>
        <color theme="1"/>
        <sz val="11.0"/>
      </rPr>
      <t>지원</t>
    </r>
  </si>
  <si>
    <t>싼술의 전당</t>
  </si>
  <si>
    <t>화</t>
  </si>
  <si>
    <t>수</t>
  </si>
  <si>
    <t>목</t>
  </si>
  <si>
    <t>대화상점</t>
  </si>
  <si>
    <t>신입회원 OT 청소보증금
(반환불가)</t>
  </si>
  <si>
    <t>홍채원</t>
  </si>
  <si>
    <t>신입회원 OT 회원 부담금</t>
  </si>
  <si>
    <t>이수현</t>
  </si>
  <si>
    <t>윤기화</t>
  </si>
  <si>
    <t>하은희</t>
  </si>
  <si>
    <t>이광민</t>
  </si>
  <si>
    <t>윤민식</t>
  </si>
  <si>
    <t>권지연</t>
  </si>
  <si>
    <t>문제원</t>
  </si>
  <si>
    <t>김해찬</t>
  </si>
  <si>
    <t>양정우</t>
  </si>
  <si>
    <t>송예나</t>
  </si>
  <si>
    <t>이규엽</t>
  </si>
  <si>
    <t>이성현</t>
  </si>
  <si>
    <t>이수민</t>
  </si>
  <si>
    <t>안우석</t>
  </si>
  <si>
    <t>이예림</t>
  </si>
  <si>
    <t>박민기</t>
  </si>
  <si>
    <t>이태성</t>
  </si>
  <si>
    <t>배환규</t>
  </si>
  <si>
    <t>김혜연</t>
  </si>
  <si>
    <t>이원준</t>
  </si>
  <si>
    <t>이지원</t>
  </si>
  <si>
    <t>김동현</t>
  </si>
  <si>
    <t>박상현</t>
  </si>
  <si>
    <t>박소현</t>
  </si>
  <si>
    <t>황인우</t>
  </si>
  <si>
    <t>이주연</t>
  </si>
  <si>
    <t>유지훈</t>
  </si>
  <si>
    <t>신입회원 OT 회비 지원금 차액 반환
(무과수마트 서교점)</t>
  </si>
  <si>
    <t>이진진</t>
  </si>
  <si>
    <t>신입회원 OT 회비 지원금 차액 반환
(보승회관 서교점)</t>
  </si>
  <si>
    <t>카카오뱅크</t>
  </si>
  <si>
    <t>예금이자</t>
  </si>
  <si>
    <t>비정기모임 개최 지원금</t>
  </si>
  <si>
    <t>합계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</si>
</sst>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_ "/>
  </numFmts>
  <fonts count="5">
    <font>
      <sz val="11.0"/>
      <color theme="1"/>
      <name val="Calibri"/>
      <scheme val="minor"/>
    </font>
    <font>
      <sz val="11.0"/>
      <color theme="1"/>
      <name val="Malgun Gothic"/>
    </font>
    <font/>
    <font>
      <sz val="11.0"/>
      <color theme="1"/>
      <name val="Calibri"/>
    </font>
    <font>
      <sz val="11.0"/>
      <color theme="1"/>
      <name val="Arimo"/>
    </font>
  </fonts>
  <fills count="21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rgb="FFF5B5F0"/>
        <bgColor rgb="FFF5B5F0"/>
      </patternFill>
    </fill>
    <fill>
      <patternFill patternType="solid">
        <fgColor rgb="FFA8D08D"/>
        <bgColor rgb="FFA8D08D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F9D7F7"/>
        <bgColor rgb="FFF9D7F7"/>
      </patternFill>
    </fill>
    <fill>
      <patternFill patternType="solid">
        <fgColor rgb="FFC5E0B3"/>
        <bgColor rgb="FFC5E0B3"/>
      </patternFill>
    </fill>
    <fill>
      <patternFill patternType="solid">
        <fgColor rgb="FFD9D9D9"/>
        <bgColor rgb="FFD9D9D9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FEE6F9"/>
        <bgColor rgb="FFFEE6F9"/>
      </patternFill>
    </fill>
    <fill>
      <patternFill patternType="solid">
        <fgColor rgb="FFE2EFD9"/>
        <bgColor rgb="FFE2EFD9"/>
      </patternFill>
    </fill>
  </fills>
  <borders count="24">
    <border/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top style="thin">
        <color rgb="FF666666"/>
      </top>
    </border>
    <border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top style="thin">
        <color rgb="FF666666"/>
      </top>
      <bottom/>
    </border>
    <border>
      <left style="thin">
        <color rgb="FF666666"/>
      </left>
      <right style="thin">
        <color rgb="FF666666"/>
      </right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/>
      <bottom style="thin">
        <color rgb="FF666666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A5A5A5"/>
      </bottom>
    </border>
    <border>
      <left/>
      <right style="thin">
        <color rgb="FF666666"/>
      </right>
      <top style="thin">
        <color rgb="FF666666"/>
      </top>
      <bottom style="thin">
        <color rgb="FFA5A5A5"/>
      </bottom>
    </border>
    <border>
      <left/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bottom style="thin">
        <color rgb="FFA5A5A5"/>
      </bottom>
    </border>
    <border>
      <left/>
      <right style="thin">
        <color rgb="FF666666"/>
      </right>
      <bottom style="thin">
        <color rgb="FFA5A5A5"/>
      </bottom>
    </border>
    <border>
      <left/>
      <right style="thin">
        <color rgb="FF666666"/>
      </right>
      <top/>
    </border>
    <border>
      <left/>
      <right style="thin">
        <color rgb="FF666666"/>
      </right>
    </border>
    <border>
      <left style="thin">
        <color rgb="FF666666"/>
      </left>
      <right style="thin">
        <color rgb="FF666666"/>
      </right>
      <top/>
      <bottom style="thin">
        <color rgb="FFA5A5A5"/>
      </bottom>
    </border>
    <border>
      <left/>
      <right style="thin">
        <color rgb="FF666666"/>
      </right>
      <top/>
      <bottom style="thin">
        <color rgb="FFA5A5A5"/>
      </bottom>
    </border>
    <border>
      <left style="thin">
        <color rgb="FF666666"/>
      </left>
      <right style="thin">
        <color rgb="FF666666"/>
      </right>
      <top style="thin">
        <color rgb="FFA5A5A5"/>
      </top>
      <bottom style="thin">
        <color rgb="FFA5A5A5"/>
      </bottom>
    </border>
    <border>
      <left/>
      <right style="thin">
        <color rgb="FF666666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center" wrapText="0"/>
    </xf>
    <xf borderId="1" fillId="2" fontId="1" numFmtId="164" xfId="0" applyAlignment="1" applyBorder="1" applyFill="1" applyFont="1" applyNumberFormat="1">
      <alignment horizontal="center"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4" fontId="1" numFmtId="164" xfId="0" applyAlignment="1" applyBorder="1" applyFill="1" applyFont="1" applyNumberFormat="1">
      <alignment horizontal="center" vertical="center"/>
    </xf>
    <xf borderId="2" fillId="5" fontId="1" numFmtId="164" xfId="0" applyAlignment="1" applyBorder="1" applyFill="1" applyFont="1" applyNumberFormat="1">
      <alignment horizontal="center"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2" fillId="6" fontId="1" numFmtId="164" xfId="0" applyAlignment="1" applyBorder="1" applyFill="1" applyFont="1" applyNumberFormat="1">
      <alignment horizontal="center" vertical="center"/>
    </xf>
    <xf borderId="5" fillId="7" fontId="1" numFmtId="164" xfId="0" applyAlignment="1" applyBorder="1" applyFill="1" applyFont="1" applyNumberFormat="1">
      <alignment horizontal="center" vertical="center"/>
    </xf>
    <xf borderId="1" fillId="8" fontId="1" numFmtId="164" xfId="0" applyAlignment="1" applyBorder="1" applyFill="1" applyFont="1" applyNumberFormat="1">
      <alignment horizontal="center" vertical="center"/>
    </xf>
    <xf borderId="5" fillId="9" fontId="1" numFmtId="164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7" fontId="1" numFmtId="0" xfId="0" applyAlignment="1" applyBorder="1" applyFont="1">
      <alignment horizontal="center" vertical="center"/>
    </xf>
    <xf borderId="11" fillId="0" fontId="2" numFmtId="0" xfId="0" applyAlignment="1" applyBorder="1" applyFont="1">
      <alignment vertical="center"/>
    </xf>
    <xf borderId="10" fillId="9" fontId="1" numFmtId="0" xfId="0" applyAlignment="1" applyBorder="1" applyFont="1">
      <alignment horizontal="center" vertical="center"/>
    </xf>
    <xf borderId="12" fillId="10" fontId="1" numFmtId="164" xfId="0" applyAlignment="1" applyBorder="1" applyFill="1" applyFont="1" applyNumberFormat="1">
      <alignment horizontal="center" vertical="center"/>
    </xf>
    <xf borderId="12" fillId="11" fontId="1" numFmtId="164" xfId="0" applyAlignment="1" applyBorder="1" applyFill="1" applyFont="1" applyNumberFormat="1">
      <alignment horizontal="center" vertical="center"/>
    </xf>
    <xf borderId="12" fillId="12" fontId="1" numFmtId="164" xfId="0" applyAlignment="1" applyBorder="1" applyFill="1" applyFont="1" applyNumberFormat="1">
      <alignment horizontal="center" vertical="center"/>
    </xf>
    <xf borderId="12" fillId="13" fontId="1" numFmtId="164" xfId="0" applyAlignment="1" applyBorder="1" applyFill="1" applyFont="1" applyNumberFormat="1">
      <alignment horizontal="center" vertical="center"/>
    </xf>
    <xf borderId="12" fillId="14" fontId="1" numFmtId="164" xfId="0" applyAlignment="1" applyBorder="1" applyFill="1" applyFont="1" applyNumberFormat="1">
      <alignment horizontal="center" vertical="center"/>
    </xf>
    <xf borderId="12" fillId="15" fontId="1" numFmtId="164" xfId="0" applyAlignment="1" applyBorder="1" applyFill="1" applyFont="1" applyNumberFormat="1">
      <alignment horizontal="center" vertical="center"/>
    </xf>
    <xf borderId="12" fillId="4" fontId="1" numFmtId="164" xfId="0" applyAlignment="1" applyBorder="1" applyFont="1" applyNumberFormat="1">
      <alignment horizontal="center" vertical="center"/>
    </xf>
    <xf borderId="13" fillId="16" fontId="3" numFmtId="164" xfId="0" applyAlignment="1" applyBorder="1" applyFill="1" applyFont="1" applyNumberFormat="1">
      <alignment horizontal="center" vertical="center"/>
    </xf>
    <xf borderId="14" fillId="16" fontId="3" numFmtId="164" xfId="0" applyAlignment="1" applyBorder="1" applyFont="1" applyNumberFormat="1">
      <alignment horizontal="center" vertical="center"/>
    </xf>
    <xf borderId="14" fillId="17" fontId="3" numFmtId="164" xfId="0" applyAlignment="1" applyBorder="1" applyFill="1" applyFont="1" applyNumberFormat="1">
      <alignment horizontal="center" vertical="center"/>
    </xf>
    <xf borderId="14" fillId="18" fontId="3" numFmtId="164" xfId="0" applyAlignment="1" applyBorder="1" applyFill="1" applyFont="1" applyNumberFormat="1">
      <alignment horizontal="center" vertical="center"/>
    </xf>
    <xf borderId="15" fillId="19" fontId="3" numFmtId="164" xfId="0" applyAlignment="1" applyBorder="1" applyFill="1" applyFont="1" applyNumberFormat="1">
      <alignment horizontal="center" vertical="center"/>
    </xf>
    <xf borderId="15" fillId="20" fontId="3" numFmtId="164" xfId="0" applyAlignment="1" applyBorder="1" applyFill="1" applyFont="1" applyNumberFormat="1">
      <alignment horizontal="center" vertical="center"/>
    </xf>
    <xf borderId="1" fillId="15" fontId="1" numFmtId="164" xfId="0" applyAlignment="1" applyBorder="1" applyFont="1" applyNumberFormat="1">
      <alignment horizontal="center" vertical="center"/>
    </xf>
    <xf borderId="16" fillId="16" fontId="3" numFmtId="164" xfId="0" applyAlignment="1" applyBorder="1" applyFont="1" applyNumberFormat="1">
      <alignment horizontal="center" vertical="center"/>
    </xf>
    <xf borderId="17" fillId="16" fontId="3" numFmtId="164" xfId="0" applyAlignment="1" applyBorder="1" applyFont="1" applyNumberFormat="1">
      <alignment horizontal="center" vertical="center"/>
    </xf>
    <xf borderId="17" fillId="17" fontId="3" numFmtId="164" xfId="0" applyAlignment="1" applyBorder="1" applyFont="1" applyNumberFormat="1">
      <alignment horizontal="center" readingOrder="0" vertical="center"/>
    </xf>
    <xf borderId="17" fillId="17" fontId="4" numFmtId="164" xfId="0" applyAlignment="1" applyBorder="1" applyFont="1" applyNumberFormat="1">
      <alignment horizontal="center" readingOrder="0" vertical="center"/>
    </xf>
    <xf borderId="18" fillId="17" fontId="3" numFmtId="164" xfId="0" applyAlignment="1" applyBorder="1" applyFont="1" applyNumberFormat="1">
      <alignment horizontal="center" readingOrder="0" vertical="center"/>
    </xf>
    <xf borderId="18" fillId="18" fontId="3" numFmtId="164" xfId="0" applyAlignment="1" applyBorder="1" applyFont="1" applyNumberFormat="1">
      <alignment horizontal="center" vertical="center"/>
    </xf>
    <xf borderId="19" fillId="0" fontId="2" numFmtId="0" xfId="0" applyAlignment="1" applyBorder="1" applyFont="1">
      <alignment vertical="center"/>
    </xf>
    <xf borderId="20" fillId="16" fontId="3" numFmtId="164" xfId="0" applyAlignment="1" applyBorder="1" applyFont="1" applyNumberFormat="1">
      <alignment horizontal="center" vertical="center"/>
    </xf>
    <xf borderId="21" fillId="16" fontId="3" numFmtId="164" xfId="0" applyAlignment="1" applyBorder="1" applyFont="1" applyNumberFormat="1">
      <alignment horizontal="center" vertical="center"/>
    </xf>
    <xf borderId="21" fillId="17" fontId="3" numFmtId="164" xfId="0" applyAlignment="1" applyBorder="1" applyFont="1" applyNumberFormat="1">
      <alignment horizontal="center" readingOrder="0" vertical="center"/>
    </xf>
    <xf borderId="21" fillId="17" fontId="4" numFmtId="164" xfId="0" applyAlignment="1" applyBorder="1" applyFont="1" applyNumberFormat="1">
      <alignment horizontal="center" readingOrder="0" vertical="center"/>
    </xf>
    <xf borderId="17" fillId="0" fontId="2" numFmtId="0" xfId="0" applyAlignment="1" applyBorder="1" applyFont="1">
      <alignment vertical="center"/>
    </xf>
    <xf borderId="21" fillId="17" fontId="3" numFmtId="164" xfId="0" applyAlignment="1" applyBorder="1" applyFont="1" applyNumberFormat="1">
      <alignment horizontal="center" vertical="center"/>
    </xf>
    <xf borderId="21" fillId="18" fontId="3" numFmtId="164" xfId="0" applyAlignment="1" applyBorder="1" applyFont="1" applyNumberFormat="1">
      <alignment horizontal="center" vertical="center"/>
    </xf>
    <xf borderId="21" fillId="16" fontId="1" numFmtId="164" xfId="0" applyAlignment="1" applyBorder="1" applyFont="1" applyNumberFormat="1">
      <alignment horizontal="center" vertical="center"/>
    </xf>
    <xf borderId="18" fillId="16" fontId="3" numFmtId="164" xfId="0" applyAlignment="1" applyBorder="1" applyFont="1" applyNumberFormat="1">
      <alignment horizontal="center" readingOrder="0" vertical="center"/>
    </xf>
    <xf borderId="20" fillId="16" fontId="3" numFmtId="164" xfId="0" applyAlignment="1" applyBorder="1" applyFont="1" applyNumberFormat="1">
      <alignment horizontal="center" readingOrder="0" vertical="center"/>
    </xf>
    <xf borderId="21" fillId="16" fontId="1" numFmtId="164" xfId="0" applyAlignment="1" applyBorder="1" applyFont="1" applyNumberFormat="1">
      <alignment horizontal="center" readingOrder="0" vertical="center"/>
    </xf>
    <xf borderId="21" fillId="16" fontId="3" numFmtId="164" xfId="0" applyAlignment="1" applyBorder="1" applyFont="1" applyNumberFormat="1">
      <alignment horizontal="center" readingOrder="0" vertical="center"/>
    </xf>
    <xf borderId="22" fillId="16" fontId="3" numFmtId="164" xfId="0" applyAlignment="1" applyBorder="1" applyFont="1" applyNumberFormat="1">
      <alignment horizontal="center" vertical="center"/>
    </xf>
    <xf borderId="23" fillId="16" fontId="3" numFmtId="164" xfId="0" applyAlignment="1" applyBorder="1" applyFont="1" applyNumberFormat="1">
      <alignment horizontal="center" vertical="center"/>
    </xf>
    <xf borderId="23" fillId="17" fontId="3" numFmtId="164" xfId="0" applyAlignment="1" applyBorder="1" applyFont="1" applyNumberFormat="1">
      <alignment horizontal="center" vertical="center"/>
    </xf>
    <xf borderId="21" fillId="18" fontId="3" numFmtId="164" xfId="0" applyAlignment="1" applyBorder="1" applyFont="1" applyNumberFormat="1">
      <alignment horizontal="center" readingOrder="0" vertical="center"/>
    </xf>
    <xf borderId="23" fillId="18" fontId="3" numFmtId="164" xfId="0" applyAlignment="1" applyBorder="1" applyFont="1" applyNumberFormat="1">
      <alignment horizontal="center" vertical="center"/>
    </xf>
    <xf borderId="2" fillId="2" fontId="1" numFmtId="164" xfId="0" applyAlignment="1" applyBorder="1" applyFont="1" applyNumberFormat="1">
      <alignment horizontal="center" vertical="center"/>
    </xf>
    <xf borderId="1" fillId="7" fontId="1" numFmtId="164" xfId="0" applyAlignment="1" applyBorder="1" applyFont="1" applyNumberFormat="1">
      <alignment horizontal="center" vertical="center"/>
    </xf>
    <xf borderId="1" fillId="9" fontId="1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3" width="7.86"/>
    <col customWidth="1" min="4" max="5" width="15.71"/>
    <col customWidth="1" min="6" max="6" width="31.29"/>
    <col customWidth="1" min="7" max="7" width="15.71"/>
    <col customWidth="1" min="8" max="8" width="25.57"/>
    <col customWidth="1" min="9" max="9" width="33.14"/>
    <col customWidth="1" min="10" max="10" width="15.71"/>
    <col customWidth="1" min="11" max="11" width="11.57"/>
    <col customWidth="1" min="12" max="12" width="15.86"/>
    <col customWidth="1" min="13" max="26" width="8.71"/>
  </cols>
  <sheetData>
    <row r="1" ht="16.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6"/>
      <c r="G1" s="7" t="s">
        <v>4</v>
      </c>
      <c r="H1" s="5"/>
      <c r="I1" s="6"/>
      <c r="J1" s="8" t="s">
        <v>5</v>
      </c>
      <c r="K1" s="9" t="s">
        <v>6</v>
      </c>
      <c r="L1" s="10" t="s">
        <v>7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6.5" customHeight="1">
      <c r="A2" s="12"/>
      <c r="B2" s="12"/>
      <c r="C2" s="12"/>
      <c r="D2" s="13"/>
      <c r="E2" s="14"/>
      <c r="F2" s="15"/>
      <c r="G2" s="13"/>
      <c r="H2" s="14"/>
      <c r="I2" s="15"/>
      <c r="J2" s="16" t="s">
        <v>8</v>
      </c>
      <c r="K2" s="17"/>
      <c r="L2" s="18" t="s">
        <v>9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6.5" customHeight="1">
      <c r="A3" s="17"/>
      <c r="B3" s="17"/>
      <c r="C3" s="17"/>
      <c r="D3" s="19" t="s">
        <v>10</v>
      </c>
      <c r="E3" s="19" t="s">
        <v>11</v>
      </c>
      <c r="F3" s="19" t="s">
        <v>12</v>
      </c>
      <c r="G3" s="20" t="s">
        <v>10</v>
      </c>
      <c r="H3" s="20" t="s">
        <v>13</v>
      </c>
      <c r="I3" s="20" t="s">
        <v>12</v>
      </c>
      <c r="J3" s="21" t="s">
        <v>10</v>
      </c>
      <c r="K3" s="22" t="s">
        <v>10</v>
      </c>
      <c r="L3" s="23" t="s">
        <v>10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6.5" customHeight="1">
      <c r="A4" s="1">
        <v>3.0</v>
      </c>
      <c r="B4" s="24">
        <v>1.0</v>
      </c>
      <c r="C4" s="25" t="s">
        <v>14</v>
      </c>
      <c r="D4" s="26">
        <v>1030009.0</v>
      </c>
      <c r="E4" s="27" t="s">
        <v>15</v>
      </c>
      <c r="F4" s="27" t="s">
        <v>16</v>
      </c>
      <c r="G4" s="28"/>
      <c r="H4" s="28"/>
      <c r="I4" s="28"/>
      <c r="J4" s="29">
        <v>1030009.0</v>
      </c>
      <c r="K4" s="30">
        <v>390000.0</v>
      </c>
      <c r="L4" s="31">
        <f t="shared" ref="L4:L5" si="1">J4-$K$4</f>
        <v>640009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6.5" customHeight="1">
      <c r="A5" s="12"/>
      <c r="B5" s="32">
        <v>2.0</v>
      </c>
      <c r="C5" s="3" t="s">
        <v>17</v>
      </c>
      <c r="D5" s="33"/>
      <c r="E5" s="34"/>
      <c r="F5" s="34"/>
      <c r="G5" s="35">
        <v>100000.0</v>
      </c>
      <c r="H5" s="36" t="s">
        <v>18</v>
      </c>
      <c r="I5" s="37" t="s">
        <v>19</v>
      </c>
      <c r="J5" s="38">
        <v>880009.0</v>
      </c>
      <c r="K5" s="39"/>
      <c r="L5" s="31">
        <f t="shared" si="1"/>
        <v>490009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6.5" customHeight="1">
      <c r="A6" s="12"/>
      <c r="B6" s="17"/>
      <c r="C6" s="17"/>
      <c r="D6" s="40"/>
      <c r="E6" s="41"/>
      <c r="F6" s="41"/>
      <c r="G6" s="42">
        <v>50000.0</v>
      </c>
      <c r="H6" s="43" t="s">
        <v>20</v>
      </c>
      <c r="I6" s="44"/>
      <c r="J6" s="44"/>
      <c r="K6" s="39"/>
      <c r="L6" s="39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6.5" customHeight="1">
      <c r="A7" s="12"/>
      <c r="B7" s="24">
        <v>3.0</v>
      </c>
      <c r="C7" s="25" t="s">
        <v>1</v>
      </c>
      <c r="D7" s="40"/>
      <c r="E7" s="41"/>
      <c r="F7" s="41"/>
      <c r="G7" s="45"/>
      <c r="H7" s="45"/>
      <c r="I7" s="45"/>
      <c r="J7" s="46"/>
      <c r="K7" s="39"/>
      <c r="L7" s="3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6.5" customHeight="1">
      <c r="A8" s="12"/>
      <c r="B8" s="24">
        <v>4.0</v>
      </c>
      <c r="C8" s="25" t="s">
        <v>0</v>
      </c>
      <c r="D8" s="40"/>
      <c r="E8" s="41"/>
      <c r="F8" s="41"/>
      <c r="G8" s="42"/>
      <c r="H8" s="42"/>
      <c r="I8" s="42"/>
      <c r="J8" s="46"/>
      <c r="K8" s="39"/>
      <c r="L8" s="3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6.5" customHeight="1">
      <c r="A9" s="12"/>
      <c r="B9" s="24">
        <v>5.0</v>
      </c>
      <c r="C9" s="25" t="s">
        <v>21</v>
      </c>
      <c r="D9" s="40"/>
      <c r="E9" s="41"/>
      <c r="F9" s="41"/>
      <c r="G9" s="45"/>
      <c r="H9" s="45"/>
      <c r="I9" s="45"/>
      <c r="J9" s="46"/>
      <c r="K9" s="39"/>
      <c r="L9" s="3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6.5" customHeight="1">
      <c r="A10" s="12"/>
      <c r="B10" s="24">
        <v>6.0</v>
      </c>
      <c r="C10" s="25" t="s">
        <v>22</v>
      </c>
      <c r="D10" s="40"/>
      <c r="E10" s="41"/>
      <c r="F10" s="41"/>
      <c r="G10" s="45"/>
      <c r="H10" s="45"/>
      <c r="I10" s="45"/>
      <c r="J10" s="46"/>
      <c r="K10" s="39"/>
      <c r="L10" s="3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6.5" customHeight="1">
      <c r="A11" s="12"/>
      <c r="B11" s="24">
        <v>7.0</v>
      </c>
      <c r="C11" s="25" t="s">
        <v>23</v>
      </c>
      <c r="D11" s="40"/>
      <c r="E11" s="41"/>
      <c r="F11" s="41"/>
      <c r="G11" s="45"/>
      <c r="H11" s="45"/>
      <c r="I11" s="45"/>
      <c r="J11" s="46"/>
      <c r="K11" s="39"/>
      <c r="L11" s="3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2"/>
      <c r="B12" s="24">
        <v>8.0</v>
      </c>
      <c r="C12" s="25" t="s">
        <v>14</v>
      </c>
      <c r="D12" s="40"/>
      <c r="E12" s="41"/>
      <c r="F12" s="41"/>
      <c r="G12" s="45">
        <v>50000.0</v>
      </c>
      <c r="H12" s="45" t="s">
        <v>24</v>
      </c>
      <c r="I12" s="42" t="s">
        <v>25</v>
      </c>
      <c r="J12" s="46">
        <v>830009.0</v>
      </c>
      <c r="K12" s="39"/>
      <c r="L12" s="31">
        <f>J12-$K$4</f>
        <v>440009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6.5" customHeight="1">
      <c r="A13" s="12"/>
      <c r="B13" s="24">
        <v>9.0</v>
      </c>
      <c r="C13" s="25" t="s">
        <v>17</v>
      </c>
      <c r="D13" s="40"/>
      <c r="E13" s="41"/>
      <c r="F13" s="41"/>
      <c r="G13" s="45"/>
      <c r="H13" s="45"/>
      <c r="I13" s="45"/>
      <c r="J13" s="46"/>
      <c r="K13" s="39"/>
      <c r="L13" s="3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6.5" customHeight="1">
      <c r="A14" s="12"/>
      <c r="B14" s="24">
        <v>10.0</v>
      </c>
      <c r="C14" s="25" t="s">
        <v>1</v>
      </c>
      <c r="D14" s="40"/>
      <c r="E14" s="41"/>
      <c r="F14" s="41"/>
      <c r="G14" s="45"/>
      <c r="H14" s="45"/>
      <c r="I14" s="45"/>
      <c r="J14" s="46"/>
      <c r="K14" s="39"/>
      <c r="L14" s="3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6.5" customHeight="1">
      <c r="A15" s="12"/>
      <c r="B15" s="24">
        <v>11.0</v>
      </c>
      <c r="C15" s="25" t="s">
        <v>0</v>
      </c>
      <c r="D15" s="40"/>
      <c r="E15" s="41"/>
      <c r="F15" s="41"/>
      <c r="G15" s="45"/>
      <c r="H15" s="45"/>
      <c r="I15" s="45"/>
      <c r="J15" s="46"/>
      <c r="K15" s="39"/>
      <c r="L15" s="3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6.5" customHeight="1">
      <c r="A16" s="12"/>
      <c r="B16" s="24">
        <v>12.0</v>
      </c>
      <c r="C16" s="25" t="s">
        <v>21</v>
      </c>
      <c r="D16" s="40"/>
      <c r="E16" s="41"/>
      <c r="F16" s="41"/>
      <c r="G16" s="45"/>
      <c r="H16" s="45"/>
      <c r="I16" s="45"/>
      <c r="J16" s="46"/>
      <c r="K16" s="39"/>
      <c r="L16" s="3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6.5" customHeight="1">
      <c r="A17" s="12"/>
      <c r="B17" s="24">
        <v>13.0</v>
      </c>
      <c r="C17" s="25" t="s">
        <v>22</v>
      </c>
      <c r="D17" s="40"/>
      <c r="E17" s="41"/>
      <c r="F17" s="41"/>
      <c r="G17" s="45"/>
      <c r="H17" s="45"/>
      <c r="I17" s="45"/>
      <c r="J17" s="46"/>
      <c r="K17" s="39"/>
      <c r="L17" s="3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6.5" customHeight="1">
      <c r="A18" s="12"/>
      <c r="B18" s="32">
        <v>14.0</v>
      </c>
      <c r="C18" s="3" t="s">
        <v>23</v>
      </c>
      <c r="D18" s="40">
        <v>19400.0</v>
      </c>
      <c r="E18" s="47" t="s">
        <v>26</v>
      </c>
      <c r="F18" s="48" t="s">
        <v>27</v>
      </c>
      <c r="G18" s="45"/>
      <c r="H18" s="45"/>
      <c r="I18" s="45"/>
      <c r="J18" s="46">
        <f>J12+D18</f>
        <v>849409</v>
      </c>
      <c r="K18" s="39"/>
      <c r="L18" s="31">
        <f t="shared" ref="L18:L47" si="2">J18-$K$4</f>
        <v>459409</v>
      </c>
      <c r="M18" s="11"/>
      <c r="N18" s="11"/>
      <c r="O18" s="11"/>
      <c r="P18" s="11"/>
      <c r="R18" s="11"/>
      <c r="S18" s="11"/>
      <c r="T18" s="11"/>
      <c r="U18" s="11"/>
      <c r="V18" s="11"/>
      <c r="W18" s="11"/>
      <c r="X18" s="11"/>
      <c r="Y18" s="11"/>
      <c r="Z18" s="11"/>
    </row>
    <row r="19" ht="16.5" customHeight="1">
      <c r="A19" s="12"/>
      <c r="B19" s="12"/>
      <c r="C19" s="12"/>
      <c r="D19" s="49">
        <v>19400.0</v>
      </c>
      <c r="E19" s="50" t="s">
        <v>28</v>
      </c>
      <c r="F19" s="39"/>
      <c r="G19" s="45"/>
      <c r="H19" s="45"/>
      <c r="I19" s="45"/>
      <c r="J19" s="46">
        <f t="shared" ref="J19:J45" si="3">J18+D19</f>
        <v>868809</v>
      </c>
      <c r="K19" s="39"/>
      <c r="L19" s="31">
        <f t="shared" si="2"/>
        <v>478809</v>
      </c>
      <c r="M19" s="11"/>
      <c r="N19" s="11"/>
      <c r="O19" s="11"/>
      <c r="P19" s="11"/>
      <c r="R19" s="11"/>
      <c r="S19" s="11"/>
      <c r="T19" s="11"/>
      <c r="U19" s="11"/>
      <c r="V19" s="11"/>
      <c r="W19" s="11"/>
      <c r="X19" s="11"/>
      <c r="Y19" s="11"/>
      <c r="Z19" s="11"/>
    </row>
    <row r="20" ht="16.5" customHeight="1">
      <c r="A20" s="12"/>
      <c r="B20" s="12"/>
      <c r="C20" s="12"/>
      <c r="D20" s="49">
        <v>19000.0</v>
      </c>
      <c r="E20" s="51" t="s">
        <v>29</v>
      </c>
      <c r="F20" s="39"/>
      <c r="G20" s="45"/>
      <c r="H20" s="45"/>
      <c r="I20" s="45"/>
      <c r="J20" s="46">
        <f t="shared" si="3"/>
        <v>887809</v>
      </c>
      <c r="K20" s="39"/>
      <c r="L20" s="31">
        <f t="shared" si="2"/>
        <v>497809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6.5" customHeight="1">
      <c r="A21" s="12"/>
      <c r="B21" s="12"/>
      <c r="C21" s="12"/>
      <c r="D21" s="49">
        <v>19400.0</v>
      </c>
      <c r="E21" s="51" t="s">
        <v>30</v>
      </c>
      <c r="F21" s="39"/>
      <c r="G21" s="45"/>
      <c r="H21" s="45"/>
      <c r="I21" s="45"/>
      <c r="J21" s="46">
        <f t="shared" si="3"/>
        <v>907209</v>
      </c>
      <c r="K21" s="39"/>
      <c r="L21" s="31">
        <f t="shared" si="2"/>
        <v>517209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6.5" customHeight="1">
      <c r="A22" s="12"/>
      <c r="B22" s="12"/>
      <c r="C22" s="12"/>
      <c r="D22" s="49">
        <v>19400.0</v>
      </c>
      <c r="E22" s="51" t="s">
        <v>31</v>
      </c>
      <c r="F22" s="39"/>
      <c r="G22" s="45"/>
      <c r="H22" s="45"/>
      <c r="I22" s="45"/>
      <c r="J22" s="46">
        <f t="shared" si="3"/>
        <v>926609</v>
      </c>
      <c r="K22" s="39"/>
      <c r="L22" s="31">
        <f t="shared" si="2"/>
        <v>536609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6.5" customHeight="1">
      <c r="A23" s="12"/>
      <c r="B23" s="12"/>
      <c r="C23" s="12"/>
      <c r="D23" s="49">
        <v>20000.0</v>
      </c>
      <c r="E23" s="51" t="s">
        <v>32</v>
      </c>
      <c r="F23" s="39"/>
      <c r="G23" s="45"/>
      <c r="H23" s="45"/>
      <c r="I23" s="45"/>
      <c r="J23" s="46">
        <f t="shared" si="3"/>
        <v>946609</v>
      </c>
      <c r="K23" s="39"/>
      <c r="L23" s="31">
        <f t="shared" si="2"/>
        <v>556609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6.5" customHeight="1">
      <c r="A24" s="12"/>
      <c r="B24" s="12"/>
      <c r="C24" s="12"/>
      <c r="D24" s="49">
        <v>19400.0</v>
      </c>
      <c r="E24" s="51" t="s">
        <v>33</v>
      </c>
      <c r="F24" s="39"/>
      <c r="G24" s="45"/>
      <c r="H24" s="45"/>
      <c r="I24" s="45"/>
      <c r="J24" s="46">
        <f t="shared" si="3"/>
        <v>966009</v>
      </c>
      <c r="K24" s="39"/>
      <c r="L24" s="31">
        <f t="shared" si="2"/>
        <v>576009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6.5" customHeight="1">
      <c r="A25" s="12"/>
      <c r="B25" s="12"/>
      <c r="C25" s="12"/>
      <c r="D25" s="49">
        <v>19400.0</v>
      </c>
      <c r="E25" s="51" t="s">
        <v>34</v>
      </c>
      <c r="F25" s="39"/>
      <c r="G25" s="45"/>
      <c r="H25" s="45"/>
      <c r="I25" s="45"/>
      <c r="J25" s="46">
        <f t="shared" si="3"/>
        <v>985409</v>
      </c>
      <c r="K25" s="39"/>
      <c r="L25" s="31">
        <f t="shared" si="2"/>
        <v>595409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6.5" customHeight="1">
      <c r="A26" s="12"/>
      <c r="B26" s="12"/>
      <c r="C26" s="12"/>
      <c r="D26" s="49">
        <v>19400.0</v>
      </c>
      <c r="E26" s="51" t="s">
        <v>35</v>
      </c>
      <c r="F26" s="39"/>
      <c r="G26" s="45"/>
      <c r="H26" s="45"/>
      <c r="I26" s="45"/>
      <c r="J26" s="46">
        <f t="shared" si="3"/>
        <v>1004809</v>
      </c>
      <c r="K26" s="39"/>
      <c r="L26" s="31">
        <f t="shared" si="2"/>
        <v>614809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6.5" customHeight="1">
      <c r="A27" s="12"/>
      <c r="B27" s="12"/>
      <c r="C27" s="12"/>
      <c r="D27" s="49">
        <v>19400.0</v>
      </c>
      <c r="E27" s="51" t="s">
        <v>36</v>
      </c>
      <c r="F27" s="39"/>
      <c r="G27" s="45"/>
      <c r="H27" s="45"/>
      <c r="I27" s="45"/>
      <c r="J27" s="46">
        <f t="shared" si="3"/>
        <v>1024209</v>
      </c>
      <c r="K27" s="39"/>
      <c r="L27" s="31">
        <f t="shared" si="2"/>
        <v>634209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6.5" customHeight="1">
      <c r="A28" s="12"/>
      <c r="B28" s="12"/>
      <c r="C28" s="12"/>
      <c r="D28" s="49">
        <v>19000.0</v>
      </c>
      <c r="E28" s="51" t="s">
        <v>37</v>
      </c>
      <c r="F28" s="39"/>
      <c r="G28" s="45"/>
      <c r="H28" s="45"/>
      <c r="I28" s="45"/>
      <c r="J28" s="46">
        <f t="shared" si="3"/>
        <v>1043209</v>
      </c>
      <c r="K28" s="39"/>
      <c r="L28" s="31">
        <f t="shared" si="2"/>
        <v>653209</v>
      </c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6.5" customHeight="1">
      <c r="A29" s="12"/>
      <c r="B29" s="12"/>
      <c r="C29" s="12"/>
      <c r="D29" s="49">
        <v>19400.0</v>
      </c>
      <c r="E29" s="51" t="s">
        <v>38</v>
      </c>
      <c r="F29" s="39"/>
      <c r="G29" s="45"/>
      <c r="H29" s="45"/>
      <c r="I29" s="45"/>
      <c r="J29" s="46">
        <f t="shared" si="3"/>
        <v>1062609</v>
      </c>
      <c r="K29" s="39"/>
      <c r="L29" s="31">
        <f t="shared" si="2"/>
        <v>672609</v>
      </c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6.5" customHeight="1">
      <c r="A30" s="12"/>
      <c r="B30" s="12"/>
      <c r="C30" s="12"/>
      <c r="D30" s="49">
        <v>19400.0</v>
      </c>
      <c r="E30" s="51" t="s">
        <v>39</v>
      </c>
      <c r="F30" s="39"/>
      <c r="G30" s="45"/>
      <c r="H30" s="45"/>
      <c r="I30" s="45"/>
      <c r="J30" s="46">
        <f t="shared" si="3"/>
        <v>1082009</v>
      </c>
      <c r="K30" s="39"/>
      <c r="L30" s="31">
        <f t="shared" si="2"/>
        <v>692009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6.5" customHeight="1">
      <c r="A31" s="12"/>
      <c r="B31" s="12"/>
      <c r="C31" s="12"/>
      <c r="D31" s="49">
        <v>19400.0</v>
      </c>
      <c r="E31" s="51" t="s">
        <v>40</v>
      </c>
      <c r="F31" s="39"/>
      <c r="G31" s="45"/>
      <c r="H31" s="45"/>
      <c r="I31" s="45"/>
      <c r="J31" s="46">
        <f t="shared" si="3"/>
        <v>1101409</v>
      </c>
      <c r="K31" s="39"/>
      <c r="L31" s="31">
        <f t="shared" si="2"/>
        <v>711409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6.5" customHeight="1">
      <c r="A32" s="12"/>
      <c r="B32" s="12"/>
      <c r="C32" s="12"/>
      <c r="D32" s="49">
        <v>19400.0</v>
      </c>
      <c r="E32" s="51" t="s">
        <v>41</v>
      </c>
      <c r="F32" s="39"/>
      <c r="G32" s="45"/>
      <c r="H32" s="45"/>
      <c r="I32" s="45"/>
      <c r="J32" s="46">
        <f t="shared" si="3"/>
        <v>1120809</v>
      </c>
      <c r="K32" s="39"/>
      <c r="L32" s="31">
        <f t="shared" si="2"/>
        <v>730809</v>
      </c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6.5" customHeight="1">
      <c r="A33" s="12"/>
      <c r="B33" s="12"/>
      <c r="C33" s="12"/>
      <c r="D33" s="49">
        <v>19400.0</v>
      </c>
      <c r="E33" s="51" t="s">
        <v>42</v>
      </c>
      <c r="F33" s="39"/>
      <c r="G33" s="45"/>
      <c r="H33" s="45"/>
      <c r="I33" s="45"/>
      <c r="J33" s="46">
        <f t="shared" si="3"/>
        <v>1140209</v>
      </c>
      <c r="K33" s="39"/>
      <c r="L33" s="31">
        <f t="shared" si="2"/>
        <v>750209</v>
      </c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6.5" customHeight="1">
      <c r="A34" s="12"/>
      <c r="B34" s="12"/>
      <c r="C34" s="12"/>
      <c r="D34" s="49">
        <v>19400.0</v>
      </c>
      <c r="E34" s="51" t="s">
        <v>43</v>
      </c>
      <c r="F34" s="39"/>
      <c r="G34" s="45"/>
      <c r="H34" s="45"/>
      <c r="I34" s="45"/>
      <c r="J34" s="46">
        <f t="shared" si="3"/>
        <v>1159609</v>
      </c>
      <c r="K34" s="39"/>
      <c r="L34" s="31">
        <f t="shared" si="2"/>
        <v>769609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6.5" customHeight="1">
      <c r="A35" s="12"/>
      <c r="B35" s="12"/>
      <c r="C35" s="12"/>
      <c r="D35" s="49">
        <v>19400.0</v>
      </c>
      <c r="E35" s="51" t="s">
        <v>44</v>
      </c>
      <c r="F35" s="39"/>
      <c r="G35" s="45"/>
      <c r="H35" s="45"/>
      <c r="I35" s="45"/>
      <c r="J35" s="46">
        <f t="shared" si="3"/>
        <v>1179009</v>
      </c>
      <c r="K35" s="39"/>
      <c r="L35" s="31">
        <f t="shared" si="2"/>
        <v>789009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6.5" customHeight="1">
      <c r="A36" s="12"/>
      <c r="B36" s="12"/>
      <c r="C36" s="12"/>
      <c r="D36" s="49">
        <v>19400.0</v>
      </c>
      <c r="E36" s="51" t="s">
        <v>45</v>
      </c>
      <c r="F36" s="39"/>
      <c r="G36" s="45"/>
      <c r="H36" s="45"/>
      <c r="I36" s="45"/>
      <c r="J36" s="46">
        <f t="shared" si="3"/>
        <v>1198409</v>
      </c>
      <c r="K36" s="39"/>
      <c r="L36" s="31">
        <f t="shared" si="2"/>
        <v>808409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6.5" customHeight="1">
      <c r="A37" s="12"/>
      <c r="B37" s="12"/>
      <c r="C37" s="12"/>
      <c r="D37" s="49">
        <v>19000.0</v>
      </c>
      <c r="E37" s="51" t="s">
        <v>46</v>
      </c>
      <c r="F37" s="39"/>
      <c r="G37" s="45"/>
      <c r="H37" s="45"/>
      <c r="I37" s="45"/>
      <c r="J37" s="46">
        <f t="shared" si="3"/>
        <v>1217409</v>
      </c>
      <c r="K37" s="39"/>
      <c r="L37" s="31">
        <f t="shared" si="2"/>
        <v>827409</v>
      </c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6.5" customHeight="1">
      <c r="A38" s="12"/>
      <c r="B38" s="12"/>
      <c r="C38" s="12"/>
      <c r="D38" s="49">
        <v>19400.0</v>
      </c>
      <c r="E38" s="51" t="s">
        <v>47</v>
      </c>
      <c r="F38" s="39"/>
      <c r="G38" s="45"/>
      <c r="H38" s="45"/>
      <c r="I38" s="45"/>
      <c r="J38" s="46">
        <f t="shared" si="3"/>
        <v>1236809</v>
      </c>
      <c r="K38" s="39"/>
      <c r="L38" s="31">
        <f t="shared" si="2"/>
        <v>846809</v>
      </c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6.5" customHeight="1">
      <c r="A39" s="12"/>
      <c r="B39" s="12"/>
      <c r="C39" s="12"/>
      <c r="D39" s="49">
        <v>19400.0</v>
      </c>
      <c r="E39" s="51" t="s">
        <v>48</v>
      </c>
      <c r="F39" s="39"/>
      <c r="G39" s="45"/>
      <c r="H39" s="45"/>
      <c r="I39" s="45"/>
      <c r="J39" s="46">
        <f t="shared" si="3"/>
        <v>1256209</v>
      </c>
      <c r="K39" s="39"/>
      <c r="L39" s="31">
        <f t="shared" si="2"/>
        <v>866209</v>
      </c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6.5" customHeight="1">
      <c r="A40" s="12"/>
      <c r="B40" s="12"/>
      <c r="C40" s="12"/>
      <c r="D40" s="49">
        <v>19000.0</v>
      </c>
      <c r="E40" s="51" t="s">
        <v>15</v>
      </c>
      <c r="F40" s="39"/>
      <c r="G40" s="45"/>
      <c r="H40" s="45"/>
      <c r="I40" s="45"/>
      <c r="J40" s="46">
        <f t="shared" si="3"/>
        <v>1275209</v>
      </c>
      <c r="K40" s="39"/>
      <c r="L40" s="31">
        <f t="shared" si="2"/>
        <v>885209</v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6.5" customHeight="1">
      <c r="A41" s="12"/>
      <c r="B41" s="12"/>
      <c r="C41" s="12"/>
      <c r="D41" s="49">
        <v>19400.0</v>
      </c>
      <c r="E41" s="51" t="s">
        <v>49</v>
      </c>
      <c r="F41" s="39"/>
      <c r="G41" s="45"/>
      <c r="H41" s="45"/>
      <c r="I41" s="45"/>
      <c r="J41" s="46">
        <f t="shared" si="3"/>
        <v>1294609</v>
      </c>
      <c r="K41" s="39"/>
      <c r="L41" s="31">
        <f t="shared" si="2"/>
        <v>904609</v>
      </c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6.5" customHeight="1">
      <c r="A42" s="12"/>
      <c r="B42" s="12"/>
      <c r="C42" s="12"/>
      <c r="D42" s="49">
        <v>19000.0</v>
      </c>
      <c r="E42" s="51" t="s">
        <v>50</v>
      </c>
      <c r="F42" s="39"/>
      <c r="G42" s="45"/>
      <c r="H42" s="45"/>
      <c r="I42" s="45"/>
      <c r="J42" s="46">
        <f t="shared" si="3"/>
        <v>1313609</v>
      </c>
      <c r="K42" s="39"/>
      <c r="L42" s="31">
        <f t="shared" si="2"/>
        <v>923609</v>
      </c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6.5" customHeight="1">
      <c r="A43" s="12"/>
      <c r="B43" s="12"/>
      <c r="C43" s="12"/>
      <c r="D43" s="49">
        <v>19400.0</v>
      </c>
      <c r="E43" s="51" t="s">
        <v>51</v>
      </c>
      <c r="F43" s="39"/>
      <c r="G43" s="45"/>
      <c r="H43" s="45"/>
      <c r="I43" s="45"/>
      <c r="J43" s="46">
        <f t="shared" si="3"/>
        <v>1333009</v>
      </c>
      <c r="K43" s="39"/>
      <c r="L43" s="31">
        <f t="shared" si="2"/>
        <v>943009</v>
      </c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6.5" customHeight="1">
      <c r="A44" s="12"/>
      <c r="B44" s="12"/>
      <c r="C44" s="12"/>
      <c r="D44" s="49">
        <v>19400.0</v>
      </c>
      <c r="E44" s="51" t="s">
        <v>52</v>
      </c>
      <c r="F44" s="39"/>
      <c r="G44" s="45"/>
      <c r="H44" s="45"/>
      <c r="I44" s="45"/>
      <c r="J44" s="46">
        <f t="shared" si="3"/>
        <v>1352409</v>
      </c>
      <c r="K44" s="39"/>
      <c r="L44" s="31">
        <f t="shared" si="2"/>
        <v>962409</v>
      </c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6.5" customHeight="1">
      <c r="A45" s="12"/>
      <c r="B45" s="12"/>
      <c r="C45" s="12"/>
      <c r="D45" s="49">
        <v>19000.0</v>
      </c>
      <c r="E45" s="51" t="s">
        <v>53</v>
      </c>
      <c r="F45" s="44"/>
      <c r="G45" s="45"/>
      <c r="H45" s="45"/>
      <c r="I45" s="45"/>
      <c r="J45" s="46">
        <f t="shared" si="3"/>
        <v>1371409</v>
      </c>
      <c r="K45" s="39"/>
      <c r="L45" s="31">
        <f t="shared" si="2"/>
        <v>981409</v>
      </c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2"/>
      <c r="B46" s="12"/>
      <c r="C46" s="12"/>
      <c r="D46" s="40"/>
      <c r="E46" s="41"/>
      <c r="F46" s="41"/>
      <c r="G46" s="42">
        <v>368130.0</v>
      </c>
      <c r="H46" s="42" t="s">
        <v>54</v>
      </c>
      <c r="I46" s="42" t="s">
        <v>55</v>
      </c>
      <c r="J46" s="46">
        <f t="shared" ref="J46:J47" si="4">J45-G46</f>
        <v>1003279</v>
      </c>
      <c r="K46" s="39"/>
      <c r="L46" s="31">
        <f t="shared" si="2"/>
        <v>613279</v>
      </c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2"/>
      <c r="B47" s="17"/>
      <c r="C47" s="17"/>
      <c r="D47" s="40"/>
      <c r="E47" s="41"/>
      <c r="F47" s="41"/>
      <c r="G47" s="42">
        <v>22100.0</v>
      </c>
      <c r="H47" s="42" t="s">
        <v>56</v>
      </c>
      <c r="I47" s="42" t="s">
        <v>57</v>
      </c>
      <c r="J47" s="46">
        <f t="shared" si="4"/>
        <v>981179</v>
      </c>
      <c r="K47" s="39"/>
      <c r="L47" s="31">
        <f t="shared" si="2"/>
        <v>591179</v>
      </c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6.5" customHeight="1">
      <c r="A48" s="12"/>
      <c r="B48" s="24">
        <v>15.0</v>
      </c>
      <c r="C48" s="25" t="s">
        <v>14</v>
      </c>
      <c r="D48" s="40"/>
      <c r="E48" s="41"/>
      <c r="F48" s="41"/>
      <c r="G48" s="45"/>
      <c r="H48" s="45"/>
      <c r="I48" s="45"/>
      <c r="J48" s="46"/>
      <c r="K48" s="39"/>
      <c r="L48" s="3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6.5" customHeight="1">
      <c r="A49" s="12"/>
      <c r="B49" s="24">
        <v>16.0</v>
      </c>
      <c r="C49" s="25" t="s">
        <v>17</v>
      </c>
      <c r="D49" s="40"/>
      <c r="E49" s="41"/>
      <c r="F49" s="41"/>
      <c r="G49" s="45"/>
      <c r="H49" s="45"/>
      <c r="I49" s="45"/>
      <c r="J49" s="46"/>
      <c r="K49" s="39"/>
      <c r="L49" s="3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6.5" customHeight="1">
      <c r="A50" s="12"/>
      <c r="B50" s="24">
        <v>17.0</v>
      </c>
      <c r="C50" s="25" t="s">
        <v>1</v>
      </c>
      <c r="D50" s="40"/>
      <c r="E50" s="41"/>
      <c r="F50" s="41"/>
      <c r="G50" s="45"/>
      <c r="H50" s="45"/>
      <c r="I50" s="45"/>
      <c r="J50" s="46"/>
      <c r="K50" s="39"/>
      <c r="L50" s="3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6.5" customHeight="1">
      <c r="A51" s="12"/>
      <c r="B51" s="24">
        <v>18.0</v>
      </c>
      <c r="C51" s="25" t="s">
        <v>0</v>
      </c>
      <c r="D51" s="52"/>
      <c r="E51" s="53"/>
      <c r="F51" s="53"/>
      <c r="G51" s="54"/>
      <c r="H51" s="54"/>
      <c r="I51" s="54"/>
      <c r="J51" s="46"/>
      <c r="K51" s="39"/>
      <c r="L51" s="3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6.5" customHeight="1">
      <c r="A52" s="12"/>
      <c r="B52" s="24">
        <v>19.0</v>
      </c>
      <c r="C52" s="25" t="s">
        <v>21</v>
      </c>
      <c r="D52" s="40"/>
      <c r="E52" s="41"/>
      <c r="F52" s="41"/>
      <c r="G52" s="45"/>
      <c r="H52" s="45"/>
      <c r="I52" s="45"/>
      <c r="J52" s="46"/>
      <c r="K52" s="39"/>
      <c r="L52" s="3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6.5" customHeight="1">
      <c r="A53" s="12"/>
      <c r="B53" s="24">
        <v>20.0</v>
      </c>
      <c r="C53" s="25" t="s">
        <v>22</v>
      </c>
      <c r="D53" s="40"/>
      <c r="E53" s="41"/>
      <c r="F53" s="41"/>
      <c r="G53" s="45"/>
      <c r="H53" s="45"/>
      <c r="I53" s="45"/>
      <c r="J53" s="46"/>
      <c r="K53" s="39"/>
      <c r="L53" s="3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6.5" customHeight="1">
      <c r="A54" s="12"/>
      <c r="B54" s="24">
        <v>21.0</v>
      </c>
      <c r="C54" s="25" t="s">
        <v>23</v>
      </c>
      <c r="D54" s="52"/>
      <c r="E54" s="53"/>
      <c r="F54" s="53"/>
      <c r="G54" s="54"/>
      <c r="H54" s="54"/>
      <c r="I54" s="54"/>
      <c r="J54" s="46"/>
      <c r="K54" s="39"/>
      <c r="L54" s="31"/>
      <c r="M54" s="11"/>
      <c r="N54" s="11"/>
      <c r="O54" s="11"/>
      <c r="P54" s="11">
        <f>981179+64</f>
        <v>981243</v>
      </c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6.5" customHeight="1">
      <c r="A55" s="12"/>
      <c r="B55" s="24">
        <v>22.0</v>
      </c>
      <c r="C55" s="25" t="s">
        <v>14</v>
      </c>
      <c r="D55" s="52"/>
      <c r="E55" s="53"/>
      <c r="F55" s="53"/>
      <c r="G55" s="54"/>
      <c r="H55" s="54"/>
      <c r="I55" s="54"/>
      <c r="J55" s="46"/>
      <c r="K55" s="39"/>
      <c r="L55" s="3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6.5" customHeight="1">
      <c r="A56" s="12"/>
      <c r="B56" s="24">
        <v>23.0</v>
      </c>
      <c r="C56" s="25" t="s">
        <v>17</v>
      </c>
      <c r="D56" s="49">
        <v>64.0</v>
      </c>
      <c r="E56" s="51" t="s">
        <v>58</v>
      </c>
      <c r="F56" s="51" t="s">
        <v>59</v>
      </c>
      <c r="G56" s="45"/>
      <c r="H56" s="45"/>
      <c r="I56" s="45"/>
      <c r="J56" s="55">
        <v>981243.0</v>
      </c>
      <c r="K56" s="39"/>
      <c r="L56" s="31">
        <f>J56-$K$4</f>
        <v>591243</v>
      </c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6.5" customHeight="1">
      <c r="A57" s="12"/>
      <c r="B57" s="24">
        <v>24.0</v>
      </c>
      <c r="C57" s="25" t="s">
        <v>1</v>
      </c>
      <c r="D57" s="40"/>
      <c r="E57" s="41"/>
      <c r="F57" s="41"/>
      <c r="G57" s="42"/>
      <c r="H57" s="42"/>
      <c r="I57" s="45"/>
      <c r="J57" s="46"/>
      <c r="K57" s="39"/>
      <c r="L57" s="3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6.5" customHeight="1">
      <c r="A58" s="12"/>
      <c r="B58" s="24">
        <v>25.0</v>
      </c>
      <c r="C58" s="25" t="s">
        <v>0</v>
      </c>
      <c r="D58" s="52"/>
      <c r="E58" s="53"/>
      <c r="F58" s="53"/>
      <c r="G58" s="54"/>
      <c r="H58" s="54"/>
      <c r="I58" s="54"/>
      <c r="J58" s="56"/>
      <c r="K58" s="39"/>
      <c r="L58" s="3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6.5" customHeight="1">
      <c r="A59" s="12"/>
      <c r="B59" s="24">
        <v>26.0</v>
      </c>
      <c r="C59" s="25" t="s">
        <v>21</v>
      </c>
      <c r="D59" s="40"/>
      <c r="E59" s="41"/>
      <c r="F59" s="41"/>
      <c r="G59" s="45"/>
      <c r="H59" s="45"/>
      <c r="I59" s="45"/>
      <c r="J59" s="46"/>
      <c r="K59" s="39"/>
      <c r="L59" s="3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6.5" customHeight="1">
      <c r="A60" s="12"/>
      <c r="B60" s="24">
        <v>27.0</v>
      </c>
      <c r="C60" s="25" t="s">
        <v>22</v>
      </c>
      <c r="D60" s="40"/>
      <c r="E60" s="41"/>
      <c r="F60" s="41"/>
      <c r="G60" s="45"/>
      <c r="H60" s="45"/>
      <c r="I60" s="45"/>
      <c r="J60" s="46"/>
      <c r="K60" s="39"/>
      <c r="L60" s="3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6.5" customHeight="1">
      <c r="A61" s="12"/>
      <c r="B61" s="24">
        <v>28.0</v>
      </c>
      <c r="C61" s="25" t="s">
        <v>23</v>
      </c>
      <c r="D61" s="40"/>
      <c r="E61" s="41"/>
      <c r="F61" s="41"/>
      <c r="G61" s="45"/>
      <c r="H61" s="45"/>
      <c r="I61" s="45"/>
      <c r="J61" s="46"/>
      <c r="K61" s="39"/>
      <c r="L61" s="3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6.5" customHeight="1">
      <c r="A62" s="12"/>
      <c r="B62" s="24">
        <v>29.0</v>
      </c>
      <c r="C62" s="25" t="s">
        <v>14</v>
      </c>
      <c r="D62" s="40"/>
      <c r="E62" s="41"/>
      <c r="F62" s="41"/>
      <c r="G62" s="45"/>
      <c r="H62" s="45"/>
      <c r="I62" s="45"/>
      <c r="J62" s="46"/>
      <c r="K62" s="39"/>
      <c r="L62" s="3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6.5" customHeight="1">
      <c r="A63" s="12"/>
      <c r="B63" s="24">
        <v>30.0</v>
      </c>
      <c r="C63" s="25" t="s">
        <v>17</v>
      </c>
      <c r="D63" s="40"/>
      <c r="E63" s="41"/>
      <c r="F63" s="41"/>
      <c r="G63" s="45"/>
      <c r="H63" s="45"/>
      <c r="I63" s="45"/>
      <c r="J63" s="46"/>
      <c r="K63" s="39"/>
      <c r="L63" s="3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6.5" customHeight="1">
      <c r="A64" s="17"/>
      <c r="B64" s="24">
        <v>31.0</v>
      </c>
      <c r="C64" s="25" t="s">
        <v>1</v>
      </c>
      <c r="D64" s="40"/>
      <c r="E64" s="41"/>
      <c r="F64" s="41"/>
      <c r="G64" s="42">
        <v>3000.0</v>
      </c>
      <c r="H64" s="42" t="s">
        <v>56</v>
      </c>
      <c r="I64" s="42" t="s">
        <v>60</v>
      </c>
      <c r="J64" s="55">
        <v>978243.0</v>
      </c>
      <c r="K64" s="44"/>
      <c r="L64" s="31">
        <f>J64-$K$4</f>
        <v>588243</v>
      </c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6.5" customHeight="1">
      <c r="A65" s="57" t="s">
        <v>61</v>
      </c>
      <c r="B65" s="5"/>
      <c r="C65" s="6"/>
      <c r="D65" s="4">
        <f>SUM(D4:D64)</f>
        <v>1571473</v>
      </c>
      <c r="E65" s="5"/>
      <c r="F65" s="6"/>
      <c r="G65" s="7">
        <f>SUM(G4:G64)</f>
        <v>593230</v>
      </c>
      <c r="H65" s="5"/>
      <c r="I65" s="6"/>
      <c r="J65" s="58">
        <f>D65-G65</f>
        <v>978243</v>
      </c>
      <c r="K65" s="9">
        <f>K4</f>
        <v>390000</v>
      </c>
      <c r="L65" s="59">
        <f>J65-K65</f>
        <v>588243</v>
      </c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6.5" customHeight="1">
      <c r="A66" s="13"/>
      <c r="B66" s="14"/>
      <c r="C66" s="15"/>
      <c r="D66" s="13"/>
      <c r="E66" s="14"/>
      <c r="F66" s="15"/>
      <c r="G66" s="13"/>
      <c r="H66" s="14"/>
      <c r="I66" s="15"/>
      <c r="J66" s="17"/>
      <c r="K66" s="17"/>
      <c r="L66" s="17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6.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6.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6.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6.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6.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6.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6.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6.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6.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6.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6.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6.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6.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6.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6.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6.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6.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6.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6.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6.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6.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6.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6.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6.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6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6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6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6.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6.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6.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6.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6.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6.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6.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6.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6.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6.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6.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6.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6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6.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6.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6.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6.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6.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6.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6.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6.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6.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6.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6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6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6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6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6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6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6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6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6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6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6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6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6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6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6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6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6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6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6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6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6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6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6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6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6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6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6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6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6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6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6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6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6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6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6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6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6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6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6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6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6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6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6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6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6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6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6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6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6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6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6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6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6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6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6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6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6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6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6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6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6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6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6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6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6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6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6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6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6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6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6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6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6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6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6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6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6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6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6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6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6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6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6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6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6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6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6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6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6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6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6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6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6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6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6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6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6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6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6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6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6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6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6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6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6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6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6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6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6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6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6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6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6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6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6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6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6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6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6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6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6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6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6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6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6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6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6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6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6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6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6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6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6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6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6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6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6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6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6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6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6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6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6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6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6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6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6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6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6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6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6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6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6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6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6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6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6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6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6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6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6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6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6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6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6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6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6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6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6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6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6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6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6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6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6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6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6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6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6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6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6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6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6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6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6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6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6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6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6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6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6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6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6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6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6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6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6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6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6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6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6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6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6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6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6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6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6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6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6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6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6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6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6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6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6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6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6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6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6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6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6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6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6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6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6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6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6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6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6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6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6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6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6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6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6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6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6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6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6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6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6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6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6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6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6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6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6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6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6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6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6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6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6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6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6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6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6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6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6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6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6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6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6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6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6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6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6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6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6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6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6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6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6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6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6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6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6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6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6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6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6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6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6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6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6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6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6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6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6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6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6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6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6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6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6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6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6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6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6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6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6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6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6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6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6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6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6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6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6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6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6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6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6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6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6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6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6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6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6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6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6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6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6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6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6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6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6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6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6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6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6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6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6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6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6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6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6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6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6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6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6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6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6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6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6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6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6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6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6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6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6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6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6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6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6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6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6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6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6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6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6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6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6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6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6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6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6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6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6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6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6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6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6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6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6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6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6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6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6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6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6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6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6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6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6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6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6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6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6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6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6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6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6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6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6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6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6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6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6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6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6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6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6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6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6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6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6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6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6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6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6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6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6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6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6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6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6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6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6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6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6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6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6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6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6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6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6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6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6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6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6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6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6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6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6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6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6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6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6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6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6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6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6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6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6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6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6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6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6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6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6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6.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6.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6.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6.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6.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6.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6.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6.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6.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6.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6.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6.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6.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6.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6.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6.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6.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6.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6.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6.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6.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6.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6.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6.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6.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6.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6.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6.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6.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6.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6.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6.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6.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6.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6.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6.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6.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6.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6.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6.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6.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6.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6.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6.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6.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6.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6.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6.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6.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6.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6.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6.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6.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6.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6.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6.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6.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6.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6.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6.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6.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6.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6.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6.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6.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6.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6.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6.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6.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6.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6.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6.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6.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6.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6.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6.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6.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6.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6.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6.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6.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6.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6.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6.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6.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6.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6.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6.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6.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6.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6.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6.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6.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6.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6.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6.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6.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6.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6.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6.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6.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6.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6.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6.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6.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6.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6.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6.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6.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6.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6.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6.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6.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6.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6.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6.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6.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6.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6.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6.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6.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6.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6.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6.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6.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6.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6.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6.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6.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6.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6.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6.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6.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6.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6.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6.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6.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6.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6.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6.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6.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6.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6.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6.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6.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6.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6.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6.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6.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6.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6.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6.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6.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6.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6.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6.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6.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6.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6.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6.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6.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6.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6.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6.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6.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6.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6.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6.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6.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6.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6.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6.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6.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6.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6.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6.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6.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6.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6.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6.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6.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6.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6.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6.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6.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6.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6.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6.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6.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6.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6.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6.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6.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6.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6.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6.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6.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6.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6.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6.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6.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6.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6.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6.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6.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6.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6.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6.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6.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6.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6.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6.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6.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6.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6.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6.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6.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6.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6.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6.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6.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6.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6.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6.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6.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6.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6.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6.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6.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6.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6.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6.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6.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6.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6.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6.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6.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6.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6.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6.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6.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6.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6.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6.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6.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6.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6.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6.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6.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6.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6.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6.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6.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6.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6.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6.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6.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6.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6.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6.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6.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6.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6.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6.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6.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6.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6.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6.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6.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6.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6.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6.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6.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6.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6.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6.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6.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6.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6.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6.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6.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6.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6.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6.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6.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6.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6.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6.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6.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6.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6.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6.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6.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6.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6.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6.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6.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6.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6.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6.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6.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6.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6.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6.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6.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6.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6.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6.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6.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6.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6.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6.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6.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6.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6.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6.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6.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6.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6.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6.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6.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6.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6.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6.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6.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6.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6.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6.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6.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6.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6.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6.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6.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6.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6.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6.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6.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6.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6.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6.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6.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6.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6.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6.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6.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6.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6.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6.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6.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6.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6.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6.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6.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6.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6.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6.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6.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6.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6.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6.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6.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6.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6.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6.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6.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6.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6.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6.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6.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6.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6.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6.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6.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6.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6.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6.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6.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6.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6.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6.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6.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6.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6.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6.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6.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6.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6.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6.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6.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6.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6.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6.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6.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6.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6.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6.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6.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6.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6.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6.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6.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6.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6.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6.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6.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6.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6.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6.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6.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6.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6.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6.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6.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6.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6.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6.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6.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6.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6.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6.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6.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6.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6.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6.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6.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6.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6.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6.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6.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6.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6.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6.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6.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ht="16.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ht="16.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ht="16.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ht="16.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ht="16.5" customHeight="1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 ht="16.5" customHeight="1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 ht="16.5" customHeight="1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 ht="16.5" customHeight="1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 ht="16.5" customHeight="1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 ht="16.5" customHeight="1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 ht="16.5" customHeight="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 ht="16.5" customHeight="1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 ht="16.5" customHeight="1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 ht="16.5" customHeight="1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 ht="16.5" customHeight="1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 ht="16.5" customHeight="1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 ht="16.5" customHeight="1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 ht="16.5" customHeight="1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 ht="16.5" customHeight="1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 ht="16.5" customHeight="1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 ht="16.5" customHeight="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</row>
    <row r="1022" ht="16.5" customHeight="1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</row>
    <row r="1023" ht="16.5" customHeight="1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</row>
    <row r="1024" ht="16.5" customHeight="1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</row>
    <row r="1025" ht="16.5" customHeight="1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</row>
    <row r="1026" ht="16.5" customHeight="1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</row>
    <row r="1027" ht="16.5" customHeight="1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</row>
  </sheetData>
  <mergeCells count="22">
    <mergeCell ref="B1:B3"/>
    <mergeCell ref="B5:B6"/>
    <mergeCell ref="C5:C6"/>
    <mergeCell ref="I5:I6"/>
    <mergeCell ref="L5:L6"/>
    <mergeCell ref="A4:A64"/>
    <mergeCell ref="B18:B47"/>
    <mergeCell ref="C18:C47"/>
    <mergeCell ref="F18:F45"/>
    <mergeCell ref="A65:C66"/>
    <mergeCell ref="D65:F66"/>
    <mergeCell ref="G65:I66"/>
    <mergeCell ref="J65:J66"/>
    <mergeCell ref="K65:K66"/>
    <mergeCell ref="L65:L66"/>
    <mergeCell ref="A1:A3"/>
    <mergeCell ref="C1:C3"/>
    <mergeCell ref="D1:F2"/>
    <mergeCell ref="G1:I2"/>
    <mergeCell ref="K1:K2"/>
    <mergeCell ref="K4:K64"/>
    <mergeCell ref="J5:J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2023-01-11T12:57:29Z</dcterms:created>
  <dc:creator>이진진</dc:creator>
</cp:coreProperties>
</file>