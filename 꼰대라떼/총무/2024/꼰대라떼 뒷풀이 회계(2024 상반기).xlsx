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03.24 오티(참고)" sheetId="1" r:id="rId4"/>
    <sheet state="visible" name="24.03.01 강남첫모임" sheetId="2" r:id="rId5"/>
    <sheet state="visible" name="24.03.09 오티" sheetId="3" r:id="rId6"/>
  </sheets>
  <definedNames/>
  <calcPr/>
  <extLst>
    <ext uri="GoogleSheetsCustomDataVersion2">
      <go:sheetsCustomData xmlns:go="http://customooxmlschemas.google.com/" r:id="rId7" roundtripDataChecksum="Ec316BBxmJ4yCde9nhmlr71qAUUo7ZPy6g6/Opshm6M="/>
    </ext>
  </extLst>
</workbook>
</file>

<file path=xl/sharedStrings.xml><?xml version="1.0" encoding="utf-8"?>
<sst xmlns="http://schemas.openxmlformats.org/spreadsheetml/2006/main" count="197" uniqueCount="98">
  <si>
    <t>회원명</t>
  </si>
  <si>
    <t>귀가시간</t>
  </si>
  <si>
    <t>대관비</t>
  </si>
  <si>
    <t>케이크</t>
  </si>
  <si>
    <t>피.치.엽</t>
  </si>
  <si>
    <t>일회용품</t>
  </si>
  <si>
    <t>편의점</t>
  </si>
  <si>
    <t>합계</t>
  </si>
  <si>
    <t>01:22</t>
  </si>
  <si>
    <t>02:49</t>
  </si>
  <si>
    <t>이진진</t>
  </si>
  <si>
    <t>06:00</t>
  </si>
  <si>
    <t>백다은</t>
  </si>
  <si>
    <t>윤민식</t>
  </si>
  <si>
    <t>이규엽</t>
  </si>
  <si>
    <t>이원준</t>
  </si>
  <si>
    <t>황인우</t>
  </si>
  <si>
    <t>김승현</t>
  </si>
  <si>
    <t>오재민</t>
  </si>
  <si>
    <t>박가연</t>
  </si>
  <si>
    <t>이향리</t>
  </si>
  <si>
    <t>05:00</t>
  </si>
  <si>
    <t>김지윤</t>
  </si>
  <si>
    <t>최지훈</t>
  </si>
  <si>
    <t>이수민</t>
  </si>
  <si>
    <t>박도연</t>
  </si>
  <si>
    <t>김보라</t>
  </si>
  <si>
    <t>02:30</t>
  </si>
  <si>
    <t>이유곤</t>
  </si>
  <si>
    <t>02:00</t>
  </si>
  <si>
    <t>신혜원</t>
  </si>
  <si>
    <t>홍정우</t>
  </si>
  <si>
    <t>박서현</t>
  </si>
  <si>
    <t>홍석범</t>
  </si>
  <si>
    <t>01:00</t>
  </si>
  <si>
    <t>명수민</t>
  </si>
  <si>
    <t>김세미</t>
  </si>
  <si>
    <t>이성현</t>
  </si>
  <si>
    <t>23:40</t>
  </si>
  <si>
    <t>서보성</t>
  </si>
  <si>
    <t>23:30</t>
  </si>
  <si>
    <t>한명선</t>
  </si>
  <si>
    <t>장유화</t>
  </si>
  <si>
    <t>23:10</t>
  </si>
  <si>
    <t>임예지</t>
  </si>
  <si>
    <t>권제인</t>
  </si>
  <si>
    <t>23:00</t>
  </si>
  <si>
    <t>이주희</t>
  </si>
  <si>
    <t>정하영</t>
  </si>
  <si>
    <t>회비지원</t>
  </si>
  <si>
    <t>입장시각</t>
  </si>
  <si>
    <t>귀가시각</t>
  </si>
  <si>
    <t>1차</t>
  </si>
  <si>
    <t>2차</t>
  </si>
  <si>
    <t>택시</t>
  </si>
  <si>
    <t>18:00~20:30</t>
  </si>
  <si>
    <t>20:30~23:20</t>
  </si>
  <si>
    <t>23:30~01:20</t>
  </si>
  <si>
    <t>유지훈</t>
  </si>
  <si>
    <t>23:20</t>
  </si>
  <si>
    <t>01:20</t>
  </si>
  <si>
    <t>박민기</t>
  </si>
  <si>
    <t>양정우</t>
  </si>
  <si>
    <t>방규현</t>
  </si>
  <si>
    <t>김태호</t>
  </si>
  <si>
    <t>윤기화</t>
  </si>
  <si>
    <t>22:30</t>
  </si>
  <si>
    <t>박상현</t>
  </si>
  <si>
    <t>신희찬</t>
  </si>
  <si>
    <t>22:00</t>
  </si>
  <si>
    <t>권지연</t>
  </si>
  <si>
    <t>18:10</t>
  </si>
  <si>
    <t>홍채원</t>
  </si>
  <si>
    <t>18:30</t>
  </si>
  <si>
    <t>배환규</t>
  </si>
  <si>
    <t>20:30</t>
  </si>
  <si>
    <t>문제원</t>
  </si>
  <si>
    <t>이광민</t>
  </si>
  <si>
    <t>조용근</t>
  </si>
  <si>
    <t>이예림</t>
  </si>
  <si>
    <t>22:10</t>
  </si>
  <si>
    <t>대관비(보증금 제외)</t>
  </si>
  <si>
    <t>1차) 마트, 배달음식</t>
  </si>
  <si>
    <t>2차) 편의점</t>
  </si>
  <si>
    <t>3차) 해장국</t>
  </si>
  <si>
    <t>입금여부</t>
  </si>
  <si>
    <t>김혜연</t>
  </si>
  <si>
    <t>O</t>
  </si>
  <si>
    <t>송예나</t>
  </si>
  <si>
    <t>이주연</t>
  </si>
  <si>
    <t>박소현</t>
  </si>
  <si>
    <t>안우석</t>
  </si>
  <si>
    <t>이수현</t>
  </si>
  <si>
    <t>이지원</t>
  </si>
  <si>
    <t>이태성</t>
  </si>
  <si>
    <t>하은희</t>
  </si>
  <si>
    <t>김동현</t>
  </si>
  <si>
    <t>김해찬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</si>
</sst>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[Red]\(#,##0\)"/>
    <numFmt numFmtId="165" formatCode="#,##0;(#,##0)"/>
    <numFmt numFmtId="166" formatCode="[$₩-412]#,##0.00"/>
  </numFmts>
  <fonts count="12">
    <font>
      <sz val="11.0"/>
      <color rgb="FF000000"/>
      <name val="Hnc_go_b_hint_gs"/>
      <scheme val="minor"/>
    </font>
    <font>
      <b/>
      <sz val="11.0"/>
      <color rgb="FF000000"/>
      <name val="Malgun Gothic"/>
    </font>
    <font/>
    <font>
      <sz val="11.0"/>
      <color rgb="FF000000"/>
      <name val="Malgun Gothic"/>
    </font>
    <font>
      <sz val="11.0"/>
      <color rgb="FF0611F2"/>
      <name val="Malgun Gothic"/>
    </font>
    <font>
      <sz val="11.0"/>
      <color rgb="FFFF0000"/>
      <name val="Malgun Gothic"/>
    </font>
    <font>
      <sz val="11.0"/>
      <color rgb="FFFF00FF"/>
      <name val="Malgun Gothic"/>
    </font>
    <font>
      <sz val="11.0"/>
      <color rgb="FF000000"/>
      <name val="Hnc_go_b_hint_gs"/>
    </font>
    <font>
      <b/>
      <sz val="11.0"/>
      <color theme="1"/>
      <name val="Malgun Gothic"/>
    </font>
    <font>
      <sz val="11.0"/>
      <color theme="1"/>
      <name val="Hnc_go_b_hint_gs"/>
    </font>
    <font>
      <color theme="1"/>
      <name val="Hnc_go_b_hint_gs"/>
      <scheme val="minor"/>
    </font>
    <font>
      <sz val="11.0"/>
      <color theme="1"/>
      <name val="Malgun Gothic"/>
    </font>
  </fonts>
  <fills count="28">
    <fill>
      <patternFill patternType="none"/>
    </fill>
    <fill>
      <patternFill patternType="lightGray"/>
    </fill>
    <fill>
      <patternFill patternType="solid">
        <fgColor rgb="FFE9B9B9"/>
        <bgColor rgb="FFE9B9B9"/>
      </patternFill>
    </fill>
    <fill>
      <patternFill patternType="solid">
        <fgColor rgb="FFF3DCDC"/>
        <bgColor rgb="FFF3DCDC"/>
      </patternFill>
    </fill>
    <fill>
      <patternFill patternType="solid">
        <fgColor rgb="FFF6DFAA"/>
        <bgColor rgb="FFF6DFAA"/>
      </patternFill>
    </fill>
    <fill>
      <patternFill patternType="solid">
        <fgColor rgb="FFFBEFD4"/>
        <bgColor rgb="FFFBEFD4"/>
      </patternFill>
    </fill>
    <fill>
      <patternFill patternType="solid">
        <fgColor rgb="FFC3E0A6"/>
        <bgColor rgb="FFC3E0A6"/>
      </patternFill>
    </fill>
    <fill>
      <patternFill patternType="solid">
        <fgColor rgb="FFE1EFD3"/>
        <bgColor rgb="FFE1EFD3"/>
      </patternFill>
    </fill>
    <fill>
      <patternFill patternType="solid">
        <fgColor rgb="FFA3D7DE"/>
        <bgColor rgb="FFA3D7DE"/>
      </patternFill>
    </fill>
    <fill>
      <patternFill patternType="solid">
        <fgColor rgb="FFD2EBEE"/>
        <bgColor rgb="FFD2EBEE"/>
      </patternFill>
    </fill>
    <fill>
      <patternFill patternType="solid">
        <fgColor rgb="FFA2BEE0"/>
        <bgColor rgb="FFA2BEE0"/>
      </patternFill>
    </fill>
    <fill>
      <patternFill patternType="solid">
        <fgColor rgb="FFD0DEEF"/>
        <bgColor rgb="FFD0DEEF"/>
      </patternFill>
    </fill>
    <fill>
      <patternFill patternType="solid">
        <fgColor rgb="FFEABCDC"/>
        <bgColor rgb="FFEABCDC"/>
      </patternFill>
    </fill>
    <fill>
      <patternFill patternType="solid">
        <fgColor rgb="FFF4DEEE"/>
        <bgColor rgb="FFF4DEEE"/>
      </patternFill>
    </fill>
    <fill>
      <patternFill patternType="solid">
        <fgColor rgb="FFD9D9D9"/>
        <bgColor rgb="FFD9D9D9"/>
      </patternFill>
    </fill>
    <fill>
      <patternFill patternType="solid">
        <fgColor rgb="FFE8B9B9"/>
        <bgColor rgb="FFE8B9B9"/>
      </patternFill>
    </fill>
    <fill>
      <patternFill patternType="solid">
        <fgColor rgb="FFF6DEAA"/>
        <bgColor rgb="FFF6DEAA"/>
      </patternFill>
    </fill>
    <fill>
      <patternFill patternType="solid">
        <fgColor rgb="FFFAEED4"/>
        <bgColor rgb="FFFAEED4"/>
      </patternFill>
    </fill>
    <fill>
      <patternFill patternType="solid">
        <fgColor rgb="FFE0EFD2"/>
        <bgColor rgb="FFE0EFD2"/>
      </patternFill>
    </fill>
    <fill>
      <patternFill patternType="solid">
        <fgColor rgb="FFC2DFA6"/>
        <bgColor rgb="FFC2DFA6"/>
      </patternFill>
    </fill>
    <fill>
      <patternFill patternType="solid">
        <fgColor rgb="FFA1BDE0"/>
        <bgColor rgb="FFA1BDE0"/>
      </patternFill>
    </fill>
    <fill>
      <patternFill patternType="solid">
        <fgColor rgb="FFF2F2F2"/>
        <bgColor rgb="FFF2F2F2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7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3" numFmtId="20" xfId="0" applyAlignment="1" applyBorder="1" applyFont="1" applyNumberFormat="1">
      <alignment horizontal="center" vertical="center"/>
    </xf>
    <xf borderId="13" fillId="0" fontId="3" numFmtId="20" xfId="0" applyAlignment="1" applyBorder="1" applyFont="1" applyNumberFormat="1">
      <alignment horizontal="center" vertical="center"/>
    </xf>
    <xf borderId="14" fillId="0" fontId="3" numFmtId="20" xfId="0" applyAlignment="1" applyBorder="1" applyFont="1" applyNumberFormat="1">
      <alignment horizontal="center" vertical="center"/>
    </xf>
    <xf quotePrefix="1" borderId="14" fillId="0" fontId="3" numFmtId="20" xfId="0" applyAlignment="1" applyBorder="1" applyFont="1" applyNumberFormat="1">
      <alignment horizontal="center" vertical="center"/>
    </xf>
    <xf borderId="15" fillId="2" fontId="3" numFmtId="0" xfId="0" applyAlignment="1" applyBorder="1" applyFill="1" applyFont="1">
      <alignment horizontal="center" vertical="center"/>
    </xf>
    <xf quotePrefix="1" borderId="16" fillId="3" fontId="4" numFmtId="20" xfId="0" applyAlignment="1" applyBorder="1" applyFill="1" applyFont="1" applyNumberFormat="1">
      <alignment horizontal="center" vertical="center"/>
    </xf>
    <xf borderId="17" fillId="3" fontId="3" numFmtId="164" xfId="0" applyAlignment="1" applyBorder="1" applyFont="1" applyNumberFormat="1">
      <alignment horizontal="center" vertical="center"/>
    </xf>
    <xf borderId="18" fillId="3" fontId="3" numFmtId="164" xfId="0" applyAlignment="1" applyBorder="1" applyFont="1" applyNumberFormat="1">
      <alignment horizontal="center" vertical="center"/>
    </xf>
    <xf borderId="19" fillId="3" fontId="3" numFmtId="164" xfId="0" applyAlignment="1" applyBorder="1" applyFont="1" applyNumberFormat="1">
      <alignment horizontal="center" vertical="center"/>
    </xf>
    <xf borderId="20" fillId="2" fontId="3" numFmtId="164" xfId="0" applyAlignment="1" applyBorder="1" applyFont="1" applyNumberFormat="1">
      <alignment horizontal="center" vertical="center"/>
    </xf>
    <xf borderId="21" fillId="2" fontId="3" numFmtId="0" xfId="0" applyAlignment="1" applyBorder="1" applyFont="1">
      <alignment horizontal="center" vertical="center"/>
    </xf>
    <xf quotePrefix="1" borderId="22" fillId="3" fontId="4" numFmtId="0" xfId="0" applyAlignment="1" applyBorder="1" applyFont="1">
      <alignment horizontal="center" vertical="center"/>
    </xf>
    <xf borderId="23" fillId="3" fontId="3" numFmtId="164" xfId="0" applyAlignment="1" applyBorder="1" applyFont="1" applyNumberFormat="1">
      <alignment horizontal="center" vertical="center"/>
    </xf>
    <xf borderId="24" fillId="3" fontId="3" numFmtId="164" xfId="0" applyAlignment="1" applyBorder="1" applyFont="1" applyNumberFormat="1">
      <alignment horizontal="center" vertical="center"/>
    </xf>
    <xf borderId="25" fillId="3" fontId="3" numFmtId="164" xfId="0" applyAlignment="1" applyBorder="1" applyFont="1" applyNumberFormat="1">
      <alignment horizontal="center" vertical="center"/>
    </xf>
    <xf borderId="15" fillId="2" fontId="3" numFmtId="164" xfId="0" applyAlignment="1" applyBorder="1" applyFont="1" applyNumberFormat="1">
      <alignment horizontal="center" vertical="center"/>
    </xf>
    <xf borderId="26" fillId="2" fontId="3" numFmtId="0" xfId="0" applyAlignment="1" applyBorder="1" applyFont="1">
      <alignment horizontal="center" vertical="center"/>
    </xf>
    <xf quotePrefix="1" borderId="27" fillId="3" fontId="4" numFmtId="0" xfId="0" applyAlignment="1" applyBorder="1" applyFont="1">
      <alignment horizontal="center" vertical="center"/>
    </xf>
    <xf borderId="13" fillId="3" fontId="3" numFmtId="164" xfId="0" applyAlignment="1" applyBorder="1" applyFont="1" applyNumberFormat="1">
      <alignment horizontal="center" vertical="center"/>
    </xf>
    <xf borderId="28" fillId="3" fontId="3" numFmtId="164" xfId="0" applyAlignment="1" applyBorder="1" applyFont="1" applyNumberFormat="1">
      <alignment horizontal="center" vertical="center"/>
    </xf>
    <xf borderId="12" fillId="3" fontId="3" numFmtId="164" xfId="0" applyAlignment="1" applyBorder="1" applyFont="1" applyNumberFormat="1">
      <alignment horizontal="center" vertical="center"/>
    </xf>
    <xf borderId="29" fillId="2" fontId="3" numFmtId="164" xfId="0" applyAlignment="1" applyBorder="1" applyFont="1" applyNumberFormat="1">
      <alignment horizontal="center" vertical="center"/>
    </xf>
    <xf borderId="21" fillId="4" fontId="3" numFmtId="0" xfId="0" applyAlignment="1" applyBorder="1" applyFill="1" applyFont="1">
      <alignment horizontal="center" vertical="center"/>
    </xf>
    <xf quotePrefix="1" borderId="22" fillId="5" fontId="4" numFmtId="0" xfId="0" applyAlignment="1" applyBorder="1" applyFill="1" applyFont="1">
      <alignment horizontal="center" vertical="center"/>
    </xf>
    <xf borderId="23" fillId="5" fontId="3" numFmtId="164" xfId="0" applyAlignment="1" applyBorder="1" applyFont="1" applyNumberFormat="1">
      <alignment horizontal="center" vertical="center"/>
    </xf>
    <xf borderId="24" fillId="5" fontId="3" numFmtId="164" xfId="0" applyAlignment="1" applyBorder="1" applyFont="1" applyNumberFormat="1">
      <alignment horizontal="center" vertical="center"/>
    </xf>
    <xf borderId="25" fillId="5" fontId="3" numFmtId="164" xfId="0" applyAlignment="1" applyBorder="1" applyFont="1" applyNumberFormat="1">
      <alignment horizontal="center" vertical="center"/>
    </xf>
    <xf borderId="20" fillId="4" fontId="3" numFmtId="164" xfId="0" applyAlignment="1" applyBorder="1" applyFont="1" applyNumberFormat="1">
      <alignment horizontal="center" vertical="center"/>
    </xf>
    <xf borderId="15" fillId="4" fontId="3" numFmtId="164" xfId="0" applyAlignment="1" applyBorder="1" applyFont="1" applyNumberFormat="1">
      <alignment horizontal="center" vertical="center"/>
    </xf>
    <xf borderId="23" fillId="5" fontId="5" numFmtId="164" xfId="0" applyAlignment="1" applyBorder="1" applyFont="1" applyNumberFormat="1">
      <alignment horizontal="center" vertical="center"/>
    </xf>
    <xf borderId="24" fillId="5" fontId="5" numFmtId="164" xfId="0" applyAlignment="1" applyBorder="1" applyFont="1" applyNumberFormat="1">
      <alignment horizontal="center" vertical="center"/>
    </xf>
    <xf borderId="25" fillId="5" fontId="5" numFmtId="164" xfId="0" applyAlignment="1" applyBorder="1" applyFont="1" applyNumberFormat="1">
      <alignment horizontal="center" vertical="center"/>
    </xf>
    <xf borderId="26" fillId="4" fontId="3" numFmtId="0" xfId="0" applyAlignment="1" applyBorder="1" applyFont="1">
      <alignment horizontal="center" vertical="center"/>
    </xf>
    <xf quotePrefix="1" borderId="27" fillId="5" fontId="4" numFmtId="0" xfId="0" applyAlignment="1" applyBorder="1" applyFont="1">
      <alignment horizontal="center" vertical="center"/>
    </xf>
    <xf borderId="13" fillId="5" fontId="3" numFmtId="164" xfId="0" applyAlignment="1" applyBorder="1" applyFont="1" applyNumberFormat="1">
      <alignment horizontal="center" vertical="center"/>
    </xf>
    <xf borderId="13" fillId="5" fontId="5" numFmtId="164" xfId="0" applyAlignment="1" applyBorder="1" applyFont="1" applyNumberFormat="1">
      <alignment horizontal="center" vertical="center"/>
    </xf>
    <xf borderId="28" fillId="5" fontId="5" numFmtId="164" xfId="0" applyAlignment="1" applyBorder="1" applyFont="1" applyNumberFormat="1">
      <alignment horizontal="center" vertical="center"/>
    </xf>
    <xf borderId="12" fillId="5" fontId="5" numFmtId="164" xfId="0" applyAlignment="1" applyBorder="1" applyFont="1" applyNumberFormat="1">
      <alignment horizontal="center" vertical="center"/>
    </xf>
    <xf borderId="28" fillId="5" fontId="3" numFmtId="164" xfId="0" applyAlignment="1" applyBorder="1" applyFont="1" applyNumberFormat="1">
      <alignment horizontal="center" vertical="center"/>
    </xf>
    <xf borderId="29" fillId="4" fontId="3" numFmtId="164" xfId="0" applyAlignment="1" applyBorder="1" applyFont="1" applyNumberFormat="1">
      <alignment horizontal="center" vertical="center"/>
    </xf>
    <xf borderId="15" fillId="6" fontId="3" numFmtId="0" xfId="0" applyAlignment="1" applyBorder="1" applyFill="1" applyFont="1">
      <alignment horizontal="center" vertical="center"/>
    </xf>
    <xf quotePrefix="1" borderId="16" fillId="7" fontId="4" numFmtId="20" xfId="0" applyAlignment="1" applyBorder="1" applyFill="1" applyFont="1" applyNumberFormat="1">
      <alignment horizontal="center" vertical="center"/>
    </xf>
    <xf borderId="17" fillId="7" fontId="3" numFmtId="164" xfId="0" applyAlignment="1" applyBorder="1" applyFont="1" applyNumberFormat="1">
      <alignment horizontal="center" vertical="center"/>
    </xf>
    <xf borderId="18" fillId="7" fontId="3" numFmtId="164" xfId="0" applyAlignment="1" applyBorder="1" applyFont="1" applyNumberFormat="1">
      <alignment horizontal="center" vertical="center"/>
    </xf>
    <xf borderId="19" fillId="7" fontId="3" numFmtId="164" xfId="0" applyAlignment="1" applyBorder="1" applyFont="1" applyNumberFormat="1">
      <alignment horizontal="center" vertical="center"/>
    </xf>
    <xf borderId="20" fillId="6" fontId="3" numFmtId="164" xfId="0" applyAlignment="1" applyBorder="1" applyFont="1" applyNumberFormat="1">
      <alignment horizontal="center" vertical="center"/>
    </xf>
    <xf borderId="15" fillId="6" fontId="6" numFmtId="0" xfId="0" applyAlignment="1" applyBorder="1" applyFont="1">
      <alignment horizontal="center" vertical="center"/>
    </xf>
    <xf borderId="19" fillId="7" fontId="6" numFmtId="164" xfId="0" applyAlignment="1" applyBorder="1" applyFont="1" applyNumberFormat="1">
      <alignment horizontal="center" vertical="center"/>
    </xf>
    <xf borderId="17" fillId="7" fontId="6" numFmtId="164" xfId="0" applyAlignment="1" applyBorder="1" applyFont="1" applyNumberFormat="1">
      <alignment horizontal="center" vertical="center"/>
    </xf>
    <xf borderId="18" fillId="7" fontId="6" numFmtId="164" xfId="0" applyAlignment="1" applyBorder="1" applyFont="1" applyNumberFormat="1">
      <alignment horizontal="center" vertical="center"/>
    </xf>
    <xf borderId="15" fillId="6" fontId="3" numFmtId="164" xfId="0" applyAlignment="1" applyBorder="1" applyFont="1" applyNumberFormat="1">
      <alignment horizontal="center" vertical="center"/>
    </xf>
    <xf borderId="29" fillId="6" fontId="3" numFmtId="0" xfId="0" applyAlignment="1" applyBorder="1" applyFont="1">
      <alignment horizontal="center" vertical="center"/>
    </xf>
    <xf quotePrefix="1" borderId="30" fillId="7" fontId="4" numFmtId="20" xfId="0" applyAlignment="1" applyBorder="1" applyFont="1" applyNumberFormat="1">
      <alignment horizontal="center" vertical="center"/>
    </xf>
    <xf borderId="31" fillId="7" fontId="3" numFmtId="164" xfId="0" applyAlignment="1" applyBorder="1" applyFont="1" applyNumberFormat="1">
      <alignment horizontal="center" vertical="center"/>
    </xf>
    <xf borderId="32" fillId="7" fontId="3" numFmtId="164" xfId="0" applyAlignment="1" applyBorder="1" applyFont="1" applyNumberFormat="1">
      <alignment horizontal="center" vertical="center"/>
    </xf>
    <xf borderId="33" fillId="7" fontId="3" numFmtId="164" xfId="0" applyAlignment="1" applyBorder="1" applyFont="1" applyNumberFormat="1">
      <alignment horizontal="center" vertical="center"/>
    </xf>
    <xf borderId="34" fillId="6" fontId="3" numFmtId="164" xfId="0" applyAlignment="1" applyBorder="1" applyFont="1" applyNumberFormat="1">
      <alignment horizontal="center" vertical="center"/>
    </xf>
    <xf borderId="20" fillId="8" fontId="3" numFmtId="0" xfId="0" applyAlignment="1" applyBorder="1" applyFill="1" applyFont="1">
      <alignment horizontal="center" vertical="center"/>
    </xf>
    <xf quotePrefix="1" borderId="35" fillId="9" fontId="4" numFmtId="20" xfId="0" applyAlignment="1" applyBorder="1" applyFill="1" applyFont="1" applyNumberFormat="1">
      <alignment horizontal="center" vertical="center"/>
    </xf>
    <xf borderId="36" fillId="9" fontId="3" numFmtId="164" xfId="0" applyAlignment="1" applyBorder="1" applyFont="1" applyNumberFormat="1">
      <alignment horizontal="center" vertical="center"/>
    </xf>
    <xf borderId="37" fillId="9" fontId="3" numFmtId="164" xfId="0" applyAlignment="1" applyBorder="1" applyFont="1" applyNumberFormat="1">
      <alignment horizontal="center" vertical="center"/>
    </xf>
    <xf borderId="38" fillId="9" fontId="3" numFmtId="164" xfId="0" applyAlignment="1" applyBorder="1" applyFont="1" applyNumberFormat="1">
      <alignment horizontal="center" vertical="center"/>
    </xf>
    <xf borderId="20" fillId="8" fontId="3" numFmtId="164" xfId="0" applyAlignment="1" applyBorder="1" applyFont="1" applyNumberFormat="1">
      <alignment horizontal="center" vertical="center"/>
    </xf>
    <xf borderId="15" fillId="8" fontId="3" numFmtId="0" xfId="0" applyAlignment="1" applyBorder="1" applyFont="1">
      <alignment horizontal="center" vertical="center"/>
    </xf>
    <xf quotePrefix="1" borderId="16" fillId="9" fontId="4" numFmtId="20" xfId="0" applyAlignment="1" applyBorder="1" applyFont="1" applyNumberFormat="1">
      <alignment horizontal="center" vertical="center"/>
    </xf>
    <xf borderId="17" fillId="9" fontId="3" numFmtId="164" xfId="0" applyAlignment="1" applyBorder="1" applyFont="1" applyNumberFormat="1">
      <alignment horizontal="center" vertical="center"/>
    </xf>
    <xf borderId="18" fillId="9" fontId="3" numFmtId="164" xfId="0" applyAlignment="1" applyBorder="1" applyFont="1" applyNumberFormat="1">
      <alignment horizontal="center" vertical="center"/>
    </xf>
    <xf borderId="19" fillId="9" fontId="3" numFmtId="164" xfId="0" applyAlignment="1" applyBorder="1" applyFont="1" applyNumberFormat="1">
      <alignment horizontal="center" vertical="center"/>
    </xf>
    <xf borderId="15" fillId="8" fontId="3" numFmtId="164" xfId="0" applyAlignment="1" applyBorder="1" applyFont="1" applyNumberFormat="1">
      <alignment horizontal="center" vertical="center"/>
    </xf>
    <xf borderId="34" fillId="8" fontId="3" numFmtId="0" xfId="0" applyAlignment="1" applyBorder="1" applyFont="1">
      <alignment horizontal="center" vertical="center"/>
    </xf>
    <xf quotePrefix="1" borderId="39" fillId="9" fontId="4" numFmtId="20" xfId="0" applyAlignment="1" applyBorder="1" applyFont="1" applyNumberFormat="1">
      <alignment horizontal="center" vertical="center"/>
    </xf>
    <xf borderId="40" fillId="9" fontId="3" numFmtId="164" xfId="0" applyAlignment="1" applyBorder="1" applyFont="1" applyNumberFormat="1">
      <alignment horizontal="center" vertical="center"/>
    </xf>
    <xf borderId="41" fillId="9" fontId="3" numFmtId="164" xfId="0" applyAlignment="1" applyBorder="1" applyFont="1" applyNumberFormat="1">
      <alignment horizontal="center" vertical="center"/>
    </xf>
    <xf borderId="42" fillId="9" fontId="3" numFmtId="164" xfId="0" applyAlignment="1" applyBorder="1" applyFont="1" applyNumberFormat="1">
      <alignment horizontal="center" vertical="center"/>
    </xf>
    <xf borderId="34" fillId="8" fontId="3" numFmtId="164" xfId="0" applyAlignment="1" applyBorder="1" applyFont="1" applyNumberFormat="1">
      <alignment horizontal="center" vertical="center"/>
    </xf>
    <xf borderId="15" fillId="10" fontId="3" numFmtId="0" xfId="0" applyAlignment="1" applyBorder="1" applyFill="1" applyFont="1">
      <alignment horizontal="center" vertical="center"/>
    </xf>
    <xf quotePrefix="1" borderId="16" fillId="11" fontId="4" numFmtId="20" xfId="0" applyAlignment="1" applyBorder="1" applyFill="1" applyFont="1" applyNumberFormat="1">
      <alignment horizontal="center" vertical="center"/>
    </xf>
    <xf borderId="17" fillId="11" fontId="3" numFmtId="164" xfId="0" applyAlignment="1" applyBorder="1" applyFont="1" applyNumberFormat="1">
      <alignment horizontal="center" vertical="center"/>
    </xf>
    <xf borderId="18" fillId="11" fontId="3" numFmtId="164" xfId="0" applyAlignment="1" applyBorder="1" applyFont="1" applyNumberFormat="1">
      <alignment horizontal="center" vertical="center"/>
    </xf>
    <xf borderId="19" fillId="11" fontId="3" numFmtId="164" xfId="0" applyAlignment="1" applyBorder="1" applyFont="1" applyNumberFormat="1">
      <alignment horizontal="center" vertical="center"/>
    </xf>
    <xf borderId="20" fillId="10" fontId="3" numFmtId="164" xfId="0" applyAlignment="1" applyBorder="1" applyFont="1" applyNumberFormat="1">
      <alignment horizontal="center" vertical="center"/>
    </xf>
    <xf borderId="21" fillId="10" fontId="3" numFmtId="0" xfId="0" applyAlignment="1" applyBorder="1" applyFont="1">
      <alignment horizontal="center" vertical="center"/>
    </xf>
    <xf quotePrefix="1" borderId="22" fillId="11" fontId="4" numFmtId="20" xfId="0" applyAlignment="1" applyBorder="1" applyFont="1" applyNumberFormat="1">
      <alignment horizontal="center" vertical="center"/>
    </xf>
    <xf borderId="23" fillId="11" fontId="3" numFmtId="164" xfId="0" applyAlignment="1" applyBorder="1" applyFont="1" applyNumberFormat="1">
      <alignment horizontal="center" vertical="center"/>
    </xf>
    <xf borderId="24" fillId="11" fontId="3" numFmtId="164" xfId="0" applyAlignment="1" applyBorder="1" applyFont="1" applyNumberFormat="1">
      <alignment horizontal="center" vertical="center"/>
    </xf>
    <xf borderId="25" fillId="11" fontId="3" numFmtId="164" xfId="0" applyAlignment="1" applyBorder="1" applyFont="1" applyNumberFormat="1">
      <alignment horizontal="center" vertical="center"/>
    </xf>
    <xf borderId="15" fillId="10" fontId="3" numFmtId="164" xfId="0" applyAlignment="1" applyBorder="1" applyFont="1" applyNumberFormat="1">
      <alignment horizontal="center" vertical="center"/>
    </xf>
    <xf borderId="21" fillId="10" fontId="6" numFmtId="0" xfId="0" applyAlignment="1" applyBorder="1" applyFont="1">
      <alignment horizontal="center" vertical="center"/>
    </xf>
    <xf borderId="25" fillId="11" fontId="6" numFmtId="164" xfId="0" applyAlignment="1" applyBorder="1" applyFont="1" applyNumberFormat="1">
      <alignment horizontal="center" vertical="center"/>
    </xf>
    <xf borderId="23" fillId="11" fontId="6" numFmtId="164" xfId="0" applyAlignment="1" applyBorder="1" applyFont="1" applyNumberFormat="1">
      <alignment horizontal="center" vertical="center"/>
    </xf>
    <xf borderId="26" fillId="10" fontId="3" numFmtId="0" xfId="0" applyAlignment="1" applyBorder="1" applyFont="1">
      <alignment horizontal="center" vertical="center"/>
    </xf>
    <xf quotePrefix="1" borderId="27" fillId="11" fontId="4" numFmtId="20" xfId="0" applyAlignment="1" applyBorder="1" applyFont="1" applyNumberFormat="1">
      <alignment horizontal="center" vertical="center"/>
    </xf>
    <xf borderId="13" fillId="11" fontId="3" numFmtId="164" xfId="0" applyAlignment="1" applyBorder="1" applyFont="1" applyNumberFormat="1">
      <alignment horizontal="center" vertical="center"/>
    </xf>
    <xf borderId="28" fillId="11" fontId="3" numFmtId="164" xfId="0" applyAlignment="1" applyBorder="1" applyFont="1" applyNumberFormat="1">
      <alignment horizontal="center" vertical="center"/>
    </xf>
    <xf borderId="12" fillId="11" fontId="3" numFmtId="164" xfId="0" applyAlignment="1" applyBorder="1" applyFont="1" applyNumberFormat="1">
      <alignment horizontal="center" vertical="center"/>
    </xf>
    <xf borderId="34" fillId="10" fontId="3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43" fillId="12" fontId="3" numFmtId="0" xfId="0" applyAlignment="1" applyBorder="1" applyFill="1" applyFont="1">
      <alignment horizontal="center" vertical="center"/>
    </xf>
    <xf borderId="44" fillId="0" fontId="2" numFmtId="0" xfId="0" applyAlignment="1" applyBorder="1" applyFont="1">
      <alignment vertical="center"/>
    </xf>
    <xf borderId="45" fillId="13" fontId="3" numFmtId="164" xfId="0" applyAlignment="1" applyBorder="1" applyFill="1" applyFont="1" applyNumberFormat="1">
      <alignment horizontal="center" vertical="center"/>
    </xf>
    <xf borderId="46" fillId="13" fontId="3" numFmtId="164" xfId="0" applyAlignment="1" applyBorder="1" applyFont="1" applyNumberFormat="1">
      <alignment horizontal="center" vertical="center"/>
    </xf>
    <xf borderId="47" fillId="13" fontId="3" numFmtId="164" xfId="0" applyAlignment="1" applyBorder="1" applyFont="1" applyNumberFormat="1">
      <alignment horizontal="center" vertical="center"/>
    </xf>
    <xf borderId="48" fillId="12" fontId="3" numFmtId="164" xfId="0" applyAlignment="1" applyBorder="1" applyFont="1" applyNumberFormat="1">
      <alignment horizontal="center" vertical="center"/>
    </xf>
    <xf borderId="49" fillId="14" fontId="3" numFmtId="0" xfId="0" applyAlignment="1" applyBorder="1" applyFill="1" applyFont="1">
      <alignment horizontal="center" vertical="center"/>
    </xf>
    <xf borderId="50" fillId="0" fontId="2" numFmtId="0" xfId="0" applyAlignment="1" applyBorder="1" applyFont="1">
      <alignment vertical="center"/>
    </xf>
    <xf borderId="10" fillId="0" fontId="3" numFmtId="164" xfId="0" applyAlignment="1" applyBorder="1" applyFont="1" applyNumberFormat="1">
      <alignment horizontal="center" vertical="center"/>
    </xf>
    <xf borderId="51" fillId="0" fontId="3" numFmtId="164" xfId="0" applyAlignment="1" applyBorder="1" applyFont="1" applyNumberForma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34" fillId="14" fontId="3" numFmtId="164" xfId="0" applyAlignment="1" applyBorder="1" applyFont="1" applyNumberFormat="1">
      <alignment horizontal="center" vertical="center"/>
    </xf>
    <xf borderId="52" fillId="0" fontId="2" numFmtId="0" xfId="0" applyAlignment="1" applyBorder="1" applyFont="1">
      <alignment vertical="center"/>
    </xf>
    <xf borderId="52" fillId="0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53" fillId="0" fontId="3" numFmtId="0" xfId="0" applyAlignment="1" applyBorder="1" applyFont="1">
      <alignment horizontal="center" vertical="center"/>
    </xf>
    <xf borderId="20" fillId="2" fontId="3" numFmtId="0" xfId="0" applyAlignment="1" applyBorder="1" applyFont="1">
      <alignment horizontal="center" vertical="center"/>
    </xf>
    <xf borderId="35" fillId="3" fontId="4" numFmtId="20" xfId="0" applyAlignment="1" applyBorder="1" applyFont="1" applyNumberFormat="1">
      <alignment horizontal="center" vertical="center"/>
    </xf>
    <xf quotePrefix="1" borderId="54" fillId="3" fontId="4" numFmtId="20" xfId="0" applyAlignment="1" applyBorder="1" applyFont="1" applyNumberFormat="1">
      <alignment horizontal="center" vertical="center"/>
    </xf>
    <xf borderId="38" fillId="3" fontId="3" numFmtId="164" xfId="0" applyAlignment="1" applyBorder="1" applyFont="1" applyNumberFormat="1">
      <alignment horizontal="center" vertical="center"/>
    </xf>
    <xf borderId="35" fillId="3" fontId="3" numFmtId="164" xfId="0" applyAlignment="1" applyBorder="1" applyFont="1" applyNumberFormat="1">
      <alignment horizontal="center" vertical="center"/>
    </xf>
    <xf borderId="36" fillId="3" fontId="3" numFmtId="164" xfId="0" applyAlignment="1" applyBorder="1" applyFont="1" applyNumberFormat="1">
      <alignment horizontal="center" vertical="center"/>
    </xf>
    <xf borderId="22" fillId="3" fontId="4" numFmtId="20" xfId="0" applyAlignment="1" applyBorder="1" applyFont="1" applyNumberFormat="1">
      <alignment horizontal="center" vertical="center"/>
    </xf>
    <xf quotePrefix="1" borderId="55" fillId="3" fontId="4" numFmtId="20" xfId="0" applyAlignment="1" applyBorder="1" applyFont="1" applyNumberFormat="1">
      <alignment horizontal="center" vertical="center"/>
    </xf>
    <xf borderId="22" fillId="3" fontId="3" numFmtId="164" xfId="0" applyAlignment="1" applyBorder="1" applyFont="1" applyNumberFormat="1">
      <alignment horizontal="center" vertical="center"/>
    </xf>
    <xf borderId="15" fillId="15" fontId="3" numFmtId="0" xfId="0" applyAlignment="1" applyBorder="1" applyFill="1" applyFont="1">
      <alignment horizontal="center" vertical="center"/>
    </xf>
    <xf quotePrefix="1" borderId="56" fillId="3" fontId="4" numFmtId="20" xfId="0" applyAlignment="1" applyBorder="1" applyFont="1" applyNumberFormat="1">
      <alignment horizontal="center" vertical="center"/>
    </xf>
    <xf borderId="16" fillId="3" fontId="3" numFmtId="164" xfId="0" applyAlignment="1" applyBorder="1" applyFont="1" applyNumberFormat="1">
      <alignment horizontal="center" vertical="center"/>
    </xf>
    <xf borderId="15" fillId="15" fontId="3" numFmtId="164" xfId="0" applyAlignment="1" applyBorder="1" applyFont="1" applyNumberFormat="1">
      <alignment horizontal="center" vertical="center"/>
    </xf>
    <xf borderId="21" fillId="16" fontId="3" numFmtId="0" xfId="0" applyAlignment="1" applyBorder="1" applyFill="1" applyFont="1">
      <alignment horizontal="center" vertical="center"/>
    </xf>
    <xf quotePrefix="1" borderId="22" fillId="17" fontId="4" numFmtId="20" xfId="0" applyAlignment="1" applyBorder="1" applyFill="1" applyFont="1" applyNumberFormat="1">
      <alignment horizontal="center" vertical="center"/>
    </xf>
    <xf quotePrefix="1" borderId="55" fillId="17" fontId="4" numFmtId="20" xfId="0" applyAlignment="1" applyBorder="1" applyFont="1" applyNumberFormat="1">
      <alignment horizontal="center" vertical="center"/>
    </xf>
    <xf borderId="25" fillId="17" fontId="3" numFmtId="164" xfId="0" applyAlignment="1" applyBorder="1" applyFont="1" applyNumberFormat="1">
      <alignment horizontal="center" vertical="center"/>
    </xf>
    <xf borderId="22" fillId="17" fontId="3" numFmtId="164" xfId="0" applyAlignment="1" applyBorder="1" applyFont="1" applyNumberFormat="1">
      <alignment horizontal="center" vertical="center"/>
    </xf>
    <xf borderId="23" fillId="17" fontId="3" numFmtId="164" xfId="0" applyAlignment="1" applyBorder="1" applyFont="1" applyNumberFormat="1">
      <alignment horizontal="center" vertical="center"/>
    </xf>
    <xf borderId="15" fillId="16" fontId="3" numFmtId="164" xfId="0" applyAlignment="1" applyBorder="1" applyFont="1" applyNumberFormat="1">
      <alignment horizontal="center" vertical="center"/>
    </xf>
    <xf borderId="15" fillId="16" fontId="3" numFmtId="0" xfId="0" applyAlignment="1" applyBorder="1" applyFont="1">
      <alignment horizontal="center" vertical="center"/>
    </xf>
    <xf quotePrefix="1" borderId="16" fillId="17" fontId="4" numFmtId="20" xfId="0" applyAlignment="1" applyBorder="1" applyFont="1" applyNumberFormat="1">
      <alignment horizontal="center" vertical="center"/>
    </xf>
    <xf quotePrefix="1" borderId="56" fillId="17" fontId="4" numFmtId="20" xfId="0" applyAlignment="1" applyBorder="1" applyFont="1" applyNumberFormat="1">
      <alignment horizontal="center" vertical="center"/>
    </xf>
    <xf borderId="19" fillId="17" fontId="3" numFmtId="164" xfId="0" applyAlignment="1" applyBorder="1" applyFont="1" applyNumberFormat="1">
      <alignment horizontal="center" vertical="center"/>
    </xf>
    <xf borderId="16" fillId="17" fontId="3" numFmtId="164" xfId="0" applyAlignment="1" applyBorder="1" applyFont="1" applyNumberFormat="1">
      <alignment horizontal="center" vertical="center"/>
    </xf>
    <xf borderId="17" fillId="17" fontId="3" numFmtId="164" xfId="0" applyAlignment="1" applyBorder="1" applyFont="1" applyNumberFormat="1">
      <alignment horizontal="center" vertical="center"/>
    </xf>
    <xf quotePrefix="1" borderId="57" fillId="18" fontId="4" numFmtId="20" xfId="0" applyAlignment="1" applyBorder="1" applyFill="1" applyFont="1" applyNumberFormat="1">
      <alignment horizontal="center" vertical="center"/>
    </xf>
    <xf quotePrefix="1" borderId="58" fillId="18" fontId="4" numFmtId="20" xfId="0" applyAlignment="1" applyBorder="1" applyFont="1" applyNumberFormat="1">
      <alignment horizontal="center" vertical="center"/>
    </xf>
    <xf borderId="16" fillId="7" fontId="3" numFmtId="164" xfId="0" applyAlignment="1" applyBorder="1" applyFont="1" applyNumberFormat="1">
      <alignment horizontal="center" vertical="center"/>
    </xf>
    <xf borderId="15" fillId="19" fontId="3" numFmtId="164" xfId="0" applyAlignment="1" applyBorder="1" applyFill="1" applyFont="1" applyNumberFormat="1">
      <alignment horizontal="center" vertical="center"/>
    </xf>
    <xf quotePrefix="1" borderId="25" fillId="18" fontId="4" numFmtId="20" xfId="0" applyAlignment="1" applyBorder="1" applyFont="1" applyNumberFormat="1">
      <alignment horizontal="center" vertical="center"/>
    </xf>
    <xf quotePrefix="1" borderId="55" fillId="18" fontId="4" numFmtId="20" xfId="0" applyAlignment="1" applyBorder="1" applyFont="1" applyNumberFormat="1">
      <alignment horizontal="center" vertical="center"/>
    </xf>
    <xf quotePrefix="1" borderId="56" fillId="18" fontId="4" numFmtId="20" xfId="0" applyAlignment="1" applyBorder="1" applyFont="1" applyNumberFormat="1">
      <alignment horizontal="center" vertical="center"/>
    </xf>
    <xf borderId="15" fillId="20" fontId="3" numFmtId="0" xfId="0" applyAlignment="1" applyBorder="1" applyFill="1" applyFont="1">
      <alignment horizontal="center" vertical="center"/>
    </xf>
    <xf quotePrefix="1" borderId="56" fillId="11" fontId="4" numFmtId="20" xfId="0" applyAlignment="1" applyBorder="1" applyFont="1" applyNumberFormat="1">
      <alignment horizontal="center" vertical="center"/>
    </xf>
    <xf borderId="16" fillId="11" fontId="3" numFmtId="164" xfId="0" applyAlignment="1" applyBorder="1" applyFont="1" applyNumberFormat="1">
      <alignment horizontal="center" vertical="center"/>
    </xf>
    <xf borderId="15" fillId="20" fontId="3" numFmtId="164" xfId="0" applyAlignment="1" applyBorder="1" applyFont="1" applyNumberFormat="1">
      <alignment horizontal="center" vertical="center"/>
    </xf>
    <xf borderId="21" fillId="20" fontId="3" numFmtId="0" xfId="0" applyAlignment="1" applyBorder="1" applyFont="1">
      <alignment horizontal="center" vertical="center"/>
    </xf>
    <xf quotePrefix="1" borderId="55" fillId="11" fontId="4" numFmtId="20" xfId="0" applyAlignment="1" applyBorder="1" applyFont="1" applyNumberFormat="1">
      <alignment horizontal="center" vertical="center"/>
    </xf>
    <xf borderId="59" fillId="12" fontId="3" numFmtId="0" xfId="0" applyAlignment="1" applyBorder="1" applyFont="1">
      <alignment horizontal="center" vertical="center"/>
    </xf>
    <xf borderId="60" fillId="0" fontId="2" numFmtId="0" xfId="0" applyAlignment="1" applyBorder="1" applyFont="1">
      <alignment vertical="center"/>
    </xf>
    <xf borderId="61" fillId="0" fontId="2" numFmtId="0" xfId="0" applyAlignment="1" applyBorder="1" applyFont="1">
      <alignment vertical="center"/>
    </xf>
    <xf borderId="62" fillId="13" fontId="3" numFmtId="164" xfId="0" applyAlignment="1" applyBorder="1" applyFont="1" applyNumberFormat="1">
      <alignment horizontal="center" vertical="center"/>
    </xf>
    <xf borderId="63" fillId="13" fontId="3" numFmtId="164" xfId="0" applyAlignment="1" applyBorder="1" applyFont="1" applyNumberFormat="1">
      <alignment horizontal="center" vertical="center"/>
    </xf>
    <xf borderId="64" fillId="0" fontId="2" numFmtId="0" xfId="0" applyAlignment="1" applyBorder="1" applyFont="1">
      <alignment vertical="center"/>
    </xf>
    <xf borderId="65" fillId="0" fontId="2" numFmtId="0" xfId="0" applyAlignment="1" applyBorder="1" applyFont="1">
      <alignment vertical="center"/>
    </xf>
    <xf borderId="66" fillId="21" fontId="3" numFmtId="164" xfId="0" applyAlignment="1" applyBorder="1" applyFill="1" applyFont="1" applyNumberFormat="1">
      <alignment horizontal="center" vertical="center"/>
    </xf>
    <xf borderId="67" fillId="0" fontId="2" numFmtId="0" xfId="0" applyAlignment="1" applyBorder="1" applyFont="1">
      <alignment vertical="center"/>
    </xf>
    <xf borderId="40" fillId="21" fontId="3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" fillId="0" fontId="1" numFmtId="165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vertical="center"/>
    </xf>
    <xf borderId="15" fillId="22" fontId="3" numFmtId="165" xfId="0" applyAlignment="1" applyBorder="1" applyFill="1" applyFont="1" applyNumberFormat="1">
      <alignment horizontal="center" readingOrder="0" vertical="center"/>
    </xf>
    <xf borderId="16" fillId="23" fontId="3" numFmtId="165" xfId="0" applyAlignment="1" applyBorder="1" applyFill="1" applyFont="1" applyNumberFormat="1">
      <alignment horizontal="center" readingOrder="0" vertical="center"/>
    </xf>
    <xf borderId="21" fillId="22" fontId="3" numFmtId="165" xfId="0" applyAlignment="1" applyBorder="1" applyFont="1" applyNumberFormat="1">
      <alignment horizontal="center" readingOrder="0" vertical="center"/>
    </xf>
    <xf borderId="22" fillId="23" fontId="3" numFmtId="165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68" fillId="0" fontId="9" numFmtId="0" xfId="0" applyAlignment="1" applyBorder="1" applyFont="1">
      <alignment readingOrder="0" vertical="center"/>
    </xf>
    <xf borderId="68" fillId="0" fontId="9" numFmtId="0" xfId="0" applyAlignment="1" applyBorder="1" applyFont="1">
      <alignment vertical="center"/>
    </xf>
    <xf borderId="26" fillId="22" fontId="3" numFmtId="165" xfId="0" applyAlignment="1" applyBorder="1" applyFont="1" applyNumberFormat="1">
      <alignment horizontal="center" readingOrder="0" vertical="center"/>
    </xf>
    <xf borderId="27" fillId="23" fontId="3" numFmtId="165" xfId="0" applyAlignment="1" applyBorder="1" applyFont="1" applyNumberFormat="1">
      <alignment horizontal="center" readingOrder="0" vertical="center"/>
    </xf>
    <xf borderId="69" fillId="24" fontId="3" numFmtId="165" xfId="0" applyAlignment="1" applyBorder="1" applyFill="1" applyFont="1" applyNumberFormat="1">
      <alignment horizontal="center" readingOrder="0" vertical="center"/>
    </xf>
    <xf borderId="70" fillId="25" fontId="3" numFmtId="165" xfId="0" applyAlignment="1" applyBorder="1" applyFill="1" applyFont="1" applyNumberFormat="1">
      <alignment horizontal="center" readingOrder="0" vertical="center"/>
    </xf>
    <xf borderId="21" fillId="24" fontId="3" numFmtId="165" xfId="0" applyAlignment="1" applyBorder="1" applyFont="1" applyNumberFormat="1">
      <alignment horizontal="center" readingOrder="0" vertical="center"/>
    </xf>
    <xf borderId="22" fillId="25" fontId="3" numFmtId="165" xfId="0" applyAlignment="1" applyBorder="1" applyFont="1" applyNumberFormat="1">
      <alignment horizontal="center" readingOrder="0" vertical="center"/>
    </xf>
    <xf borderId="0" fillId="0" fontId="10" numFmtId="166" xfId="0" applyAlignment="1" applyFont="1" applyNumberFormat="1">
      <alignment vertical="center"/>
    </xf>
    <xf borderId="21" fillId="24" fontId="11" numFmtId="165" xfId="0" applyAlignment="1" applyBorder="1" applyFont="1" applyNumberFormat="1">
      <alignment horizontal="center" vertical="center"/>
    </xf>
    <xf borderId="21" fillId="24" fontId="11" numFmtId="165" xfId="0" applyAlignment="1" applyBorder="1" applyFont="1" applyNumberFormat="1">
      <alignment horizontal="center" readingOrder="0" vertical="center"/>
    </xf>
    <xf borderId="69" fillId="24" fontId="11" numFmtId="165" xfId="0" applyAlignment="1" applyBorder="1" applyFont="1" applyNumberFormat="1">
      <alignment horizontal="center" vertical="center"/>
    </xf>
    <xf borderId="69" fillId="24" fontId="11" numFmtId="165" xfId="0" applyAlignment="1" applyBorder="1" applyFont="1" applyNumberFormat="1">
      <alignment horizontal="center" readingOrder="0" vertical="center"/>
    </xf>
    <xf borderId="26" fillId="24" fontId="3" numFmtId="165" xfId="0" applyAlignment="1" applyBorder="1" applyFont="1" applyNumberFormat="1">
      <alignment horizontal="center" readingOrder="0" vertical="center"/>
    </xf>
    <xf borderId="27" fillId="25" fontId="3" numFmtId="165" xfId="0" applyAlignment="1" applyBorder="1" applyFont="1" applyNumberFormat="1">
      <alignment horizontal="center" readingOrder="0" vertical="center"/>
    </xf>
    <xf borderId="69" fillId="26" fontId="3" numFmtId="165" xfId="0" applyAlignment="1" applyBorder="1" applyFill="1" applyFont="1" applyNumberFormat="1">
      <alignment horizontal="center" readingOrder="0" vertical="center"/>
    </xf>
    <xf borderId="70" fillId="27" fontId="3" numFmtId="165" xfId="0" applyAlignment="1" applyBorder="1" applyFill="1" applyFont="1" applyNumberFormat="1">
      <alignment horizontal="center" readingOrder="0" vertical="center"/>
    </xf>
    <xf borderId="21" fillId="26" fontId="3" numFmtId="165" xfId="0" applyAlignment="1" applyBorder="1" applyFont="1" applyNumberFormat="1">
      <alignment horizontal="center" readingOrder="0" vertical="center"/>
    </xf>
    <xf borderId="22" fillId="27" fontId="3" numFmtId="165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26" fillId="26" fontId="3" numFmtId="165" xfId="0" applyAlignment="1" applyBorder="1" applyFont="1" applyNumberFormat="1">
      <alignment horizontal="center" readingOrder="0" vertical="center"/>
    </xf>
    <xf borderId="27" fillId="27" fontId="3" numFmtId="165" xfId="0" applyAlignment="1" applyBorder="1" applyFont="1" applyNumberFormat="1">
      <alignment horizontal="center" readingOrder="0" vertical="center"/>
    </xf>
    <xf borderId="71" fillId="12" fontId="3" numFmtId="165" xfId="0" applyAlignment="1" applyBorder="1" applyFont="1" applyNumberFormat="1">
      <alignment horizontal="center" vertical="center"/>
    </xf>
    <xf borderId="72" fillId="13" fontId="3" numFmtId="165" xfId="0" applyAlignment="1" applyBorder="1" applyFont="1" applyNumberFormat="1">
      <alignment horizontal="center" readingOrder="0" vertical="center"/>
    </xf>
    <xf borderId="73" fillId="12" fontId="3" numFmtId="165" xfId="0" applyAlignment="1" applyBorder="1" applyFont="1" applyNumberFormat="1">
      <alignment horizontal="center" vertical="center"/>
    </xf>
    <xf borderId="9" fillId="14" fontId="3" numFmtId="165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horizontal="center" readingOrder="0" vertical="center"/>
    </xf>
    <xf borderId="8" fillId="14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7.63"/>
    <col customWidth="1" min="15" max="15" width="8.25"/>
    <col customWidth="1" min="16" max="26" width="7.63"/>
  </cols>
  <sheetData>
    <row r="1" ht="13.5" customHeight="1"/>
    <row r="2" ht="13.5" customHeight="1"/>
    <row r="3" ht="13.5" customHeight="1"/>
    <row r="4" ht="13.5" customHeight="1">
      <c r="B4" s="1" t="s">
        <v>0</v>
      </c>
      <c r="C4" s="2" t="s">
        <v>1</v>
      </c>
      <c r="D4" s="3" t="s">
        <v>2</v>
      </c>
      <c r="E4" s="3" t="s">
        <v>3</v>
      </c>
      <c r="F4" s="4" t="s">
        <v>4</v>
      </c>
      <c r="G4" s="5" t="s">
        <v>5</v>
      </c>
      <c r="H4" s="6" t="s">
        <v>6</v>
      </c>
      <c r="I4" s="7"/>
      <c r="J4" s="7"/>
      <c r="K4" s="7"/>
      <c r="L4" s="7"/>
      <c r="M4" s="8"/>
      <c r="N4" s="1" t="s">
        <v>7</v>
      </c>
    </row>
    <row r="5" ht="13.5" customHeight="1">
      <c r="B5" s="9"/>
      <c r="C5" s="10"/>
      <c r="D5" s="11"/>
      <c r="E5" s="11"/>
      <c r="F5" s="11"/>
      <c r="G5" s="12"/>
      <c r="H5" s="13">
        <v>0.858333333333333</v>
      </c>
      <c r="I5" s="14">
        <v>0.896527777777778</v>
      </c>
      <c r="J5" s="14">
        <v>0.920138888888889</v>
      </c>
      <c r="K5" s="15">
        <v>0.977083333333333</v>
      </c>
      <c r="L5" s="16" t="s">
        <v>8</v>
      </c>
      <c r="M5" s="16" t="s">
        <v>9</v>
      </c>
      <c r="N5" s="9"/>
    </row>
    <row r="6" ht="13.5" customHeight="1">
      <c r="B6" s="17" t="s">
        <v>10</v>
      </c>
      <c r="C6" s="18" t="s">
        <v>11</v>
      </c>
      <c r="D6" s="19">
        <v>5000.0</v>
      </c>
      <c r="E6" s="19">
        <v>0.0</v>
      </c>
      <c r="F6" s="19">
        <v>6400.0</v>
      </c>
      <c r="G6" s="20">
        <v>240.0</v>
      </c>
      <c r="H6" s="21">
        <v>1920.0</v>
      </c>
      <c r="I6" s="19">
        <v>320.0</v>
      </c>
      <c r="J6" s="19">
        <v>1020.0</v>
      </c>
      <c r="K6" s="20">
        <v>1600.0</v>
      </c>
      <c r="L6" s="20">
        <v>1540.0</v>
      </c>
      <c r="M6" s="20">
        <v>1350.0</v>
      </c>
      <c r="N6" s="22">
        <f t="shared" ref="N6:N35" si="1">SUM(D6:M6)</f>
        <v>19390</v>
      </c>
    </row>
    <row r="7" ht="13.5" customHeight="1">
      <c r="B7" s="23" t="s">
        <v>12</v>
      </c>
      <c r="C7" s="24" t="s">
        <v>11</v>
      </c>
      <c r="D7" s="25">
        <v>4000.0</v>
      </c>
      <c r="E7" s="25">
        <v>0.0</v>
      </c>
      <c r="F7" s="25">
        <v>6400.0</v>
      </c>
      <c r="G7" s="26">
        <v>240.0</v>
      </c>
      <c r="H7" s="27">
        <v>1920.0</v>
      </c>
      <c r="I7" s="25">
        <v>320.0</v>
      </c>
      <c r="J7" s="25">
        <v>1020.0</v>
      </c>
      <c r="K7" s="26">
        <v>1600.0</v>
      </c>
      <c r="L7" s="26">
        <v>1540.0</v>
      </c>
      <c r="M7" s="26">
        <v>1350.0</v>
      </c>
      <c r="N7" s="28">
        <f t="shared" si="1"/>
        <v>18390</v>
      </c>
    </row>
    <row r="8" ht="13.5" customHeight="1">
      <c r="B8" s="23" t="s">
        <v>13</v>
      </c>
      <c r="C8" s="24" t="s">
        <v>11</v>
      </c>
      <c r="D8" s="25">
        <v>4000.0</v>
      </c>
      <c r="E8" s="25">
        <v>0.0</v>
      </c>
      <c r="F8" s="25">
        <v>6400.0</v>
      </c>
      <c r="G8" s="26">
        <v>240.0</v>
      </c>
      <c r="H8" s="27">
        <v>1920.0</v>
      </c>
      <c r="I8" s="25">
        <v>320.0</v>
      </c>
      <c r="J8" s="25">
        <v>1020.0</v>
      </c>
      <c r="K8" s="26">
        <v>1600.0</v>
      </c>
      <c r="L8" s="26">
        <v>1540.0</v>
      </c>
      <c r="M8" s="26">
        <v>1350.0</v>
      </c>
      <c r="N8" s="28">
        <f t="shared" si="1"/>
        <v>18390</v>
      </c>
    </row>
    <row r="9" ht="13.5" customHeight="1">
      <c r="B9" s="23" t="s">
        <v>14</v>
      </c>
      <c r="C9" s="24" t="s">
        <v>11</v>
      </c>
      <c r="D9" s="25">
        <v>4000.0</v>
      </c>
      <c r="E9" s="25">
        <v>0.0</v>
      </c>
      <c r="F9" s="25">
        <v>6400.0</v>
      </c>
      <c r="G9" s="26">
        <v>240.0</v>
      </c>
      <c r="H9" s="27">
        <v>1920.0</v>
      </c>
      <c r="I9" s="25">
        <v>320.0</v>
      </c>
      <c r="J9" s="25">
        <v>1020.0</v>
      </c>
      <c r="K9" s="26">
        <v>1600.0</v>
      </c>
      <c r="L9" s="26">
        <v>1540.0</v>
      </c>
      <c r="M9" s="26">
        <v>1350.0</v>
      </c>
      <c r="N9" s="28">
        <f t="shared" si="1"/>
        <v>18390</v>
      </c>
    </row>
    <row r="10" ht="13.5" customHeight="1">
      <c r="B10" s="23" t="s">
        <v>15</v>
      </c>
      <c r="C10" s="24" t="s">
        <v>11</v>
      </c>
      <c r="D10" s="25">
        <v>4000.0</v>
      </c>
      <c r="E10" s="25">
        <v>0.0</v>
      </c>
      <c r="F10" s="25">
        <v>6400.0</v>
      </c>
      <c r="G10" s="26">
        <v>240.0</v>
      </c>
      <c r="H10" s="27">
        <v>1920.0</v>
      </c>
      <c r="I10" s="25">
        <v>320.0</v>
      </c>
      <c r="J10" s="25">
        <v>1020.0</v>
      </c>
      <c r="K10" s="26">
        <v>1600.0</v>
      </c>
      <c r="L10" s="26">
        <v>1540.0</v>
      </c>
      <c r="M10" s="26">
        <v>1350.0</v>
      </c>
      <c r="N10" s="28">
        <f t="shared" si="1"/>
        <v>18390</v>
      </c>
    </row>
    <row r="11" ht="13.5" customHeight="1">
      <c r="B11" s="23" t="s">
        <v>16</v>
      </c>
      <c r="C11" s="24" t="s">
        <v>11</v>
      </c>
      <c r="D11" s="25">
        <v>4000.0</v>
      </c>
      <c r="E11" s="25">
        <v>0.0</v>
      </c>
      <c r="F11" s="25">
        <v>6400.0</v>
      </c>
      <c r="G11" s="26">
        <v>240.0</v>
      </c>
      <c r="H11" s="27">
        <v>1920.0</v>
      </c>
      <c r="I11" s="25">
        <v>320.0</v>
      </c>
      <c r="J11" s="25">
        <v>1020.0</v>
      </c>
      <c r="K11" s="26">
        <v>1600.0</v>
      </c>
      <c r="L11" s="26">
        <v>1540.0</v>
      </c>
      <c r="M11" s="26">
        <v>1350.0</v>
      </c>
      <c r="N11" s="28">
        <f t="shared" si="1"/>
        <v>18390</v>
      </c>
    </row>
    <row r="12" ht="13.5" customHeight="1">
      <c r="B12" s="23" t="s">
        <v>17</v>
      </c>
      <c r="C12" s="24" t="s">
        <v>11</v>
      </c>
      <c r="D12" s="25">
        <v>4000.0</v>
      </c>
      <c r="E12" s="25">
        <v>0.0</v>
      </c>
      <c r="F12" s="25">
        <v>6400.0</v>
      </c>
      <c r="G12" s="26">
        <v>240.0</v>
      </c>
      <c r="H12" s="27">
        <f t="shared" ref="H12:M12" si="2">H11/2</f>
        <v>960</v>
      </c>
      <c r="I12" s="25">
        <f t="shared" si="2"/>
        <v>160</v>
      </c>
      <c r="J12" s="25">
        <f t="shared" si="2"/>
        <v>510</v>
      </c>
      <c r="K12" s="26">
        <f t="shared" si="2"/>
        <v>800</v>
      </c>
      <c r="L12" s="26">
        <f t="shared" si="2"/>
        <v>770</v>
      </c>
      <c r="M12" s="26">
        <f t="shared" si="2"/>
        <v>675</v>
      </c>
      <c r="N12" s="28">
        <f t="shared" si="1"/>
        <v>14515</v>
      </c>
    </row>
    <row r="13" ht="13.5" customHeight="1">
      <c r="B13" s="23" t="s">
        <v>18</v>
      </c>
      <c r="C13" s="24" t="s">
        <v>11</v>
      </c>
      <c r="D13" s="25">
        <v>4000.0</v>
      </c>
      <c r="E13" s="25">
        <v>0.0</v>
      </c>
      <c r="F13" s="25">
        <v>6400.0</v>
      </c>
      <c r="G13" s="26">
        <v>240.0</v>
      </c>
      <c r="H13" s="27">
        <v>1920.0</v>
      </c>
      <c r="I13" s="25">
        <v>320.0</v>
      </c>
      <c r="J13" s="25">
        <v>1020.0</v>
      </c>
      <c r="K13" s="26">
        <v>1600.0</v>
      </c>
      <c r="L13" s="26">
        <v>1540.0</v>
      </c>
      <c r="M13" s="26">
        <v>1350.0</v>
      </c>
      <c r="N13" s="28">
        <f t="shared" si="1"/>
        <v>18390</v>
      </c>
    </row>
    <row r="14" ht="13.5" customHeight="1">
      <c r="B14" s="29" t="s">
        <v>19</v>
      </c>
      <c r="C14" s="30" t="s">
        <v>11</v>
      </c>
      <c r="D14" s="31">
        <v>4000.0</v>
      </c>
      <c r="E14" s="31">
        <v>0.0</v>
      </c>
      <c r="F14" s="31">
        <v>6400.0</v>
      </c>
      <c r="G14" s="32">
        <v>240.0</v>
      </c>
      <c r="H14" s="33">
        <v>1920.0</v>
      </c>
      <c r="I14" s="31">
        <v>320.0</v>
      </c>
      <c r="J14" s="31">
        <v>1020.0</v>
      </c>
      <c r="K14" s="32">
        <v>1600.0</v>
      </c>
      <c r="L14" s="32">
        <v>1540.0</v>
      </c>
      <c r="M14" s="32">
        <v>1350.0</v>
      </c>
      <c r="N14" s="34">
        <f t="shared" si="1"/>
        <v>18390</v>
      </c>
    </row>
    <row r="15" ht="13.5" customHeight="1">
      <c r="B15" s="35" t="s">
        <v>20</v>
      </c>
      <c r="C15" s="36" t="s">
        <v>21</v>
      </c>
      <c r="D15" s="37">
        <v>4000.0</v>
      </c>
      <c r="E15" s="37">
        <v>0.0</v>
      </c>
      <c r="F15" s="37">
        <v>6400.0</v>
      </c>
      <c r="G15" s="38">
        <v>240.0</v>
      </c>
      <c r="H15" s="39">
        <v>1920.0</v>
      </c>
      <c r="I15" s="37">
        <v>320.0</v>
      </c>
      <c r="J15" s="37">
        <v>1020.0</v>
      </c>
      <c r="K15" s="38">
        <v>1600.0</v>
      </c>
      <c r="L15" s="38">
        <v>1540.0</v>
      </c>
      <c r="M15" s="38">
        <v>1350.0</v>
      </c>
      <c r="N15" s="40">
        <f t="shared" si="1"/>
        <v>18390</v>
      </c>
    </row>
    <row r="16" ht="13.5" customHeight="1">
      <c r="B16" s="35" t="s">
        <v>22</v>
      </c>
      <c r="C16" s="36" t="s">
        <v>21</v>
      </c>
      <c r="D16" s="37">
        <v>4000.0</v>
      </c>
      <c r="E16" s="37">
        <v>0.0</v>
      </c>
      <c r="F16" s="37">
        <v>6400.0</v>
      </c>
      <c r="G16" s="38">
        <v>240.0</v>
      </c>
      <c r="H16" s="39">
        <v>1920.0</v>
      </c>
      <c r="I16" s="37">
        <v>320.0</v>
      </c>
      <c r="J16" s="37">
        <v>1020.0</v>
      </c>
      <c r="K16" s="38">
        <v>1600.0</v>
      </c>
      <c r="L16" s="38">
        <v>1540.0</v>
      </c>
      <c r="M16" s="38">
        <v>1350.0</v>
      </c>
      <c r="N16" s="41">
        <f t="shared" si="1"/>
        <v>18390</v>
      </c>
    </row>
    <row r="17" ht="13.5" customHeight="1">
      <c r="B17" s="35" t="s">
        <v>23</v>
      </c>
      <c r="C17" s="36" t="s">
        <v>21</v>
      </c>
      <c r="D17" s="37">
        <v>4000.0</v>
      </c>
      <c r="E17" s="37">
        <v>0.0</v>
      </c>
      <c r="F17" s="37">
        <v>6400.0</v>
      </c>
      <c r="G17" s="38">
        <v>240.0</v>
      </c>
      <c r="H17" s="39">
        <v>1920.0</v>
      </c>
      <c r="I17" s="37">
        <v>320.0</v>
      </c>
      <c r="J17" s="37">
        <v>1020.0</v>
      </c>
      <c r="K17" s="38">
        <v>1600.0</v>
      </c>
      <c r="L17" s="38">
        <v>1540.0</v>
      </c>
      <c r="M17" s="38">
        <v>1350.0</v>
      </c>
      <c r="N17" s="41">
        <f t="shared" si="1"/>
        <v>18390</v>
      </c>
    </row>
    <row r="18" ht="13.5" customHeight="1">
      <c r="B18" s="35" t="s">
        <v>24</v>
      </c>
      <c r="C18" s="36" t="s">
        <v>21</v>
      </c>
      <c r="D18" s="37">
        <v>4000.0</v>
      </c>
      <c r="E18" s="37">
        <v>0.0</v>
      </c>
      <c r="F18" s="42">
        <v>0.0</v>
      </c>
      <c r="G18" s="43">
        <v>0.0</v>
      </c>
      <c r="H18" s="44">
        <v>0.0</v>
      </c>
      <c r="I18" s="37">
        <v>320.0</v>
      </c>
      <c r="J18" s="37">
        <v>1020.0</v>
      </c>
      <c r="K18" s="38">
        <v>1600.0</v>
      </c>
      <c r="L18" s="38">
        <v>1540.0</v>
      </c>
      <c r="M18" s="38">
        <v>1350.0</v>
      </c>
      <c r="N18" s="41">
        <f t="shared" si="1"/>
        <v>9830</v>
      </c>
    </row>
    <row r="19" ht="13.5" customHeight="1">
      <c r="B19" s="45" t="s">
        <v>25</v>
      </c>
      <c r="C19" s="46" t="s">
        <v>21</v>
      </c>
      <c r="D19" s="47">
        <v>4000.0</v>
      </c>
      <c r="E19" s="47">
        <v>0.0</v>
      </c>
      <c r="F19" s="48">
        <v>0.0</v>
      </c>
      <c r="G19" s="49">
        <v>0.0</v>
      </c>
      <c r="H19" s="50">
        <v>0.0</v>
      </c>
      <c r="I19" s="47">
        <v>320.0</v>
      </c>
      <c r="J19" s="47">
        <v>1020.0</v>
      </c>
      <c r="K19" s="51">
        <v>1600.0</v>
      </c>
      <c r="L19" s="51">
        <v>1540.0</v>
      </c>
      <c r="M19" s="51">
        <v>1350.0</v>
      </c>
      <c r="N19" s="52">
        <f t="shared" si="1"/>
        <v>9830</v>
      </c>
    </row>
    <row r="20" ht="13.5" customHeight="1">
      <c r="B20" s="53" t="s">
        <v>26</v>
      </c>
      <c r="C20" s="54" t="s">
        <v>27</v>
      </c>
      <c r="D20" s="55">
        <v>4000.0</v>
      </c>
      <c r="E20" s="55">
        <v>0.0</v>
      </c>
      <c r="F20" s="55">
        <v>6400.0</v>
      </c>
      <c r="G20" s="56">
        <v>240.0</v>
      </c>
      <c r="H20" s="57">
        <v>1920.0</v>
      </c>
      <c r="I20" s="55">
        <v>320.0</v>
      </c>
      <c r="J20" s="55">
        <v>1020.0</v>
      </c>
      <c r="K20" s="56">
        <v>1600.0</v>
      </c>
      <c r="L20" s="56">
        <v>1540.0</v>
      </c>
      <c r="M20" s="56">
        <v>0.0</v>
      </c>
      <c r="N20" s="58">
        <f t="shared" si="1"/>
        <v>17040</v>
      </c>
    </row>
    <row r="21" ht="13.5" customHeight="1">
      <c r="B21" s="59" t="s">
        <v>28</v>
      </c>
      <c r="C21" s="54" t="s">
        <v>29</v>
      </c>
      <c r="D21" s="55">
        <v>4000.0</v>
      </c>
      <c r="E21" s="55">
        <v>0.0</v>
      </c>
      <c r="F21" s="55">
        <v>6400.0</v>
      </c>
      <c r="G21" s="56">
        <v>240.0</v>
      </c>
      <c r="H21" s="60">
        <v>960.0</v>
      </c>
      <c r="I21" s="61">
        <v>160.0</v>
      </c>
      <c r="J21" s="61">
        <v>510.0</v>
      </c>
      <c r="K21" s="62">
        <v>800.0</v>
      </c>
      <c r="L21" s="62">
        <v>770.0</v>
      </c>
      <c r="M21" s="56">
        <v>0.0</v>
      </c>
      <c r="N21" s="63">
        <f t="shared" si="1"/>
        <v>13840</v>
      </c>
    </row>
    <row r="22" ht="13.5" customHeight="1">
      <c r="B22" s="53" t="s">
        <v>30</v>
      </c>
      <c r="C22" s="54" t="s">
        <v>29</v>
      </c>
      <c r="D22" s="55">
        <v>4000.0</v>
      </c>
      <c r="E22" s="55">
        <v>0.0</v>
      </c>
      <c r="F22" s="55">
        <v>6400.0</v>
      </c>
      <c r="G22" s="56">
        <v>240.0</v>
      </c>
      <c r="H22" s="57">
        <v>1920.0</v>
      </c>
      <c r="I22" s="55">
        <v>320.0</v>
      </c>
      <c r="J22" s="55">
        <v>1020.0</v>
      </c>
      <c r="K22" s="56">
        <v>1600.0</v>
      </c>
      <c r="L22" s="56">
        <v>1540.0</v>
      </c>
      <c r="M22" s="56">
        <v>0.0</v>
      </c>
      <c r="N22" s="63">
        <f t="shared" si="1"/>
        <v>17040</v>
      </c>
    </row>
    <row r="23" ht="13.5" customHeight="1">
      <c r="B23" s="53" t="s">
        <v>31</v>
      </c>
      <c r="C23" s="54" t="s">
        <v>29</v>
      </c>
      <c r="D23" s="55">
        <v>4000.0</v>
      </c>
      <c r="E23" s="55">
        <v>0.0</v>
      </c>
      <c r="F23" s="55">
        <v>6400.0</v>
      </c>
      <c r="G23" s="56">
        <v>240.0</v>
      </c>
      <c r="H23" s="57">
        <v>1920.0</v>
      </c>
      <c r="I23" s="55">
        <v>320.0</v>
      </c>
      <c r="J23" s="55">
        <v>1020.0</v>
      </c>
      <c r="K23" s="56">
        <v>1600.0</v>
      </c>
      <c r="L23" s="56">
        <v>1540.0</v>
      </c>
      <c r="M23" s="56">
        <v>0.0</v>
      </c>
      <c r="N23" s="63">
        <f t="shared" si="1"/>
        <v>17040</v>
      </c>
    </row>
    <row r="24" ht="13.5" customHeight="1">
      <c r="B24" s="64" t="s">
        <v>32</v>
      </c>
      <c r="C24" s="65" t="s">
        <v>29</v>
      </c>
      <c r="D24" s="66">
        <v>4000.0</v>
      </c>
      <c r="E24" s="66">
        <v>0.0</v>
      </c>
      <c r="F24" s="66">
        <v>6400.0</v>
      </c>
      <c r="G24" s="67">
        <v>240.0</v>
      </c>
      <c r="H24" s="68">
        <v>1920.0</v>
      </c>
      <c r="I24" s="66">
        <v>320.0</v>
      </c>
      <c r="J24" s="66">
        <v>1020.0</v>
      </c>
      <c r="K24" s="67">
        <v>1600.0</v>
      </c>
      <c r="L24" s="67">
        <v>1540.0</v>
      </c>
      <c r="M24" s="67">
        <v>0.0</v>
      </c>
      <c r="N24" s="69">
        <f t="shared" si="1"/>
        <v>17040</v>
      </c>
    </row>
    <row r="25" ht="13.5" customHeight="1">
      <c r="B25" s="70" t="s">
        <v>33</v>
      </c>
      <c r="C25" s="71" t="s">
        <v>34</v>
      </c>
      <c r="D25" s="72">
        <v>4000.0</v>
      </c>
      <c r="E25" s="72">
        <v>0.0</v>
      </c>
      <c r="F25" s="72">
        <v>6400.0</v>
      </c>
      <c r="G25" s="73">
        <v>240.0</v>
      </c>
      <c r="H25" s="74">
        <v>1920.0</v>
      </c>
      <c r="I25" s="72">
        <v>320.0</v>
      </c>
      <c r="J25" s="72">
        <v>1020.0</v>
      </c>
      <c r="K25" s="73">
        <v>1600.0</v>
      </c>
      <c r="L25" s="73">
        <v>0.0</v>
      </c>
      <c r="M25" s="73">
        <v>0.0</v>
      </c>
      <c r="N25" s="75">
        <f t="shared" si="1"/>
        <v>15500</v>
      </c>
    </row>
    <row r="26" ht="13.5" customHeight="1">
      <c r="B26" s="76" t="s">
        <v>35</v>
      </c>
      <c r="C26" s="77" t="s">
        <v>34</v>
      </c>
      <c r="D26" s="78">
        <v>4000.0</v>
      </c>
      <c r="E26" s="78">
        <v>0.0</v>
      </c>
      <c r="F26" s="78">
        <v>6400.0</v>
      </c>
      <c r="G26" s="79">
        <v>240.0</v>
      </c>
      <c r="H26" s="80">
        <v>1920.0</v>
      </c>
      <c r="I26" s="78">
        <v>320.0</v>
      </c>
      <c r="J26" s="78">
        <v>1020.0</v>
      </c>
      <c r="K26" s="79">
        <v>1600.0</v>
      </c>
      <c r="L26" s="79">
        <v>0.0</v>
      </c>
      <c r="M26" s="79">
        <v>0.0</v>
      </c>
      <c r="N26" s="81">
        <f t="shared" si="1"/>
        <v>15500</v>
      </c>
    </row>
    <row r="27" ht="13.5" customHeight="1">
      <c r="B27" s="82" t="s">
        <v>36</v>
      </c>
      <c r="C27" s="83" t="s">
        <v>34</v>
      </c>
      <c r="D27" s="84">
        <v>4000.0</v>
      </c>
      <c r="E27" s="84">
        <v>0.0</v>
      </c>
      <c r="F27" s="84">
        <v>6400.0</v>
      </c>
      <c r="G27" s="85">
        <v>240.0</v>
      </c>
      <c r="H27" s="86">
        <v>1920.0</v>
      </c>
      <c r="I27" s="84">
        <v>320.0</v>
      </c>
      <c r="J27" s="84">
        <v>1020.0</v>
      </c>
      <c r="K27" s="85">
        <v>1600.0</v>
      </c>
      <c r="L27" s="85">
        <v>0.0</v>
      </c>
      <c r="M27" s="85">
        <v>0.0</v>
      </c>
      <c r="N27" s="87">
        <f t="shared" si="1"/>
        <v>15500</v>
      </c>
    </row>
    <row r="28" ht="13.5" customHeight="1">
      <c r="B28" s="88" t="s">
        <v>37</v>
      </c>
      <c r="C28" s="89" t="s">
        <v>38</v>
      </c>
      <c r="D28" s="90">
        <v>4000.0</v>
      </c>
      <c r="E28" s="90">
        <v>0.0</v>
      </c>
      <c r="F28" s="90">
        <v>6400.0</v>
      </c>
      <c r="G28" s="91">
        <v>240.0</v>
      </c>
      <c r="H28" s="92">
        <v>1920.0</v>
      </c>
      <c r="I28" s="90">
        <v>320.0</v>
      </c>
      <c r="J28" s="90">
        <v>1020.0</v>
      </c>
      <c r="K28" s="91">
        <v>0.0</v>
      </c>
      <c r="L28" s="91">
        <v>0.0</v>
      </c>
      <c r="M28" s="91">
        <v>0.0</v>
      </c>
      <c r="N28" s="93">
        <f t="shared" si="1"/>
        <v>13900</v>
      </c>
    </row>
    <row r="29" ht="13.5" customHeight="1">
      <c r="B29" s="94" t="s">
        <v>39</v>
      </c>
      <c r="C29" s="95" t="s">
        <v>40</v>
      </c>
      <c r="D29" s="96">
        <v>4000.0</v>
      </c>
      <c r="E29" s="96">
        <v>0.0</v>
      </c>
      <c r="F29" s="96">
        <v>6400.0</v>
      </c>
      <c r="G29" s="97">
        <v>240.0</v>
      </c>
      <c r="H29" s="98">
        <v>1920.0</v>
      </c>
      <c r="I29" s="96">
        <v>320.0</v>
      </c>
      <c r="J29" s="96">
        <v>1020.0</v>
      </c>
      <c r="K29" s="97">
        <v>0.0</v>
      </c>
      <c r="L29" s="97">
        <v>0.0</v>
      </c>
      <c r="M29" s="97">
        <v>0.0</v>
      </c>
      <c r="N29" s="99">
        <f t="shared" si="1"/>
        <v>13900</v>
      </c>
    </row>
    <row r="30" ht="13.5" customHeight="1">
      <c r="B30" s="100" t="s">
        <v>41</v>
      </c>
      <c r="C30" s="95" t="s">
        <v>40</v>
      </c>
      <c r="D30" s="96">
        <v>4000.0</v>
      </c>
      <c r="E30" s="96">
        <v>0.0</v>
      </c>
      <c r="F30" s="96">
        <v>6400.0</v>
      </c>
      <c r="G30" s="97">
        <v>240.0</v>
      </c>
      <c r="H30" s="101">
        <v>960.0</v>
      </c>
      <c r="I30" s="102">
        <v>160.0</v>
      </c>
      <c r="J30" s="102">
        <v>510.0</v>
      </c>
      <c r="K30" s="97">
        <v>0.0</v>
      </c>
      <c r="L30" s="97">
        <v>0.0</v>
      </c>
      <c r="M30" s="97">
        <v>0.0</v>
      </c>
      <c r="N30" s="99">
        <f t="shared" si="1"/>
        <v>12270</v>
      </c>
    </row>
    <row r="31" ht="13.5" customHeight="1">
      <c r="B31" s="100" t="s">
        <v>42</v>
      </c>
      <c r="C31" s="95" t="s">
        <v>43</v>
      </c>
      <c r="D31" s="96">
        <v>4000.0</v>
      </c>
      <c r="E31" s="96">
        <v>0.0</v>
      </c>
      <c r="F31" s="96">
        <v>6400.0</v>
      </c>
      <c r="G31" s="97">
        <v>240.0</v>
      </c>
      <c r="H31" s="101">
        <v>960.0</v>
      </c>
      <c r="I31" s="102">
        <v>160.0</v>
      </c>
      <c r="J31" s="102">
        <v>510.0</v>
      </c>
      <c r="K31" s="97">
        <v>0.0</v>
      </c>
      <c r="L31" s="97">
        <v>0.0</v>
      </c>
      <c r="M31" s="97">
        <v>0.0</v>
      </c>
      <c r="N31" s="99">
        <f t="shared" si="1"/>
        <v>12270</v>
      </c>
    </row>
    <row r="32" ht="13.5" customHeight="1">
      <c r="B32" s="100" t="s">
        <v>44</v>
      </c>
      <c r="C32" s="95" t="s">
        <v>43</v>
      </c>
      <c r="D32" s="96">
        <v>4000.0</v>
      </c>
      <c r="E32" s="96">
        <v>0.0</v>
      </c>
      <c r="F32" s="96">
        <v>6400.0</v>
      </c>
      <c r="G32" s="97">
        <v>240.0</v>
      </c>
      <c r="H32" s="101">
        <v>960.0</v>
      </c>
      <c r="I32" s="102">
        <v>160.0</v>
      </c>
      <c r="J32" s="102">
        <v>510.0</v>
      </c>
      <c r="K32" s="97">
        <v>0.0</v>
      </c>
      <c r="L32" s="97">
        <v>0.0</v>
      </c>
      <c r="M32" s="97">
        <v>0.0</v>
      </c>
      <c r="N32" s="99">
        <f t="shared" si="1"/>
        <v>12270</v>
      </c>
    </row>
    <row r="33" ht="13.5" customHeight="1">
      <c r="B33" s="94" t="s">
        <v>45</v>
      </c>
      <c r="C33" s="95" t="s">
        <v>46</v>
      </c>
      <c r="D33" s="96">
        <v>4000.0</v>
      </c>
      <c r="E33" s="96">
        <v>0.0</v>
      </c>
      <c r="F33" s="96">
        <v>6400.0</v>
      </c>
      <c r="G33" s="97">
        <v>240.0</v>
      </c>
      <c r="H33" s="98">
        <v>1920.0</v>
      </c>
      <c r="I33" s="96">
        <v>320.0</v>
      </c>
      <c r="J33" s="96">
        <v>1020.0</v>
      </c>
      <c r="K33" s="97">
        <v>0.0</v>
      </c>
      <c r="L33" s="97">
        <v>0.0</v>
      </c>
      <c r="M33" s="97">
        <v>0.0</v>
      </c>
      <c r="N33" s="99">
        <f t="shared" si="1"/>
        <v>13900</v>
      </c>
    </row>
    <row r="34" ht="13.5" customHeight="1">
      <c r="B34" s="94" t="s">
        <v>47</v>
      </c>
      <c r="C34" s="95" t="s">
        <v>46</v>
      </c>
      <c r="D34" s="96">
        <v>4000.0</v>
      </c>
      <c r="E34" s="96">
        <v>0.0</v>
      </c>
      <c r="F34" s="96">
        <v>6400.0</v>
      </c>
      <c r="G34" s="97">
        <v>240.0</v>
      </c>
      <c r="H34" s="98">
        <v>1920.0</v>
      </c>
      <c r="I34" s="96">
        <v>320.0</v>
      </c>
      <c r="J34" s="96">
        <v>1020.0</v>
      </c>
      <c r="K34" s="97">
        <v>0.0</v>
      </c>
      <c r="L34" s="97">
        <v>0.0</v>
      </c>
      <c r="M34" s="97">
        <v>0.0</v>
      </c>
      <c r="N34" s="99">
        <f t="shared" si="1"/>
        <v>13900</v>
      </c>
    </row>
    <row r="35" ht="13.5" customHeight="1">
      <c r="B35" s="103" t="s">
        <v>48</v>
      </c>
      <c r="C35" s="104" t="s">
        <v>46</v>
      </c>
      <c r="D35" s="105">
        <v>4000.0</v>
      </c>
      <c r="E35" s="105">
        <v>0.0</v>
      </c>
      <c r="F35" s="105">
        <v>6400.0</v>
      </c>
      <c r="G35" s="106">
        <v>240.0</v>
      </c>
      <c r="H35" s="107">
        <v>1920.0</v>
      </c>
      <c r="I35" s="105">
        <v>320.0</v>
      </c>
      <c r="J35" s="105">
        <v>1020.0</v>
      </c>
      <c r="K35" s="106">
        <v>0.0</v>
      </c>
      <c r="L35" s="106">
        <v>0.0</v>
      </c>
      <c r="M35" s="106">
        <v>0.0</v>
      </c>
      <c r="N35" s="108">
        <f t="shared" si="1"/>
        <v>13900</v>
      </c>
      <c r="O35" s="109"/>
    </row>
    <row r="36" ht="13.5" customHeight="1">
      <c r="B36" s="110" t="s">
        <v>49</v>
      </c>
      <c r="C36" s="111"/>
      <c r="D36" s="112">
        <v>179000.0</v>
      </c>
      <c r="E36" s="112">
        <v>21000.0</v>
      </c>
      <c r="F36" s="112">
        <v>0.0</v>
      </c>
      <c r="G36" s="113">
        <v>0.0</v>
      </c>
      <c r="H36" s="114">
        <v>0.0</v>
      </c>
      <c r="I36" s="112">
        <v>0.0</v>
      </c>
      <c r="J36" s="112">
        <v>0.0</v>
      </c>
      <c r="K36" s="113">
        <v>0.0</v>
      </c>
      <c r="L36" s="113">
        <v>0.0</v>
      </c>
      <c r="M36" s="113">
        <v>0.0</v>
      </c>
      <c r="N36" s="115">
        <v>200000.0</v>
      </c>
    </row>
    <row r="37" ht="13.5" customHeight="1">
      <c r="B37" s="116" t="s">
        <v>7</v>
      </c>
      <c r="C37" s="117"/>
      <c r="D37" s="118">
        <v>300000.0</v>
      </c>
      <c r="E37" s="118">
        <v>21000.0</v>
      </c>
      <c r="F37" s="118">
        <v>179000.0</v>
      </c>
      <c r="G37" s="119">
        <v>7210.0</v>
      </c>
      <c r="H37" s="120">
        <v>49830.0</v>
      </c>
      <c r="I37" s="118">
        <v>9000.0</v>
      </c>
      <c r="J37" s="118">
        <v>28650.0</v>
      </c>
      <c r="K37" s="119">
        <v>34050.0</v>
      </c>
      <c r="L37" s="119">
        <v>28590.0</v>
      </c>
      <c r="M37" s="119">
        <v>18850.0</v>
      </c>
      <c r="N37" s="121">
        <f>SUM(D37:M37)</f>
        <v>676180</v>
      </c>
    </row>
    <row r="38" ht="13.5" customHeight="1"/>
    <row r="39" ht="13.5" customHeight="1"/>
    <row r="40" ht="13.5" customHeight="1">
      <c r="L40" s="109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C4:C5"/>
    <mergeCell ref="B36:C36"/>
    <mergeCell ref="B37:C37"/>
    <mergeCell ref="B4:B5"/>
    <mergeCell ref="D4:D5"/>
    <mergeCell ref="E4:E5"/>
    <mergeCell ref="F4:F5"/>
    <mergeCell ref="G4:G5"/>
    <mergeCell ref="H4:M4"/>
    <mergeCell ref="N4:N5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7" width="10.25"/>
    <col customWidth="1" min="8" max="8" width="10.0"/>
    <col customWidth="1" min="9" max="9" width="10.25"/>
    <col customWidth="1" min="10" max="10" width="8.13"/>
    <col customWidth="1" min="11" max="11" width="7.38"/>
    <col customWidth="1" min="12" max="12" width="7.63"/>
    <col customWidth="1" min="13" max="13" width="7.38"/>
    <col customWidth="1" min="14" max="26" width="7.63"/>
  </cols>
  <sheetData>
    <row r="1" ht="13.5" customHeight="1"/>
    <row r="2" ht="13.5" customHeight="1"/>
    <row r="3" ht="13.5" customHeight="1"/>
    <row r="4" ht="13.5" customHeight="1"/>
    <row r="5" ht="13.5" customHeight="1">
      <c r="C5" s="1" t="s">
        <v>0</v>
      </c>
      <c r="D5" s="2" t="s">
        <v>50</v>
      </c>
      <c r="E5" s="5" t="s">
        <v>51</v>
      </c>
      <c r="F5" s="6" t="s">
        <v>52</v>
      </c>
      <c r="G5" s="122"/>
      <c r="H5" s="123" t="s">
        <v>53</v>
      </c>
      <c r="I5" s="3" t="s">
        <v>54</v>
      </c>
      <c r="J5" s="5" t="s">
        <v>49</v>
      </c>
      <c r="K5" s="1" t="s">
        <v>7</v>
      </c>
    </row>
    <row r="6" ht="14.25" customHeight="1">
      <c r="C6" s="9"/>
      <c r="D6" s="10"/>
      <c r="E6" s="12"/>
      <c r="F6" s="124" t="s">
        <v>55</v>
      </c>
      <c r="G6" s="125" t="s">
        <v>56</v>
      </c>
      <c r="H6" s="126" t="s">
        <v>57</v>
      </c>
      <c r="I6" s="11"/>
      <c r="J6" s="12"/>
      <c r="K6" s="9"/>
    </row>
    <row r="7" ht="13.5" customHeight="1">
      <c r="C7" s="127" t="s">
        <v>58</v>
      </c>
      <c r="D7" s="128">
        <v>0.75</v>
      </c>
      <c r="E7" s="129" t="s">
        <v>59</v>
      </c>
      <c r="F7" s="130">
        <v>16500.0</v>
      </c>
      <c r="G7" s="131">
        <v>12300.0</v>
      </c>
      <c r="H7" s="132"/>
      <c r="I7" s="132"/>
      <c r="J7" s="132">
        <f>-7300</f>
        <v>-7300</v>
      </c>
      <c r="K7" s="22">
        <f t="shared" ref="K7:K26" si="1">SUM(F7:J7)</f>
        <v>21500</v>
      </c>
    </row>
    <row r="8" ht="13.5" customHeight="1">
      <c r="C8" s="23" t="s">
        <v>10</v>
      </c>
      <c r="D8" s="133">
        <v>0.75</v>
      </c>
      <c r="E8" s="134" t="s">
        <v>60</v>
      </c>
      <c r="F8" s="27">
        <v>16500.0</v>
      </c>
      <c r="G8" s="135">
        <v>12300.0</v>
      </c>
      <c r="H8" s="25">
        <v>10300.0</v>
      </c>
      <c r="I8" s="25">
        <v>12500.0</v>
      </c>
      <c r="J8" s="25">
        <f t="shared" ref="J8:J10" si="2">-7300-10000</f>
        <v>-17300</v>
      </c>
      <c r="K8" s="28">
        <f t="shared" si="1"/>
        <v>34300</v>
      </c>
    </row>
    <row r="9" ht="13.5" customHeight="1">
      <c r="C9" s="23" t="s">
        <v>61</v>
      </c>
      <c r="D9" s="133">
        <v>0.75</v>
      </c>
      <c r="E9" s="134" t="s">
        <v>60</v>
      </c>
      <c r="F9" s="27">
        <v>16500.0</v>
      </c>
      <c r="G9" s="135">
        <v>12300.0</v>
      </c>
      <c r="H9" s="25">
        <v>10300.0</v>
      </c>
      <c r="I9" s="25">
        <v>12500.0</v>
      </c>
      <c r="J9" s="25">
        <f t="shared" si="2"/>
        <v>-17300</v>
      </c>
      <c r="K9" s="28">
        <f t="shared" si="1"/>
        <v>34300</v>
      </c>
    </row>
    <row r="10" ht="13.5" customHeight="1">
      <c r="C10" s="23" t="s">
        <v>62</v>
      </c>
      <c r="D10" s="133">
        <v>0.75</v>
      </c>
      <c r="E10" s="134" t="s">
        <v>60</v>
      </c>
      <c r="F10" s="27">
        <v>16500.0</v>
      </c>
      <c r="G10" s="135">
        <v>12300.0</v>
      </c>
      <c r="H10" s="25">
        <v>10300.0</v>
      </c>
      <c r="I10" s="25"/>
      <c r="J10" s="25">
        <f t="shared" si="2"/>
        <v>-17300</v>
      </c>
      <c r="K10" s="28">
        <f t="shared" si="1"/>
        <v>21800</v>
      </c>
    </row>
    <row r="11" ht="13.5" customHeight="1">
      <c r="C11" s="23" t="s">
        <v>63</v>
      </c>
      <c r="D11" s="133">
        <v>0.75</v>
      </c>
      <c r="E11" s="134" t="s">
        <v>59</v>
      </c>
      <c r="F11" s="27">
        <v>16500.0</v>
      </c>
      <c r="G11" s="135">
        <v>12300.0</v>
      </c>
      <c r="H11" s="25"/>
      <c r="I11" s="25"/>
      <c r="J11" s="25">
        <v>-7300.0</v>
      </c>
      <c r="K11" s="28">
        <f t="shared" si="1"/>
        <v>21500</v>
      </c>
    </row>
    <row r="12" ht="13.5" customHeight="1">
      <c r="C12" s="23" t="s">
        <v>64</v>
      </c>
      <c r="D12" s="133">
        <v>0.75</v>
      </c>
      <c r="E12" s="134" t="s">
        <v>59</v>
      </c>
      <c r="F12" s="27">
        <v>16500.0</v>
      </c>
      <c r="G12" s="135">
        <v>12300.0</v>
      </c>
      <c r="H12" s="25"/>
      <c r="I12" s="25"/>
      <c r="J12" s="25">
        <v>-7300.0</v>
      </c>
      <c r="K12" s="28">
        <f t="shared" si="1"/>
        <v>21500</v>
      </c>
    </row>
    <row r="13" ht="13.5" customHeight="1">
      <c r="C13" s="23" t="s">
        <v>65</v>
      </c>
      <c r="D13" s="133">
        <v>0.75</v>
      </c>
      <c r="E13" s="134" t="s">
        <v>66</v>
      </c>
      <c r="F13" s="27">
        <v>16500.0</v>
      </c>
      <c r="G13" s="135">
        <v>12300.0</v>
      </c>
      <c r="H13" s="25"/>
      <c r="I13" s="25"/>
      <c r="J13" s="25">
        <v>-7300.0</v>
      </c>
      <c r="K13" s="28">
        <f t="shared" si="1"/>
        <v>21500</v>
      </c>
    </row>
    <row r="14" ht="13.5" customHeight="1">
      <c r="C14" s="23" t="s">
        <v>67</v>
      </c>
      <c r="D14" s="133">
        <v>0.75</v>
      </c>
      <c r="E14" s="134" t="s">
        <v>59</v>
      </c>
      <c r="F14" s="27">
        <v>16500.0</v>
      </c>
      <c r="G14" s="135">
        <v>12300.0</v>
      </c>
      <c r="H14" s="25"/>
      <c r="I14" s="25"/>
      <c r="J14" s="25">
        <v>-7300.0</v>
      </c>
      <c r="K14" s="28">
        <f t="shared" si="1"/>
        <v>21500</v>
      </c>
    </row>
    <row r="15" ht="13.5" customHeight="1">
      <c r="C15" s="23" t="s">
        <v>68</v>
      </c>
      <c r="D15" s="133">
        <v>0.75</v>
      </c>
      <c r="E15" s="134" t="s">
        <v>69</v>
      </c>
      <c r="F15" s="27">
        <v>16500.0</v>
      </c>
      <c r="G15" s="135">
        <v>12300.0</v>
      </c>
      <c r="H15" s="25"/>
      <c r="I15" s="25"/>
      <c r="J15" s="25">
        <v>-7300.0</v>
      </c>
      <c r="K15" s="28">
        <f t="shared" si="1"/>
        <v>21500</v>
      </c>
    </row>
    <row r="16" ht="13.5" customHeight="1">
      <c r="C16" s="136" t="s">
        <v>70</v>
      </c>
      <c r="D16" s="18" t="s">
        <v>71</v>
      </c>
      <c r="E16" s="137" t="s">
        <v>59</v>
      </c>
      <c r="F16" s="21">
        <v>16500.0</v>
      </c>
      <c r="G16" s="138">
        <v>12300.0</v>
      </c>
      <c r="H16" s="19"/>
      <c r="I16" s="19"/>
      <c r="J16" s="19">
        <v>-7300.0</v>
      </c>
      <c r="K16" s="139">
        <f t="shared" si="1"/>
        <v>21500</v>
      </c>
    </row>
    <row r="17" ht="13.5" customHeight="1">
      <c r="C17" s="140" t="s">
        <v>72</v>
      </c>
      <c r="D17" s="141" t="s">
        <v>73</v>
      </c>
      <c r="E17" s="142" t="s">
        <v>60</v>
      </c>
      <c r="F17" s="143">
        <v>16500.0</v>
      </c>
      <c r="G17" s="144">
        <v>12300.0</v>
      </c>
      <c r="H17" s="145">
        <v>10300.0</v>
      </c>
      <c r="I17" s="145"/>
      <c r="J17" s="145">
        <v>-17300.0</v>
      </c>
      <c r="K17" s="146">
        <f t="shared" si="1"/>
        <v>21800</v>
      </c>
    </row>
    <row r="18" ht="13.5" customHeight="1">
      <c r="C18" s="147" t="s">
        <v>74</v>
      </c>
      <c r="D18" s="148" t="s">
        <v>73</v>
      </c>
      <c r="E18" s="149" t="s">
        <v>46</v>
      </c>
      <c r="F18" s="150">
        <v>16500.0</v>
      </c>
      <c r="G18" s="151">
        <v>12300.0</v>
      </c>
      <c r="H18" s="152"/>
      <c r="I18" s="152"/>
      <c r="J18" s="152">
        <v>-7300.0</v>
      </c>
      <c r="K18" s="146">
        <f t="shared" si="1"/>
        <v>21500</v>
      </c>
    </row>
    <row r="19" ht="13.5" customHeight="1">
      <c r="C19" s="53" t="s">
        <v>13</v>
      </c>
      <c r="D19" s="153" t="s">
        <v>75</v>
      </c>
      <c r="E19" s="154" t="s">
        <v>59</v>
      </c>
      <c r="F19" s="57"/>
      <c r="G19" s="155">
        <v>12300.0</v>
      </c>
      <c r="H19" s="55"/>
      <c r="I19" s="55"/>
      <c r="J19" s="55">
        <v>-3100.0</v>
      </c>
      <c r="K19" s="156">
        <f t="shared" si="1"/>
        <v>9200</v>
      </c>
    </row>
    <row r="20" ht="13.5" customHeight="1">
      <c r="C20" s="53" t="s">
        <v>76</v>
      </c>
      <c r="D20" s="157" t="s">
        <v>75</v>
      </c>
      <c r="E20" s="158" t="s">
        <v>59</v>
      </c>
      <c r="F20" s="57"/>
      <c r="G20" s="155">
        <v>12300.0</v>
      </c>
      <c r="H20" s="55"/>
      <c r="I20" s="55"/>
      <c r="J20" s="55">
        <v>-3100.0</v>
      </c>
      <c r="K20" s="156">
        <f t="shared" si="1"/>
        <v>9200</v>
      </c>
    </row>
    <row r="21" ht="13.5" customHeight="1">
      <c r="C21" s="53" t="s">
        <v>77</v>
      </c>
      <c r="D21" s="157" t="s">
        <v>75</v>
      </c>
      <c r="E21" s="159" t="s">
        <v>59</v>
      </c>
      <c r="F21" s="57"/>
      <c r="G21" s="155">
        <v>12300.0</v>
      </c>
      <c r="H21" s="55"/>
      <c r="I21" s="55"/>
      <c r="J21" s="55">
        <v>-3100.0</v>
      </c>
      <c r="K21" s="156">
        <f t="shared" si="1"/>
        <v>9200</v>
      </c>
    </row>
    <row r="22" ht="13.5" customHeight="1">
      <c r="C22" s="53" t="s">
        <v>78</v>
      </c>
      <c r="D22" s="157" t="s">
        <v>75</v>
      </c>
      <c r="E22" s="159" t="s">
        <v>59</v>
      </c>
      <c r="F22" s="57"/>
      <c r="G22" s="155">
        <v>12300.0</v>
      </c>
      <c r="H22" s="55"/>
      <c r="I22" s="55"/>
      <c r="J22" s="55"/>
      <c r="K22" s="156">
        <f t="shared" si="1"/>
        <v>12300</v>
      </c>
    </row>
    <row r="23" ht="13.5" customHeight="1">
      <c r="C23" s="160" t="s">
        <v>79</v>
      </c>
      <c r="D23" s="89" t="s">
        <v>80</v>
      </c>
      <c r="E23" s="161" t="s">
        <v>59</v>
      </c>
      <c r="F23" s="92"/>
      <c r="G23" s="162">
        <v>6700.0</v>
      </c>
      <c r="H23" s="90"/>
      <c r="I23" s="90"/>
      <c r="J23" s="90">
        <v>-3100.0</v>
      </c>
      <c r="K23" s="163">
        <f t="shared" si="1"/>
        <v>3600</v>
      </c>
    </row>
    <row r="24" ht="13.5" customHeight="1">
      <c r="C24" s="164" t="s">
        <v>16</v>
      </c>
      <c r="D24" s="95" t="s">
        <v>43</v>
      </c>
      <c r="E24" s="165" t="s">
        <v>60</v>
      </c>
      <c r="F24" s="92"/>
      <c r="G24" s="162"/>
      <c r="H24" s="90">
        <v>10300.0</v>
      </c>
      <c r="I24" s="90"/>
      <c r="J24" s="90">
        <f>-10000</f>
        <v>-10000</v>
      </c>
      <c r="K24" s="163">
        <f t="shared" si="1"/>
        <v>300</v>
      </c>
    </row>
    <row r="25" ht="13.5" customHeight="1">
      <c r="C25" s="166" t="s">
        <v>49</v>
      </c>
      <c r="D25" s="167"/>
      <c r="E25" s="168"/>
      <c r="F25" s="169">
        <v>50000.0</v>
      </c>
      <c r="G25" s="170">
        <v>50000.0</v>
      </c>
      <c r="H25" s="113">
        <v>50000.0</v>
      </c>
      <c r="I25" s="113">
        <v>0.0</v>
      </c>
      <c r="J25" s="113">
        <v>0.0</v>
      </c>
      <c r="K25" s="115">
        <f t="shared" si="1"/>
        <v>150000</v>
      </c>
    </row>
    <row r="26" ht="13.5" customHeight="1">
      <c r="C26" s="116" t="s">
        <v>7</v>
      </c>
      <c r="D26" s="171"/>
      <c r="E26" s="172"/>
      <c r="F26" s="173">
        <v>401500.0</v>
      </c>
      <c r="G26" s="174"/>
      <c r="H26" s="175">
        <v>51500.0</v>
      </c>
      <c r="I26" s="175">
        <f>SUM(I7:I25)</f>
        <v>25000</v>
      </c>
      <c r="J26" s="175">
        <f>SUM(J7:J24)</f>
        <v>-150000</v>
      </c>
      <c r="K26" s="121">
        <f t="shared" si="1"/>
        <v>328000</v>
      </c>
    </row>
    <row r="27" ht="13.5" customHeight="1"/>
    <row r="28" ht="13.5" customHeight="1">
      <c r="F28" s="109"/>
      <c r="G28" s="109"/>
      <c r="M28" s="176"/>
    </row>
    <row r="29" ht="13.5" customHeight="1"/>
    <row r="30" ht="13.5" customHeight="1"/>
    <row r="31" ht="13.5" customHeight="1">
      <c r="I31" s="109"/>
    </row>
    <row r="32" ht="13.5" customHeight="1">
      <c r="I32" s="109"/>
      <c r="J32" s="176"/>
    </row>
    <row r="33" ht="13.5" customHeight="1"/>
    <row r="34" ht="13.5" customHeight="1"/>
    <row r="35" ht="13.5" customHeight="1">
      <c r="F35" s="109"/>
      <c r="G35" s="109"/>
      <c r="H35" s="109"/>
    </row>
    <row r="36" ht="13.5" customHeight="1">
      <c r="G36" s="109"/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C25:E25"/>
    <mergeCell ref="C26:E26"/>
    <mergeCell ref="F26:G26"/>
    <mergeCell ref="C5:C6"/>
    <mergeCell ref="D5:D6"/>
    <mergeCell ref="E5:E6"/>
    <mergeCell ref="F5:G5"/>
    <mergeCell ref="I5:I6"/>
    <mergeCell ref="J5:J6"/>
    <mergeCell ref="K5:K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8.38"/>
    <col customWidth="1" min="4" max="4" width="17.63"/>
    <col customWidth="1" min="5" max="5" width="17.38"/>
    <col customWidth="1" min="6" max="8" width="16.38"/>
  </cols>
  <sheetData>
    <row r="8">
      <c r="C8" s="177" t="s">
        <v>0</v>
      </c>
      <c r="D8" s="178" t="s">
        <v>81</v>
      </c>
      <c r="E8" s="178" t="s">
        <v>82</v>
      </c>
      <c r="F8" s="178" t="s">
        <v>83</v>
      </c>
      <c r="G8" s="178" t="s">
        <v>84</v>
      </c>
      <c r="H8" s="177" t="s">
        <v>7</v>
      </c>
      <c r="I8" s="179" t="s">
        <v>85</v>
      </c>
    </row>
    <row r="9">
      <c r="C9" s="9"/>
      <c r="D9" s="11"/>
      <c r="E9" s="11"/>
      <c r="F9" s="11"/>
      <c r="G9" s="11"/>
      <c r="H9" s="9"/>
      <c r="I9" s="9"/>
    </row>
    <row r="10">
      <c r="C10" s="180" t="s">
        <v>86</v>
      </c>
      <c r="D10" s="181">
        <v>7000.0</v>
      </c>
      <c r="E10" s="181">
        <f t="shared" ref="E10:E39" si="1">12000</f>
        <v>12000</v>
      </c>
      <c r="F10" s="181">
        <v>0.0</v>
      </c>
      <c r="G10" s="181">
        <v>0.0</v>
      </c>
      <c r="H10" s="180">
        <f t="shared" ref="H10:H41" si="2">SUM(D10:G10)</f>
        <v>19000</v>
      </c>
      <c r="I10" s="180" t="s">
        <v>87</v>
      </c>
    </row>
    <row r="11">
      <c r="C11" s="182" t="s">
        <v>67</v>
      </c>
      <c r="D11" s="183">
        <v>7000.0</v>
      </c>
      <c r="E11" s="183">
        <f t="shared" si="1"/>
        <v>12000</v>
      </c>
      <c r="F11" s="183">
        <v>0.0</v>
      </c>
      <c r="G11" s="183">
        <v>0.0</v>
      </c>
      <c r="H11" s="180">
        <f t="shared" si="2"/>
        <v>19000</v>
      </c>
      <c r="I11" s="180" t="s">
        <v>87</v>
      </c>
    </row>
    <row r="12">
      <c r="C12" s="182" t="s">
        <v>88</v>
      </c>
      <c r="D12" s="183">
        <v>7000.0</v>
      </c>
      <c r="E12" s="183">
        <f t="shared" si="1"/>
        <v>12000</v>
      </c>
      <c r="F12" s="181">
        <v>0.0</v>
      </c>
      <c r="G12" s="183">
        <v>0.0</v>
      </c>
      <c r="H12" s="180">
        <f t="shared" si="2"/>
        <v>19000</v>
      </c>
      <c r="I12" s="180" t="s">
        <v>87</v>
      </c>
    </row>
    <row r="13">
      <c r="C13" s="182" t="s">
        <v>68</v>
      </c>
      <c r="D13" s="183">
        <v>7000.0</v>
      </c>
      <c r="E13" s="183">
        <f t="shared" si="1"/>
        <v>12000</v>
      </c>
      <c r="F13" s="183">
        <v>0.0</v>
      </c>
      <c r="G13" s="183">
        <v>0.0</v>
      </c>
      <c r="H13" s="180">
        <f t="shared" si="2"/>
        <v>19000</v>
      </c>
      <c r="I13" s="180" t="s">
        <v>87</v>
      </c>
    </row>
    <row r="14">
      <c r="A14" s="184"/>
      <c r="B14" s="185"/>
      <c r="C14" s="182" t="s">
        <v>65</v>
      </c>
      <c r="D14" s="183">
        <v>7000.0</v>
      </c>
      <c r="E14" s="183">
        <f t="shared" si="1"/>
        <v>12000</v>
      </c>
      <c r="F14" s="183">
        <v>0.0</v>
      </c>
      <c r="G14" s="183">
        <v>0.0</v>
      </c>
      <c r="H14" s="180">
        <f t="shared" si="2"/>
        <v>19000</v>
      </c>
      <c r="I14" s="180" t="s">
        <v>87</v>
      </c>
      <c r="J14" s="184"/>
      <c r="K14" s="184"/>
      <c r="L14" s="184"/>
      <c r="M14" s="184"/>
      <c r="N14" s="184"/>
      <c r="O14" s="184"/>
      <c r="P14" s="184"/>
      <c r="Q14" s="184"/>
      <c r="R14" s="184"/>
      <c r="S14" s="184"/>
    </row>
    <row r="15">
      <c r="A15" s="184"/>
      <c r="B15" s="186"/>
      <c r="C15" s="187" t="s">
        <v>89</v>
      </c>
      <c r="D15" s="188">
        <v>7000.0</v>
      </c>
      <c r="E15" s="188">
        <f t="shared" si="1"/>
        <v>12000</v>
      </c>
      <c r="F15" s="188">
        <v>0.0</v>
      </c>
      <c r="G15" s="188">
        <v>0.0</v>
      </c>
      <c r="H15" s="187">
        <f t="shared" si="2"/>
        <v>19000</v>
      </c>
      <c r="I15" s="187" t="s">
        <v>87</v>
      </c>
      <c r="J15" s="184"/>
      <c r="K15" s="184"/>
      <c r="L15" s="184"/>
      <c r="M15" s="184"/>
      <c r="N15" s="184"/>
      <c r="O15" s="184"/>
      <c r="P15" s="184"/>
      <c r="Q15" s="184"/>
      <c r="R15" s="184"/>
      <c r="S15" s="184"/>
    </row>
    <row r="16">
      <c r="C16" s="189" t="s">
        <v>70</v>
      </c>
      <c r="D16" s="190">
        <v>7000.0</v>
      </c>
      <c r="E16" s="190">
        <f t="shared" si="1"/>
        <v>12000</v>
      </c>
      <c r="F16" s="190">
        <v>400.0</v>
      </c>
      <c r="G16" s="190">
        <v>0.0</v>
      </c>
      <c r="H16" s="189">
        <f t="shared" si="2"/>
        <v>19400</v>
      </c>
      <c r="I16" s="189" t="s">
        <v>87</v>
      </c>
    </row>
    <row r="17">
      <c r="C17" s="191" t="s">
        <v>76</v>
      </c>
      <c r="D17" s="192">
        <v>7000.0</v>
      </c>
      <c r="E17" s="192">
        <f t="shared" si="1"/>
        <v>12000</v>
      </c>
      <c r="F17" s="192">
        <v>400.0</v>
      </c>
      <c r="G17" s="192">
        <v>0.0</v>
      </c>
      <c r="H17" s="191">
        <f t="shared" si="2"/>
        <v>19400</v>
      </c>
      <c r="I17" s="191" t="s">
        <v>87</v>
      </c>
    </row>
    <row r="18">
      <c r="C18" s="191" t="s">
        <v>90</v>
      </c>
      <c r="D18" s="192">
        <v>7000.0</v>
      </c>
      <c r="E18" s="192">
        <f t="shared" si="1"/>
        <v>12000</v>
      </c>
      <c r="F18" s="192">
        <v>400.0</v>
      </c>
      <c r="G18" s="192">
        <v>0.0</v>
      </c>
      <c r="H18" s="191">
        <f t="shared" si="2"/>
        <v>19400</v>
      </c>
      <c r="I18" s="191" t="s">
        <v>87</v>
      </c>
    </row>
    <row r="19">
      <c r="C19" s="191" t="s">
        <v>74</v>
      </c>
      <c r="D19" s="192">
        <v>7000.0</v>
      </c>
      <c r="E19" s="192">
        <f t="shared" si="1"/>
        <v>12000</v>
      </c>
      <c r="F19" s="192">
        <v>400.0</v>
      </c>
      <c r="G19" s="192">
        <v>0.0</v>
      </c>
      <c r="H19" s="191">
        <f t="shared" si="2"/>
        <v>19400</v>
      </c>
      <c r="I19" s="191" t="s">
        <v>87</v>
      </c>
    </row>
    <row r="20">
      <c r="C20" s="191" t="s">
        <v>91</v>
      </c>
      <c r="D20" s="192">
        <v>7000.0</v>
      </c>
      <c r="E20" s="192">
        <f t="shared" si="1"/>
        <v>12000</v>
      </c>
      <c r="F20" s="192">
        <v>400.0</v>
      </c>
      <c r="G20" s="192">
        <v>0.0</v>
      </c>
      <c r="H20" s="191">
        <f t="shared" si="2"/>
        <v>19400</v>
      </c>
      <c r="I20" s="191" t="s">
        <v>87</v>
      </c>
      <c r="L20" s="193"/>
    </row>
    <row r="21">
      <c r="C21" s="194" t="s">
        <v>62</v>
      </c>
      <c r="D21" s="192">
        <v>7000.0</v>
      </c>
      <c r="E21" s="192">
        <f t="shared" si="1"/>
        <v>12000</v>
      </c>
      <c r="F21" s="192">
        <v>400.0</v>
      </c>
      <c r="G21" s="192">
        <v>0.0</v>
      </c>
      <c r="H21" s="194">
        <f t="shared" si="2"/>
        <v>19400</v>
      </c>
      <c r="I21" s="195" t="s">
        <v>87</v>
      </c>
    </row>
    <row r="22">
      <c r="C22" s="196" t="s">
        <v>13</v>
      </c>
      <c r="D22" s="192">
        <v>7000.0</v>
      </c>
      <c r="E22" s="192">
        <f t="shared" si="1"/>
        <v>12000</v>
      </c>
      <c r="F22" s="192">
        <v>400.0</v>
      </c>
      <c r="G22" s="192">
        <v>0.0</v>
      </c>
      <c r="H22" s="196">
        <f t="shared" si="2"/>
        <v>19400</v>
      </c>
      <c r="I22" s="197" t="s">
        <v>87</v>
      </c>
    </row>
    <row r="23">
      <c r="C23" s="194" t="s">
        <v>77</v>
      </c>
      <c r="D23" s="192">
        <v>7000.0</v>
      </c>
      <c r="E23" s="192">
        <f t="shared" si="1"/>
        <v>12000</v>
      </c>
      <c r="F23" s="192">
        <v>400.0</v>
      </c>
      <c r="G23" s="192">
        <v>0.0</v>
      </c>
      <c r="H23" s="194">
        <f t="shared" si="2"/>
        <v>19400</v>
      </c>
      <c r="I23" s="195" t="s">
        <v>87</v>
      </c>
    </row>
    <row r="24">
      <c r="C24" s="196" t="s">
        <v>14</v>
      </c>
      <c r="D24" s="192">
        <v>7000.0</v>
      </c>
      <c r="E24" s="192">
        <f t="shared" si="1"/>
        <v>12000</v>
      </c>
      <c r="F24" s="192">
        <v>400.0</v>
      </c>
      <c r="G24" s="192">
        <v>0.0</v>
      </c>
      <c r="H24" s="196">
        <f t="shared" si="2"/>
        <v>19400</v>
      </c>
      <c r="I24" s="197" t="s">
        <v>87</v>
      </c>
    </row>
    <row r="25">
      <c r="C25" s="196" t="s">
        <v>37</v>
      </c>
      <c r="D25" s="192">
        <v>7000.0</v>
      </c>
      <c r="E25" s="192">
        <f t="shared" si="1"/>
        <v>12000</v>
      </c>
      <c r="F25" s="192">
        <v>400.0</v>
      </c>
      <c r="G25" s="192">
        <v>0.0</v>
      </c>
      <c r="H25" s="196">
        <f t="shared" si="2"/>
        <v>19400</v>
      </c>
      <c r="I25" s="197" t="s">
        <v>87</v>
      </c>
    </row>
    <row r="26">
      <c r="C26" s="196" t="s">
        <v>24</v>
      </c>
      <c r="D26" s="192">
        <v>7000.0</v>
      </c>
      <c r="E26" s="192">
        <f t="shared" si="1"/>
        <v>12000</v>
      </c>
      <c r="F26" s="192">
        <v>400.0</v>
      </c>
      <c r="G26" s="192">
        <v>0.0</v>
      </c>
      <c r="H26" s="196">
        <f t="shared" si="2"/>
        <v>19400</v>
      </c>
      <c r="I26" s="197" t="s">
        <v>87</v>
      </c>
    </row>
    <row r="27">
      <c r="C27" s="194" t="s">
        <v>92</v>
      </c>
      <c r="D27" s="192">
        <v>7000.0</v>
      </c>
      <c r="E27" s="192">
        <f t="shared" si="1"/>
        <v>12000</v>
      </c>
      <c r="F27" s="192">
        <v>400.0</v>
      </c>
      <c r="G27" s="192">
        <v>0.0</v>
      </c>
      <c r="H27" s="194">
        <f t="shared" si="2"/>
        <v>19400</v>
      </c>
      <c r="I27" s="195" t="s">
        <v>87</v>
      </c>
    </row>
    <row r="28">
      <c r="C28" s="196" t="s">
        <v>79</v>
      </c>
      <c r="D28" s="192">
        <v>7000.0</v>
      </c>
      <c r="E28" s="192">
        <f t="shared" si="1"/>
        <v>12000</v>
      </c>
      <c r="F28" s="192">
        <v>400.0</v>
      </c>
      <c r="G28" s="192">
        <v>0.0</v>
      </c>
      <c r="H28" s="196">
        <f t="shared" si="2"/>
        <v>19400</v>
      </c>
      <c r="I28" s="197" t="s">
        <v>87</v>
      </c>
    </row>
    <row r="29">
      <c r="C29" s="196" t="s">
        <v>15</v>
      </c>
      <c r="D29" s="192">
        <v>7000.0</v>
      </c>
      <c r="E29" s="192">
        <f t="shared" si="1"/>
        <v>12000</v>
      </c>
      <c r="F29" s="192">
        <v>400.0</v>
      </c>
      <c r="G29" s="192">
        <v>0.0</v>
      </c>
      <c r="H29" s="196">
        <f t="shared" si="2"/>
        <v>19400</v>
      </c>
      <c r="I29" s="197" t="s">
        <v>87</v>
      </c>
    </row>
    <row r="30">
      <c r="C30" s="196" t="s">
        <v>93</v>
      </c>
      <c r="D30" s="192">
        <v>7000.0</v>
      </c>
      <c r="E30" s="192">
        <f t="shared" si="1"/>
        <v>12000</v>
      </c>
      <c r="F30" s="192">
        <v>400.0</v>
      </c>
      <c r="G30" s="192">
        <v>0.0</v>
      </c>
      <c r="H30" s="196">
        <f t="shared" si="2"/>
        <v>19400</v>
      </c>
      <c r="I30" s="197" t="s">
        <v>87</v>
      </c>
    </row>
    <row r="31">
      <c r="C31" s="191" t="s">
        <v>94</v>
      </c>
      <c r="D31" s="192">
        <v>7000.0</v>
      </c>
      <c r="E31" s="192">
        <f t="shared" si="1"/>
        <v>12000</v>
      </c>
      <c r="F31" s="192">
        <v>400.0</v>
      </c>
      <c r="G31" s="192">
        <v>0.0</v>
      </c>
      <c r="H31" s="191">
        <f t="shared" si="2"/>
        <v>19400</v>
      </c>
      <c r="I31" s="191" t="s">
        <v>87</v>
      </c>
    </row>
    <row r="32">
      <c r="C32" s="191" t="s">
        <v>95</v>
      </c>
      <c r="D32" s="192">
        <v>7000.0</v>
      </c>
      <c r="E32" s="192">
        <f t="shared" si="1"/>
        <v>12000</v>
      </c>
      <c r="F32" s="192">
        <v>400.0</v>
      </c>
      <c r="G32" s="192">
        <v>0.0</v>
      </c>
      <c r="H32" s="191">
        <f t="shared" si="2"/>
        <v>19400</v>
      </c>
      <c r="I32" s="191" t="s">
        <v>87</v>
      </c>
    </row>
    <row r="33">
      <c r="C33" s="191" t="s">
        <v>72</v>
      </c>
      <c r="D33" s="192">
        <v>7000.0</v>
      </c>
      <c r="E33" s="192">
        <f t="shared" si="1"/>
        <v>12000</v>
      </c>
      <c r="F33" s="192">
        <v>400.0</v>
      </c>
      <c r="G33" s="192">
        <v>0.0</v>
      </c>
      <c r="H33" s="191">
        <f t="shared" si="2"/>
        <v>19400</v>
      </c>
      <c r="I33" s="191" t="s">
        <v>87</v>
      </c>
    </row>
    <row r="34">
      <c r="C34" s="198" t="s">
        <v>16</v>
      </c>
      <c r="D34" s="199">
        <v>7000.0</v>
      </c>
      <c r="E34" s="199">
        <f t="shared" si="1"/>
        <v>12000</v>
      </c>
      <c r="F34" s="199">
        <v>400.0</v>
      </c>
      <c r="G34" s="199">
        <v>0.0</v>
      </c>
      <c r="H34" s="198">
        <f t="shared" si="2"/>
        <v>19400</v>
      </c>
      <c r="I34" s="198" t="s">
        <v>87</v>
      </c>
    </row>
    <row r="35">
      <c r="C35" s="200" t="s">
        <v>96</v>
      </c>
      <c r="D35" s="201">
        <v>7000.0</v>
      </c>
      <c r="E35" s="201">
        <f t="shared" si="1"/>
        <v>12000</v>
      </c>
      <c r="F35" s="201">
        <v>400.0</v>
      </c>
      <c r="G35" s="201">
        <v>0.0</v>
      </c>
      <c r="H35" s="200">
        <f t="shared" si="2"/>
        <v>19400</v>
      </c>
      <c r="I35" s="200" t="s">
        <v>87</v>
      </c>
    </row>
    <row r="36">
      <c r="C36" s="202" t="s">
        <v>97</v>
      </c>
      <c r="D36" s="203">
        <v>7000.0</v>
      </c>
      <c r="E36" s="203">
        <f t="shared" si="1"/>
        <v>12000</v>
      </c>
      <c r="F36" s="203">
        <v>400.0</v>
      </c>
      <c r="G36" s="203">
        <v>0.0</v>
      </c>
      <c r="H36" s="202">
        <f t="shared" si="2"/>
        <v>19400</v>
      </c>
      <c r="I36" s="202" t="s">
        <v>87</v>
      </c>
    </row>
    <row r="37">
      <c r="C37" s="202" t="s">
        <v>61</v>
      </c>
      <c r="D37" s="203">
        <v>7000.0</v>
      </c>
      <c r="E37" s="203">
        <f t="shared" si="1"/>
        <v>12000</v>
      </c>
      <c r="F37" s="203">
        <v>400.0</v>
      </c>
      <c r="G37" s="203">
        <v>0.0</v>
      </c>
      <c r="H37" s="202">
        <f t="shared" si="2"/>
        <v>19400</v>
      </c>
      <c r="I37" s="202" t="s">
        <v>87</v>
      </c>
    </row>
    <row r="38">
      <c r="B38" s="204">
        <v>387530.0</v>
      </c>
      <c r="C38" s="202" t="s">
        <v>58</v>
      </c>
      <c r="D38" s="203">
        <v>7000.0</v>
      </c>
      <c r="E38" s="203">
        <f t="shared" si="1"/>
        <v>12000</v>
      </c>
      <c r="F38" s="203">
        <v>400.0</v>
      </c>
      <c r="G38" s="203">
        <v>0.0</v>
      </c>
      <c r="H38" s="202">
        <f t="shared" si="2"/>
        <v>19400</v>
      </c>
      <c r="I38" s="202"/>
    </row>
    <row r="39">
      <c r="B39" s="204">
        <v>41500.0</v>
      </c>
      <c r="C39" s="205" t="s">
        <v>10</v>
      </c>
      <c r="D39" s="206">
        <v>7000.0</v>
      </c>
      <c r="E39" s="206">
        <f t="shared" si="1"/>
        <v>12000</v>
      </c>
      <c r="F39" s="206">
        <v>400.0</v>
      </c>
      <c r="G39" s="206">
        <v>0.0</v>
      </c>
      <c r="H39" s="205">
        <f t="shared" si="2"/>
        <v>19400</v>
      </c>
      <c r="I39" s="205"/>
    </row>
    <row r="40">
      <c r="C40" s="207" t="s">
        <v>49</v>
      </c>
      <c r="D40" s="208">
        <v>40000.0</v>
      </c>
      <c r="E40" s="208">
        <v>15930.0</v>
      </c>
      <c r="F40" s="208">
        <v>2000.0</v>
      </c>
      <c r="G40" s="208">
        <v>41500.0</v>
      </c>
      <c r="H40" s="209">
        <f t="shared" si="2"/>
        <v>99430</v>
      </c>
    </row>
    <row r="41">
      <c r="C41" s="210" t="s">
        <v>7</v>
      </c>
      <c r="D41" s="211">
        <f>SUM(D10:D40)</f>
        <v>250000</v>
      </c>
      <c r="E41" s="211">
        <v>375930.0</v>
      </c>
      <c r="F41" s="211">
        <v>11600.0</v>
      </c>
      <c r="G41" s="211">
        <v>41500.0</v>
      </c>
      <c r="H41" s="212">
        <f t="shared" si="2"/>
        <v>679030</v>
      </c>
    </row>
  </sheetData>
  <mergeCells count="7">
    <mergeCell ref="C8:C9"/>
    <mergeCell ref="D8:D9"/>
    <mergeCell ref="E8:E9"/>
    <mergeCell ref="F8:F9"/>
    <mergeCell ref="G8:G9"/>
    <mergeCell ref="H8:H9"/>
    <mergeCell ref="I8:I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2023-01-09T00:35:26Z</dcterms:created>
  <dc:creator>HSB</dc:creator>
</cp:coreProperties>
</file>