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G:\내 드라이브\꼰대라떼\총무\2024\"/>
    </mc:Choice>
  </mc:AlternateContent>
  <xr:revisionPtr revIDLastSave="0" documentId="13_ncr:1_{B97CA040-7CBD-44F6-97C0-FB35E0D888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JC+r180PSntgbY2BTIgWw0e7FhnBLjWuqkQPXMh8LY="/>
    </ext>
  </extLst>
</workbook>
</file>

<file path=xl/calcChain.xml><?xml version="1.0" encoding="utf-8"?>
<calcChain xmlns="http://schemas.openxmlformats.org/spreadsheetml/2006/main">
  <c r="K63" i="1" l="1"/>
  <c r="J60" i="1"/>
  <c r="L60" i="1" s="1"/>
  <c r="L63" i="1" s="1"/>
  <c r="J58" i="1"/>
  <c r="L58" i="1" s="1"/>
  <c r="K60" i="1"/>
  <c r="J37" i="1"/>
  <c r="L37" i="1" s="1"/>
  <c r="J34" i="1"/>
  <c r="L34" i="1" s="1"/>
  <c r="J32" i="1"/>
  <c r="L32" i="1" s="1"/>
  <c r="J28" i="1"/>
  <c r="L28" i="1"/>
  <c r="G63" i="1"/>
  <c r="D63" i="1"/>
  <c r="J31" i="1"/>
  <c r="L31" i="1" s="1"/>
  <c r="L27" i="1"/>
  <c r="J27" i="1"/>
  <c r="J26" i="1"/>
  <c r="L26" i="1" s="1"/>
  <c r="L22" i="1"/>
  <c r="L19" i="1"/>
  <c r="J4" i="1"/>
  <c r="L4" i="1" s="1"/>
  <c r="J63" i="1" l="1"/>
</calcChain>
</file>

<file path=xl/sharedStrings.xml><?xml version="1.0" encoding="utf-8"?>
<sst xmlns="http://schemas.openxmlformats.org/spreadsheetml/2006/main" count="107" uniqueCount="68">
  <si>
    <t>월</t>
  </si>
  <si>
    <t>일</t>
  </si>
  <si>
    <t>요일</t>
  </si>
  <si>
    <t>수입</t>
  </si>
  <si>
    <t>지출</t>
  </si>
  <si>
    <t>잔여 금액</t>
  </si>
  <si>
    <t>최대 보증금</t>
  </si>
  <si>
    <t>실사용가능 금액</t>
  </si>
  <si>
    <t>(보증금 포함)</t>
  </si>
  <si>
    <t>(보증금 제외)</t>
  </si>
  <si>
    <t>비용</t>
  </si>
  <si>
    <t>매출처</t>
  </si>
  <si>
    <t>내용</t>
  </si>
  <si>
    <t>매입처</t>
  </si>
  <si>
    <t>목</t>
  </si>
  <si>
    <t>신희찬</t>
  </si>
  <si>
    <t>1월 잔여회비</t>
  </si>
  <si>
    <t>금</t>
  </si>
  <si>
    <t>토</t>
  </si>
  <si>
    <t>화</t>
  </si>
  <si>
    <t>수</t>
  </si>
  <si>
    <t>유지훈</t>
  </si>
  <si>
    <t>기존회원 회비</t>
  </si>
  <si>
    <t>안우석</t>
  </si>
  <si>
    <t>배환규</t>
  </si>
  <si>
    <t>홍석범</t>
  </si>
  <si>
    <t>이진진</t>
  </si>
  <si>
    <t>양진석</t>
  </si>
  <si>
    <t>김해찬</t>
  </si>
  <si>
    <t>이규엽</t>
  </si>
  <si>
    <t>홍채원</t>
  </si>
  <si>
    <t>이성현</t>
  </si>
  <si>
    <t>황인우</t>
  </si>
  <si>
    <t>문제원</t>
  </si>
  <si>
    <t>이예림</t>
  </si>
  <si>
    <t>이주연</t>
  </si>
  <si>
    <t>이원준</t>
  </si>
  <si>
    <t>카카오뱅크</t>
  </si>
  <si>
    <t>예금이자</t>
  </si>
  <si>
    <t>권지연</t>
  </si>
  <si>
    <t>GS25 종각점</t>
  </si>
  <si>
    <t>신입회원 면접 음료 지원</t>
  </si>
  <si>
    <t>박소현</t>
  </si>
  <si>
    <t>윤민식</t>
  </si>
  <si>
    <t>권희원</t>
  </si>
  <si>
    <t>이광민</t>
  </si>
  <si>
    <t>배규현</t>
  </si>
  <si>
    <t>이수민</t>
  </si>
  <si>
    <t>김동현</t>
  </si>
  <si>
    <t>신입회원 회비</t>
  </si>
  <si>
    <t>양정우</t>
  </si>
  <si>
    <t>이태성</t>
  </si>
  <si>
    <t>박상현</t>
  </si>
  <si>
    <t>방규현</t>
  </si>
  <si>
    <t>이수현</t>
  </si>
  <si>
    <t>박민기</t>
  </si>
  <si>
    <t>윤기화</t>
  </si>
  <si>
    <t>이지원</t>
  </si>
  <si>
    <t>하은희</t>
  </si>
  <si>
    <t>김혜연</t>
  </si>
  <si>
    <t>김태호</t>
  </si>
  <si>
    <t>심준보</t>
  </si>
  <si>
    <t>양지현</t>
  </si>
  <si>
    <t>송예나</t>
  </si>
  <si>
    <t>유지현</t>
  </si>
  <si>
    <t>대화상점</t>
  </si>
  <si>
    <t>신입회원 OT 장소 대관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</si>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</sst>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name val="Malgun Gothic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F5B5F0"/>
        <bgColor rgb="FFF5B5F0"/>
      </patternFill>
    </fill>
    <fill>
      <patternFill patternType="solid">
        <fgColor rgb="FFA8D08D"/>
        <bgColor rgb="FFA8D08D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F9D7F7"/>
        <bgColor rgb="FFF9D7F7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FEE6F9"/>
        <bgColor rgb="FFFEE6F9"/>
      </patternFill>
    </fill>
    <fill>
      <patternFill patternType="solid">
        <fgColor rgb="FFE2EFD9"/>
        <bgColor rgb="FFE2EFD9"/>
      </patternFill>
    </fill>
    <fill>
      <patternFill patternType="solid">
        <fgColor rgb="FFFEE6F9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theme="0" tint="-0.499984740745262"/>
      </top>
      <bottom/>
      <diagonal/>
    </border>
    <border>
      <left style="thin">
        <color rgb="FF666666"/>
      </left>
      <right style="thin">
        <color rgb="FF666666"/>
      </right>
      <top style="thin">
        <color theme="0" tint="-0.499984740745262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theme="0" tint="-0.499984740745262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theme="0" tint="-0.34998626667073579"/>
      </bottom>
      <diagonal/>
    </border>
    <border>
      <left style="thin">
        <color rgb="FF666666"/>
      </left>
      <right style="thin">
        <color rgb="FF666666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666666"/>
      </left>
      <right style="thin">
        <color rgb="FF666666"/>
      </right>
      <top style="thin">
        <color theme="0" tint="-0.34998626667073579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81">
    <xf numFmtId="0" fontId="0" fillId="0" borderId="0" xfId="0" applyAlignment="1">
      <alignment vertical="center"/>
    </xf>
    <xf numFmtId="176" fontId="1" fillId="10" borderId="5" xfId="0" applyNumberFormat="1" applyFont="1" applyFill="1" applyBorder="1" applyAlignment="1">
      <alignment horizontal="center" vertical="center"/>
    </xf>
    <xf numFmtId="176" fontId="1" fillId="11" borderId="5" xfId="0" applyNumberFormat="1" applyFont="1" applyFill="1" applyBorder="1" applyAlignment="1">
      <alignment horizontal="center" vertical="center"/>
    </xf>
    <xf numFmtId="176" fontId="1" fillId="12" borderId="5" xfId="0" applyNumberFormat="1" applyFont="1" applyFill="1" applyBorder="1" applyAlignment="1">
      <alignment horizontal="center" vertical="center"/>
    </xf>
    <xf numFmtId="176" fontId="1" fillId="13" borderId="5" xfId="0" applyNumberFormat="1" applyFont="1" applyFill="1" applyBorder="1" applyAlignment="1">
      <alignment horizontal="center" vertical="center"/>
    </xf>
    <xf numFmtId="176" fontId="1" fillId="14" borderId="5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/>
    </xf>
    <xf numFmtId="176" fontId="1" fillId="4" borderId="5" xfId="0" applyNumberFormat="1" applyFont="1" applyFill="1" applyBorder="1" applyAlignment="1">
      <alignment horizontal="center" vertical="center"/>
    </xf>
    <xf numFmtId="176" fontId="1" fillId="15" borderId="5" xfId="0" applyNumberFormat="1" applyFont="1" applyFill="1" applyBorder="1" applyAlignment="1">
      <alignment horizontal="center" vertical="center"/>
    </xf>
    <xf numFmtId="176" fontId="1" fillId="16" borderId="5" xfId="0" applyNumberFormat="1" applyFont="1" applyFill="1" applyBorder="1" applyAlignment="1">
      <alignment horizontal="center" vertical="center"/>
    </xf>
    <xf numFmtId="176" fontId="1" fillId="17" borderId="5" xfId="0" applyNumberFormat="1" applyFont="1" applyFill="1" applyBorder="1" applyAlignment="1">
      <alignment horizontal="center" vertical="center"/>
    </xf>
    <xf numFmtId="176" fontId="1" fillId="18" borderId="5" xfId="0" applyNumberFormat="1" applyFont="1" applyFill="1" applyBorder="1" applyAlignment="1">
      <alignment horizontal="center" vertical="center"/>
    </xf>
    <xf numFmtId="176" fontId="1" fillId="19" borderId="5" xfId="0" applyNumberFormat="1" applyFont="1" applyFill="1" applyBorder="1" applyAlignment="1">
      <alignment horizontal="center" vertical="center"/>
    </xf>
    <xf numFmtId="176" fontId="1" fillId="15" borderId="1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9" borderId="1" xfId="0" applyNumberFormat="1" applyFont="1" applyFill="1" applyBorder="1" applyAlignment="1">
      <alignment horizontal="center" vertical="center"/>
    </xf>
    <xf numFmtId="176" fontId="1" fillId="18" borderId="6" xfId="0" applyNumberFormat="1" applyFont="1" applyFill="1" applyBorder="1" applyAlignment="1">
      <alignment horizontal="center" vertical="center"/>
    </xf>
    <xf numFmtId="176" fontId="1" fillId="19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20" borderId="12" xfId="0" applyFont="1" applyFill="1" applyBorder="1" applyAlignment="1">
      <alignment horizontal="center" vertical="center"/>
    </xf>
    <xf numFmtId="176" fontId="1" fillId="3" borderId="10" xfId="0" applyNumberFormat="1" applyFont="1" applyFill="1" applyBorder="1" applyAlignment="1">
      <alignment horizontal="center" vertical="center"/>
    </xf>
    <xf numFmtId="176" fontId="1" fillId="4" borderId="10" xfId="0" applyNumberFormat="1" applyFont="1" applyFill="1" applyBorder="1" applyAlignment="1">
      <alignment horizontal="center" vertical="center"/>
    </xf>
    <xf numFmtId="176" fontId="1" fillId="15" borderId="10" xfId="0" applyNumberFormat="1" applyFont="1" applyFill="1" applyBorder="1" applyAlignment="1">
      <alignment horizontal="center" vertical="center"/>
    </xf>
    <xf numFmtId="176" fontId="1" fillId="16" borderId="10" xfId="0" applyNumberFormat="1" applyFont="1" applyFill="1" applyBorder="1" applyAlignment="1">
      <alignment horizontal="center" vertical="center"/>
    </xf>
    <xf numFmtId="176" fontId="1" fillId="17" borderId="10" xfId="0" applyNumberFormat="1" applyFont="1" applyFill="1" applyBorder="1" applyAlignment="1">
      <alignment horizontal="center" vertical="center"/>
    </xf>
    <xf numFmtId="176" fontId="1" fillId="18" borderId="10" xfId="0" applyNumberFormat="1" applyFont="1" applyFill="1" applyBorder="1" applyAlignment="1">
      <alignment horizontal="center" vertical="center"/>
    </xf>
    <xf numFmtId="176" fontId="1" fillId="19" borderId="10" xfId="0" applyNumberFormat="1" applyFont="1" applyFill="1" applyBorder="1" applyAlignment="1">
      <alignment horizontal="center" vertical="center"/>
    </xf>
    <xf numFmtId="176" fontId="1" fillId="3" borderId="14" xfId="0" applyNumberFormat="1" applyFont="1" applyFill="1" applyBorder="1" applyAlignment="1">
      <alignment horizontal="center" vertical="center"/>
    </xf>
    <xf numFmtId="176" fontId="1" fillId="4" borderId="14" xfId="0" applyNumberFormat="1" applyFont="1" applyFill="1" applyBorder="1" applyAlignment="1">
      <alignment horizontal="center" vertical="center"/>
    </xf>
    <xf numFmtId="176" fontId="1" fillId="15" borderId="14" xfId="0" applyNumberFormat="1" applyFont="1" applyFill="1" applyBorder="1" applyAlignment="1">
      <alignment horizontal="center" vertical="center"/>
    </xf>
    <xf numFmtId="176" fontId="1" fillId="16" borderId="14" xfId="0" applyNumberFormat="1" applyFont="1" applyFill="1" applyBorder="1" applyAlignment="1">
      <alignment horizontal="center" vertical="center"/>
    </xf>
    <xf numFmtId="176" fontId="1" fillId="17" borderId="14" xfId="0" applyNumberFormat="1" applyFont="1" applyFill="1" applyBorder="1" applyAlignment="1">
      <alignment horizontal="center" vertical="center"/>
    </xf>
    <xf numFmtId="176" fontId="1" fillId="18" borderId="14" xfId="0" applyNumberFormat="1" applyFont="1" applyFill="1" applyBorder="1" applyAlignment="1">
      <alignment horizontal="center" vertical="center"/>
    </xf>
    <xf numFmtId="176" fontId="1" fillId="19" borderId="14" xfId="0" applyNumberFormat="1" applyFont="1" applyFill="1" applyBorder="1" applyAlignment="1">
      <alignment horizontal="center" vertical="center"/>
    </xf>
    <xf numFmtId="176" fontId="1" fillId="3" borderId="15" xfId="0" applyNumberFormat="1" applyFont="1" applyFill="1" applyBorder="1" applyAlignment="1">
      <alignment horizontal="center" vertical="center"/>
    </xf>
    <xf numFmtId="176" fontId="1" fillId="4" borderId="15" xfId="0" applyNumberFormat="1" applyFont="1" applyFill="1" applyBorder="1" applyAlignment="1">
      <alignment horizontal="center" vertical="center"/>
    </xf>
    <xf numFmtId="176" fontId="1" fillId="15" borderId="15" xfId="0" applyNumberFormat="1" applyFont="1" applyFill="1" applyBorder="1" applyAlignment="1">
      <alignment horizontal="center" vertical="center"/>
    </xf>
    <xf numFmtId="176" fontId="1" fillId="16" borderId="15" xfId="0" applyNumberFormat="1" applyFont="1" applyFill="1" applyBorder="1" applyAlignment="1">
      <alignment horizontal="center" vertical="center"/>
    </xf>
    <xf numFmtId="176" fontId="1" fillId="17" borderId="15" xfId="0" applyNumberFormat="1" applyFont="1" applyFill="1" applyBorder="1" applyAlignment="1">
      <alignment horizontal="center" vertical="center"/>
    </xf>
    <xf numFmtId="176" fontId="1" fillId="18" borderId="15" xfId="0" applyNumberFormat="1" applyFont="1" applyFill="1" applyBorder="1" applyAlignment="1">
      <alignment horizontal="center" vertical="center"/>
    </xf>
    <xf numFmtId="176" fontId="1" fillId="19" borderId="15" xfId="0" applyNumberFormat="1" applyFont="1" applyFill="1" applyBorder="1" applyAlignment="1">
      <alignment horizontal="center" vertical="center"/>
    </xf>
    <xf numFmtId="176" fontId="1" fillId="3" borderId="6" xfId="0" applyNumberFormat="1" applyFont="1" applyFill="1" applyBorder="1" applyAlignment="1">
      <alignment horizontal="center" vertical="center"/>
    </xf>
    <xf numFmtId="176" fontId="1" fillId="4" borderId="6" xfId="0" applyNumberFormat="1" applyFont="1" applyFill="1" applyBorder="1" applyAlignment="1">
      <alignment horizontal="center" vertical="center"/>
    </xf>
    <xf numFmtId="176" fontId="1" fillId="15" borderId="6" xfId="0" applyNumberFormat="1" applyFont="1" applyFill="1" applyBorder="1" applyAlignment="1">
      <alignment horizontal="center" vertical="center"/>
    </xf>
    <xf numFmtId="176" fontId="1" fillId="16" borderId="6" xfId="0" applyNumberFormat="1" applyFont="1" applyFill="1" applyBorder="1" applyAlignment="1">
      <alignment horizontal="center" vertical="center"/>
    </xf>
    <xf numFmtId="176" fontId="1" fillId="17" borderId="6" xfId="0" applyNumberFormat="1" applyFont="1" applyFill="1" applyBorder="1" applyAlignment="1">
      <alignment horizontal="center" vertical="center"/>
    </xf>
    <xf numFmtId="176" fontId="1" fillId="16" borderId="1" xfId="0" applyNumberFormat="1" applyFont="1" applyFill="1" applyBorder="1" applyAlignment="1">
      <alignment horizontal="center" vertical="center"/>
    </xf>
    <xf numFmtId="176" fontId="1" fillId="16" borderId="16" xfId="0" applyNumberFormat="1" applyFont="1" applyFill="1" applyBorder="1" applyAlignment="1">
      <alignment horizontal="center" vertical="center"/>
    </xf>
    <xf numFmtId="176" fontId="1" fillId="16" borderId="17" xfId="0" applyNumberFormat="1" applyFont="1" applyFill="1" applyBorder="1" applyAlignment="1">
      <alignment horizontal="center" vertical="center"/>
    </xf>
    <xf numFmtId="176" fontId="1" fillId="15" borderId="17" xfId="0" applyNumberFormat="1" applyFont="1" applyFill="1" applyBorder="1" applyAlignment="1">
      <alignment horizontal="center" vertical="center"/>
    </xf>
    <xf numFmtId="176" fontId="1" fillId="19" borderId="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1" fillId="15" borderId="1" xfId="0" applyNumberFormat="1" applyFont="1" applyFill="1" applyBorder="1" applyAlignment="1">
      <alignment horizontal="center" vertical="center"/>
    </xf>
    <xf numFmtId="176" fontId="1" fillId="17" borderId="1" xfId="0" applyNumberFormat="1" applyFont="1" applyFill="1" applyBorder="1" applyAlignment="1">
      <alignment horizontal="center" vertical="center"/>
    </xf>
    <xf numFmtId="176" fontId="1" fillId="18" borderId="1" xfId="0" applyNumberFormat="1" applyFont="1" applyFill="1" applyBorder="1" applyAlignment="1">
      <alignment horizontal="center" vertical="center"/>
    </xf>
    <xf numFmtId="176" fontId="1" fillId="9" borderId="1" xfId="0" applyNumberFormat="1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76" fontId="1" fillId="15" borderId="6" xfId="0" applyNumberFormat="1" applyFont="1" applyFill="1" applyBorder="1" applyAlignment="1">
      <alignment horizontal="center" vertical="center"/>
    </xf>
    <xf numFmtId="176" fontId="1" fillId="18" borderId="6" xfId="0" applyNumberFormat="1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center" vertical="center"/>
    </xf>
    <xf numFmtId="0" fontId="3" fillId="20" borderId="6" xfId="0" applyFont="1" applyFill="1" applyBorder="1" applyAlignment="1">
      <alignment horizontal="center" vertical="center"/>
    </xf>
    <xf numFmtId="176" fontId="1" fillId="19" borderId="6" xfId="0" applyNumberFormat="1" applyFont="1" applyFill="1" applyBorder="1" applyAlignment="1">
      <alignment horizontal="center" vertical="center"/>
    </xf>
    <xf numFmtId="176" fontId="1" fillId="19" borderId="13" xfId="0" applyNumberFormat="1" applyFont="1" applyFill="1" applyBorder="1" applyAlignment="1">
      <alignment horizontal="center" vertical="center"/>
    </xf>
    <xf numFmtId="176" fontId="3" fillId="21" borderId="6" xfId="0" applyNumberFormat="1" applyFont="1" applyFill="1" applyBorder="1" applyAlignment="1">
      <alignment horizontal="center" vertical="center"/>
    </xf>
    <xf numFmtId="0" fontId="3" fillId="21" borderId="10" xfId="0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8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EE6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5"/>
  <sheetViews>
    <sheetView tabSelected="1" workbookViewId="0">
      <selection activeCell="J2" sqref="J2"/>
    </sheetView>
  </sheetViews>
  <sheetFormatPr defaultColWidth="14.42578125" defaultRowHeight="15" customHeight="1"/>
  <cols>
    <col min="1" max="1" width="7.5703125" style="18" customWidth="1"/>
    <col min="2" max="3" width="7.85546875" style="18" customWidth="1"/>
    <col min="4" max="5" width="15.7109375" style="18" customWidth="1"/>
    <col min="6" max="6" width="31.28515625" style="18" customWidth="1"/>
    <col min="7" max="7" width="15.7109375" style="18" customWidth="1"/>
    <col min="8" max="8" width="25.5703125" style="18" customWidth="1"/>
    <col min="9" max="9" width="29" style="18" customWidth="1"/>
    <col min="10" max="10" width="15.7109375" style="18" customWidth="1"/>
    <col min="11" max="11" width="11.5703125" style="18" customWidth="1"/>
    <col min="12" max="12" width="15.85546875" style="18" customWidth="1"/>
    <col min="13" max="26" width="8.7109375" style="18" customWidth="1"/>
    <col min="27" max="16384" width="14.42578125" style="18"/>
  </cols>
  <sheetData>
    <row r="1" spans="1:12" ht="16.5" customHeight="1">
      <c r="A1" s="77" t="s">
        <v>0</v>
      </c>
      <c r="B1" s="53" t="s">
        <v>1</v>
      </c>
      <c r="C1" s="54" t="s">
        <v>2</v>
      </c>
      <c r="D1" s="68" t="s">
        <v>3</v>
      </c>
      <c r="E1" s="69"/>
      <c r="F1" s="70"/>
      <c r="G1" s="74" t="s">
        <v>4</v>
      </c>
      <c r="H1" s="69"/>
      <c r="I1" s="70"/>
      <c r="J1" s="14" t="s">
        <v>5</v>
      </c>
      <c r="K1" s="76" t="s">
        <v>6</v>
      </c>
      <c r="L1" s="15" t="s">
        <v>7</v>
      </c>
    </row>
    <row r="2" spans="1:12" ht="16.5" customHeight="1">
      <c r="A2" s="52"/>
      <c r="B2" s="52"/>
      <c r="C2" s="52"/>
      <c r="D2" s="71"/>
      <c r="E2" s="72"/>
      <c r="F2" s="73"/>
      <c r="G2" s="71"/>
      <c r="H2" s="72"/>
      <c r="I2" s="73"/>
      <c r="J2" s="79" t="s">
        <v>8</v>
      </c>
      <c r="K2" s="51"/>
      <c r="L2" s="80" t="s">
        <v>9</v>
      </c>
    </row>
    <row r="3" spans="1:12" ht="16.5" customHeight="1">
      <c r="A3" s="51"/>
      <c r="B3" s="51"/>
      <c r="C3" s="51"/>
      <c r="D3" s="1" t="s">
        <v>10</v>
      </c>
      <c r="E3" s="1" t="s">
        <v>11</v>
      </c>
      <c r="F3" s="1" t="s">
        <v>12</v>
      </c>
      <c r="G3" s="2" t="s">
        <v>10</v>
      </c>
      <c r="H3" s="2" t="s">
        <v>13</v>
      </c>
      <c r="I3" s="2" t="s">
        <v>12</v>
      </c>
      <c r="J3" s="3" t="s">
        <v>10</v>
      </c>
      <c r="K3" s="4" t="s">
        <v>10</v>
      </c>
      <c r="L3" s="5" t="s">
        <v>10</v>
      </c>
    </row>
    <row r="4" spans="1:12" ht="16.5" customHeight="1">
      <c r="A4" s="77">
        <v>2</v>
      </c>
      <c r="B4" s="6">
        <v>1</v>
      </c>
      <c r="C4" s="7" t="s">
        <v>14</v>
      </c>
      <c r="D4" s="8">
        <v>140000</v>
      </c>
      <c r="E4" s="8" t="s">
        <v>15</v>
      </c>
      <c r="F4" s="8" t="s">
        <v>16</v>
      </c>
      <c r="G4" s="9"/>
      <c r="H4" s="9"/>
      <c r="I4" s="9"/>
      <c r="J4" s="10">
        <f>SUM($D$4:D4)-SUM($G$4:G4)</f>
        <v>140000</v>
      </c>
      <c r="K4" s="11">
        <v>0</v>
      </c>
      <c r="L4" s="12">
        <f>J4-K4</f>
        <v>140000</v>
      </c>
    </row>
    <row r="5" spans="1:12" ht="16.5" customHeight="1">
      <c r="A5" s="52"/>
      <c r="B5" s="27">
        <v>2</v>
      </c>
      <c r="C5" s="28" t="s">
        <v>17</v>
      </c>
      <c r="D5" s="29"/>
      <c r="E5" s="29"/>
      <c r="F5" s="29"/>
      <c r="G5" s="30"/>
      <c r="H5" s="30"/>
      <c r="I5" s="30"/>
      <c r="J5" s="31"/>
      <c r="K5" s="32"/>
      <c r="L5" s="33"/>
    </row>
    <row r="6" spans="1:12" ht="16.5" customHeight="1">
      <c r="A6" s="52"/>
      <c r="B6" s="34">
        <v>3</v>
      </c>
      <c r="C6" s="35" t="s">
        <v>18</v>
      </c>
      <c r="D6" s="36"/>
      <c r="E6" s="36"/>
      <c r="F6" s="36"/>
      <c r="G6" s="37"/>
      <c r="H6" s="37"/>
      <c r="I6" s="37"/>
      <c r="J6" s="38"/>
      <c r="K6" s="39"/>
      <c r="L6" s="40"/>
    </row>
    <row r="7" spans="1:12" ht="16.5" customHeight="1">
      <c r="A7" s="52"/>
      <c r="B7" s="34">
        <v>4</v>
      </c>
      <c r="C7" s="35" t="s">
        <v>1</v>
      </c>
      <c r="D7" s="36"/>
      <c r="E7" s="36"/>
      <c r="F7" s="36"/>
      <c r="G7" s="37"/>
      <c r="H7" s="37"/>
      <c r="I7" s="37"/>
      <c r="J7" s="38"/>
      <c r="K7" s="39"/>
      <c r="L7" s="40"/>
    </row>
    <row r="8" spans="1:12" ht="16.5" customHeight="1">
      <c r="A8" s="52"/>
      <c r="B8" s="34">
        <v>5</v>
      </c>
      <c r="C8" s="35" t="s">
        <v>0</v>
      </c>
      <c r="D8" s="36"/>
      <c r="E8" s="36"/>
      <c r="F8" s="36"/>
      <c r="G8" s="37"/>
      <c r="H8" s="37"/>
      <c r="I8" s="37"/>
      <c r="J8" s="38"/>
      <c r="K8" s="39"/>
      <c r="L8" s="40"/>
    </row>
    <row r="9" spans="1:12" ht="16.5" customHeight="1">
      <c r="A9" s="52"/>
      <c r="B9" s="34">
        <v>6</v>
      </c>
      <c r="C9" s="35" t="s">
        <v>19</v>
      </c>
      <c r="D9" s="36"/>
      <c r="E9" s="36"/>
      <c r="F9" s="36"/>
      <c r="G9" s="37"/>
      <c r="H9" s="37"/>
      <c r="I9" s="37"/>
      <c r="J9" s="38"/>
      <c r="K9" s="39"/>
      <c r="L9" s="40"/>
    </row>
    <row r="10" spans="1:12" ht="16.5" customHeight="1">
      <c r="A10" s="52"/>
      <c r="B10" s="41">
        <v>7</v>
      </c>
      <c r="C10" s="42" t="s">
        <v>20</v>
      </c>
      <c r="D10" s="43"/>
      <c r="E10" s="43"/>
      <c r="F10" s="43"/>
      <c r="G10" s="44"/>
      <c r="H10" s="44"/>
      <c r="I10" s="44"/>
      <c r="J10" s="45"/>
      <c r="K10" s="16"/>
      <c r="L10" s="17"/>
    </row>
    <row r="11" spans="1:12" ht="16.5" customHeight="1">
      <c r="A11" s="52"/>
      <c r="B11" s="34">
        <v>8</v>
      </c>
      <c r="C11" s="35" t="s">
        <v>14</v>
      </c>
      <c r="D11" s="36"/>
      <c r="E11" s="36"/>
      <c r="F11" s="36"/>
      <c r="G11" s="37"/>
      <c r="H11" s="37"/>
      <c r="I11" s="37"/>
      <c r="J11" s="38"/>
      <c r="K11" s="39"/>
      <c r="L11" s="40"/>
    </row>
    <row r="12" spans="1:12" ht="16.5" customHeight="1">
      <c r="A12" s="52"/>
      <c r="B12" s="41">
        <v>9</v>
      </c>
      <c r="C12" s="42" t="s">
        <v>17</v>
      </c>
      <c r="D12" s="43"/>
      <c r="E12" s="43"/>
      <c r="F12" s="43"/>
      <c r="G12" s="44"/>
      <c r="H12" s="44"/>
      <c r="I12" s="44"/>
      <c r="J12" s="45"/>
      <c r="K12" s="16"/>
      <c r="L12" s="17"/>
    </row>
    <row r="13" spans="1:12" ht="16.5" customHeight="1">
      <c r="A13" s="52"/>
      <c r="B13" s="34">
        <v>10</v>
      </c>
      <c r="C13" s="35" t="s">
        <v>18</v>
      </c>
      <c r="D13" s="36"/>
      <c r="E13" s="36"/>
      <c r="F13" s="36"/>
      <c r="G13" s="37"/>
      <c r="H13" s="37"/>
      <c r="I13" s="37"/>
      <c r="J13" s="38"/>
      <c r="K13" s="39"/>
      <c r="L13" s="40"/>
    </row>
    <row r="14" spans="1:12" ht="16.5" customHeight="1">
      <c r="A14" s="52"/>
      <c r="B14" s="41">
        <v>11</v>
      </c>
      <c r="C14" s="42" t="s">
        <v>1</v>
      </c>
      <c r="D14" s="43"/>
      <c r="E14" s="43"/>
      <c r="F14" s="43"/>
      <c r="G14" s="44"/>
      <c r="H14" s="44"/>
      <c r="I14" s="44"/>
      <c r="J14" s="45"/>
      <c r="K14" s="16"/>
      <c r="L14" s="17"/>
    </row>
    <row r="15" spans="1:12" ht="16.5" customHeight="1">
      <c r="A15" s="52"/>
      <c r="B15" s="34">
        <v>12</v>
      </c>
      <c r="C15" s="35" t="s">
        <v>0</v>
      </c>
      <c r="D15" s="36"/>
      <c r="E15" s="36"/>
      <c r="F15" s="36"/>
      <c r="G15" s="37"/>
      <c r="H15" s="37"/>
      <c r="I15" s="37"/>
      <c r="J15" s="38"/>
      <c r="K15" s="39"/>
      <c r="L15" s="40"/>
    </row>
    <row r="16" spans="1:12" ht="16.5" customHeight="1">
      <c r="A16" s="52"/>
      <c r="B16" s="41">
        <v>13</v>
      </c>
      <c r="C16" s="42" t="s">
        <v>19</v>
      </c>
      <c r="D16" s="43"/>
      <c r="E16" s="43"/>
      <c r="F16" s="43"/>
      <c r="G16" s="44"/>
      <c r="H16" s="44"/>
      <c r="I16" s="44"/>
      <c r="J16" s="45"/>
      <c r="K16" s="16"/>
      <c r="L16" s="17"/>
    </row>
    <row r="17" spans="1:12" ht="16.5" customHeight="1">
      <c r="A17" s="52"/>
      <c r="B17" s="34">
        <v>14</v>
      </c>
      <c r="C17" s="35" t="s">
        <v>20</v>
      </c>
      <c r="D17" s="36"/>
      <c r="E17" s="36"/>
      <c r="F17" s="36"/>
      <c r="G17" s="37"/>
      <c r="H17" s="37"/>
      <c r="I17" s="37"/>
      <c r="J17" s="38"/>
      <c r="K17" s="39"/>
      <c r="L17" s="40"/>
    </row>
    <row r="18" spans="1:12" ht="16.5" customHeight="1">
      <c r="A18" s="52"/>
      <c r="B18" s="20">
        <v>15</v>
      </c>
      <c r="C18" s="21" t="s">
        <v>14</v>
      </c>
      <c r="D18" s="22"/>
      <c r="E18" s="22"/>
      <c r="F18" s="22"/>
      <c r="G18" s="23"/>
      <c r="H18" s="23"/>
      <c r="I18" s="23"/>
      <c r="J18" s="24"/>
      <c r="K18" s="25"/>
      <c r="L18" s="26"/>
    </row>
    <row r="19" spans="1:12" ht="16.5" customHeight="1">
      <c r="A19" s="52"/>
      <c r="B19" s="53">
        <v>16</v>
      </c>
      <c r="C19" s="54" t="s">
        <v>17</v>
      </c>
      <c r="D19" s="29">
        <v>30000</v>
      </c>
      <c r="E19" s="29" t="s">
        <v>21</v>
      </c>
      <c r="F19" s="55" t="s">
        <v>22</v>
      </c>
      <c r="G19" s="46"/>
      <c r="H19" s="46"/>
      <c r="I19" s="46"/>
      <c r="J19" s="56">
        <v>230000</v>
      </c>
      <c r="K19" s="57">
        <v>30000</v>
      </c>
      <c r="L19" s="50">
        <f>J19-K19</f>
        <v>200000</v>
      </c>
    </row>
    <row r="20" spans="1:12" ht="16.5" customHeight="1">
      <c r="A20" s="52"/>
      <c r="B20" s="52"/>
      <c r="C20" s="52"/>
      <c r="D20" s="36">
        <v>30000</v>
      </c>
      <c r="E20" s="36" t="s">
        <v>23</v>
      </c>
      <c r="F20" s="52"/>
      <c r="G20" s="37"/>
      <c r="H20" s="37"/>
      <c r="I20" s="37"/>
      <c r="J20" s="52"/>
      <c r="K20" s="52"/>
      <c r="L20" s="52"/>
    </row>
    <row r="21" spans="1:12" ht="16.5" customHeight="1">
      <c r="A21" s="52"/>
      <c r="B21" s="51"/>
      <c r="C21" s="51"/>
      <c r="D21" s="22">
        <v>30000</v>
      </c>
      <c r="E21" s="22" t="s">
        <v>24</v>
      </c>
      <c r="F21" s="51"/>
      <c r="G21" s="23"/>
      <c r="H21" s="23"/>
      <c r="I21" s="23"/>
      <c r="J21" s="51"/>
      <c r="K21" s="51"/>
      <c r="L21" s="51"/>
    </row>
    <row r="22" spans="1:12" ht="16.5" customHeight="1">
      <c r="A22" s="52"/>
      <c r="B22" s="53">
        <v>17</v>
      </c>
      <c r="C22" s="54" t="s">
        <v>18</v>
      </c>
      <c r="D22" s="13">
        <v>30000</v>
      </c>
      <c r="E22" s="13" t="s">
        <v>25</v>
      </c>
      <c r="F22" s="55" t="s">
        <v>22</v>
      </c>
      <c r="G22" s="46"/>
      <c r="H22" s="46"/>
      <c r="I22" s="46"/>
      <c r="J22" s="56">
        <v>350000</v>
      </c>
      <c r="K22" s="57">
        <v>70000</v>
      </c>
      <c r="L22" s="50">
        <f>J22-K22</f>
        <v>280000</v>
      </c>
    </row>
    <row r="23" spans="1:12" ht="16.5" customHeight="1">
      <c r="A23" s="52"/>
      <c r="B23" s="52"/>
      <c r="C23" s="52"/>
      <c r="D23" s="36">
        <v>30000</v>
      </c>
      <c r="E23" s="36" t="s">
        <v>26</v>
      </c>
      <c r="F23" s="52"/>
      <c r="G23" s="37"/>
      <c r="H23" s="37"/>
      <c r="I23" s="37"/>
      <c r="J23" s="52"/>
      <c r="K23" s="52"/>
      <c r="L23" s="52"/>
    </row>
    <row r="24" spans="1:12" ht="16.5" customHeight="1">
      <c r="A24" s="52"/>
      <c r="B24" s="52"/>
      <c r="C24" s="52"/>
      <c r="D24" s="36">
        <v>30000</v>
      </c>
      <c r="E24" s="36" t="s">
        <v>15</v>
      </c>
      <c r="F24" s="52"/>
      <c r="G24" s="37"/>
      <c r="H24" s="37"/>
      <c r="I24" s="37"/>
      <c r="J24" s="52"/>
      <c r="K24" s="52"/>
      <c r="L24" s="52"/>
    </row>
    <row r="25" spans="1:12" ht="16.5" customHeight="1">
      <c r="A25" s="52"/>
      <c r="B25" s="51"/>
      <c r="C25" s="51"/>
      <c r="D25" s="22">
        <v>30000</v>
      </c>
      <c r="E25" s="22" t="s">
        <v>27</v>
      </c>
      <c r="F25" s="51"/>
      <c r="G25" s="23"/>
      <c r="H25" s="23"/>
      <c r="I25" s="23"/>
      <c r="J25" s="51"/>
      <c r="K25" s="51"/>
      <c r="L25" s="51"/>
    </row>
    <row r="26" spans="1:12" ht="16.5" customHeight="1">
      <c r="A26" s="52"/>
      <c r="B26" s="6">
        <v>18</v>
      </c>
      <c r="C26" s="7" t="s">
        <v>1</v>
      </c>
      <c r="D26" s="8">
        <v>30000</v>
      </c>
      <c r="E26" s="8" t="s">
        <v>28</v>
      </c>
      <c r="F26" s="8" t="s">
        <v>22</v>
      </c>
      <c r="G26" s="9"/>
      <c r="H26" s="9"/>
      <c r="I26" s="9"/>
      <c r="J26" s="10">
        <f t="shared" ref="J26:J27" si="0">SUM($D$4:D26)-SUM($G$4:G26)</f>
        <v>380000</v>
      </c>
      <c r="K26" s="11">
        <v>80000</v>
      </c>
      <c r="L26" s="12">
        <f t="shared" ref="L26:L28" si="1">J26-K26</f>
        <v>300000</v>
      </c>
    </row>
    <row r="27" spans="1:12" ht="16.5" customHeight="1">
      <c r="A27" s="52"/>
      <c r="B27" s="6">
        <v>19</v>
      </c>
      <c r="C27" s="7" t="s">
        <v>0</v>
      </c>
      <c r="D27" s="8">
        <v>30000</v>
      </c>
      <c r="E27" s="8" t="s">
        <v>29</v>
      </c>
      <c r="F27" s="8" t="s">
        <v>22</v>
      </c>
      <c r="G27" s="9"/>
      <c r="H27" s="9"/>
      <c r="I27" s="9"/>
      <c r="J27" s="10">
        <f t="shared" si="0"/>
        <v>410000</v>
      </c>
      <c r="K27" s="11">
        <v>90000</v>
      </c>
      <c r="L27" s="12">
        <f t="shared" si="1"/>
        <v>320000</v>
      </c>
    </row>
    <row r="28" spans="1:12" ht="16.5" customHeight="1">
      <c r="A28" s="52"/>
      <c r="B28" s="53">
        <v>20</v>
      </c>
      <c r="C28" s="54" t="s">
        <v>19</v>
      </c>
      <c r="D28" s="29">
        <v>30000</v>
      </c>
      <c r="E28" s="29" t="s">
        <v>30</v>
      </c>
      <c r="F28" s="55" t="s">
        <v>22</v>
      </c>
      <c r="G28" s="46"/>
      <c r="H28" s="46"/>
      <c r="I28" s="46"/>
      <c r="J28" s="56">
        <f>SUM(D4:D29)-SUM(G4:G29)</f>
        <v>470000</v>
      </c>
      <c r="K28" s="57">
        <v>110000</v>
      </c>
      <c r="L28" s="50">
        <f t="shared" si="1"/>
        <v>360000</v>
      </c>
    </row>
    <row r="29" spans="1:12" ht="16.5" customHeight="1">
      <c r="A29" s="52"/>
      <c r="B29" s="51"/>
      <c r="C29" s="51"/>
      <c r="D29" s="22">
        <v>30000</v>
      </c>
      <c r="E29" s="22" t="s">
        <v>31</v>
      </c>
      <c r="F29" s="51"/>
      <c r="G29" s="47"/>
      <c r="H29" s="47"/>
      <c r="I29" s="47"/>
      <c r="J29" s="51"/>
      <c r="K29" s="51"/>
      <c r="L29" s="51"/>
    </row>
    <row r="30" spans="1:12" ht="16.5" customHeight="1">
      <c r="A30" s="52"/>
      <c r="B30" s="6">
        <v>21</v>
      </c>
      <c r="C30" s="7" t="s">
        <v>20</v>
      </c>
      <c r="D30" s="8"/>
      <c r="E30" s="8"/>
      <c r="F30" s="8"/>
      <c r="G30" s="9"/>
      <c r="H30" s="9"/>
      <c r="I30" s="9"/>
      <c r="J30" s="10"/>
      <c r="K30" s="11"/>
      <c r="L30" s="12"/>
    </row>
    <row r="31" spans="1:12" ht="16.5" customHeight="1">
      <c r="A31" s="52"/>
      <c r="B31" s="6">
        <v>22</v>
      </c>
      <c r="C31" s="7" t="s">
        <v>14</v>
      </c>
      <c r="D31" s="8">
        <v>30000</v>
      </c>
      <c r="E31" s="8" t="s">
        <v>32</v>
      </c>
      <c r="F31" s="8" t="s">
        <v>22</v>
      </c>
      <c r="G31" s="9"/>
      <c r="H31" s="9"/>
      <c r="I31" s="9"/>
      <c r="J31" s="10">
        <f>SUM($D$4:D31)-SUM($G$4:G31)</f>
        <v>500000</v>
      </c>
      <c r="K31" s="11">
        <v>120000</v>
      </c>
      <c r="L31" s="12">
        <f t="shared" ref="L31:L32" si="2">J31-K31</f>
        <v>380000</v>
      </c>
    </row>
    <row r="32" spans="1:12" ht="16.5" customHeight="1">
      <c r="A32" s="52"/>
      <c r="B32" s="53">
        <v>23</v>
      </c>
      <c r="C32" s="54" t="s">
        <v>17</v>
      </c>
      <c r="D32" s="29">
        <v>30000</v>
      </c>
      <c r="E32" s="29" t="s">
        <v>33</v>
      </c>
      <c r="F32" s="55" t="s">
        <v>22</v>
      </c>
      <c r="G32" s="30"/>
      <c r="H32" s="30"/>
      <c r="I32" s="30"/>
      <c r="J32" s="56">
        <f>SUM(D4:D33)-SUM(G4:G33)</f>
        <v>560000</v>
      </c>
      <c r="K32" s="57">
        <v>140000</v>
      </c>
      <c r="L32" s="50">
        <f t="shared" si="2"/>
        <v>420000</v>
      </c>
    </row>
    <row r="33" spans="1:12" ht="16.5" customHeight="1">
      <c r="A33" s="52"/>
      <c r="B33" s="51"/>
      <c r="C33" s="51"/>
      <c r="D33" s="22">
        <v>30000</v>
      </c>
      <c r="E33" s="22" t="s">
        <v>34</v>
      </c>
      <c r="F33" s="51"/>
      <c r="G33" s="23"/>
      <c r="H33" s="23"/>
      <c r="I33" s="23"/>
      <c r="J33" s="51"/>
      <c r="K33" s="51"/>
      <c r="L33" s="51"/>
    </row>
    <row r="34" spans="1:12" ht="16.5" customHeight="1">
      <c r="A34" s="52"/>
      <c r="B34" s="53">
        <v>24</v>
      </c>
      <c r="C34" s="54" t="s">
        <v>18</v>
      </c>
      <c r="D34" s="13">
        <v>30000</v>
      </c>
      <c r="E34" s="13" t="s">
        <v>35</v>
      </c>
      <c r="F34" s="55" t="s">
        <v>22</v>
      </c>
      <c r="G34" s="30"/>
      <c r="H34" s="30"/>
      <c r="I34" s="30"/>
      <c r="J34" s="56">
        <f>SUM(D4:D36)-SUM(G4:G36)</f>
        <v>590009</v>
      </c>
      <c r="K34" s="57">
        <v>160000</v>
      </c>
      <c r="L34" s="50">
        <f>J34-K34</f>
        <v>430009</v>
      </c>
    </row>
    <row r="35" spans="1:12" ht="16.5" customHeight="1">
      <c r="A35" s="52"/>
      <c r="B35" s="52"/>
      <c r="C35" s="52"/>
      <c r="D35" s="36">
        <v>30000</v>
      </c>
      <c r="E35" s="36" t="s">
        <v>36</v>
      </c>
      <c r="F35" s="51"/>
      <c r="G35" s="23"/>
      <c r="H35" s="23"/>
      <c r="I35" s="23"/>
      <c r="J35" s="52"/>
      <c r="K35" s="52"/>
      <c r="L35" s="52"/>
    </row>
    <row r="36" spans="1:12" ht="16.5" customHeight="1">
      <c r="A36" s="52"/>
      <c r="B36" s="51"/>
      <c r="C36" s="51"/>
      <c r="D36" s="22">
        <v>9</v>
      </c>
      <c r="E36" s="22" t="s">
        <v>37</v>
      </c>
      <c r="F36" s="8" t="s">
        <v>38</v>
      </c>
      <c r="G36" s="9">
        <v>30000</v>
      </c>
      <c r="H36" s="9" t="s">
        <v>40</v>
      </c>
      <c r="I36" s="9" t="s">
        <v>41</v>
      </c>
      <c r="J36" s="51"/>
      <c r="K36" s="51"/>
      <c r="L36" s="51"/>
    </row>
    <row r="37" spans="1:12" ht="16.5" customHeight="1">
      <c r="A37" s="52"/>
      <c r="B37" s="53">
        <v>25</v>
      </c>
      <c r="C37" s="54" t="s">
        <v>1</v>
      </c>
      <c r="D37" s="13">
        <v>30000</v>
      </c>
      <c r="E37" s="13" t="s">
        <v>39</v>
      </c>
      <c r="F37" s="55" t="s">
        <v>22</v>
      </c>
      <c r="G37" s="46"/>
      <c r="H37" s="46"/>
      <c r="I37" s="46"/>
      <c r="J37" s="56">
        <f>SUM(D4:D57)-SUM(G4:G57)</f>
        <v>1220009</v>
      </c>
      <c r="K37" s="57">
        <v>370000</v>
      </c>
      <c r="L37" s="50">
        <f>J37-K37</f>
        <v>850009</v>
      </c>
    </row>
    <row r="38" spans="1:12" ht="16.5" customHeight="1">
      <c r="A38" s="52"/>
      <c r="B38" s="52"/>
      <c r="C38" s="52"/>
      <c r="D38" s="36">
        <v>30000</v>
      </c>
      <c r="E38" s="36" t="s">
        <v>42</v>
      </c>
      <c r="F38" s="52"/>
      <c r="G38" s="37"/>
      <c r="H38" s="37"/>
      <c r="I38" s="37"/>
      <c r="J38" s="52"/>
      <c r="K38" s="61"/>
      <c r="L38" s="64"/>
    </row>
    <row r="39" spans="1:12" ht="16.5" customHeight="1">
      <c r="A39" s="52"/>
      <c r="B39" s="52"/>
      <c r="C39" s="52"/>
      <c r="D39" s="43">
        <v>30000</v>
      </c>
      <c r="E39" s="43" t="s">
        <v>43</v>
      </c>
      <c r="F39" s="52"/>
      <c r="G39" s="44"/>
      <c r="H39" s="44"/>
      <c r="I39" s="44"/>
      <c r="J39" s="52"/>
      <c r="K39" s="61"/>
      <c r="L39" s="64"/>
    </row>
    <row r="40" spans="1:12" ht="16.5" customHeight="1">
      <c r="A40" s="52"/>
      <c r="B40" s="52"/>
      <c r="C40" s="52"/>
      <c r="D40" s="36">
        <v>30000</v>
      </c>
      <c r="E40" s="36" t="s">
        <v>44</v>
      </c>
      <c r="F40" s="52"/>
      <c r="G40" s="37"/>
      <c r="H40" s="37"/>
      <c r="I40" s="37"/>
      <c r="J40" s="52"/>
      <c r="K40" s="61"/>
      <c r="L40" s="64"/>
    </row>
    <row r="41" spans="1:12" ht="16.5" customHeight="1">
      <c r="A41" s="52"/>
      <c r="B41" s="52"/>
      <c r="C41" s="52"/>
      <c r="D41" s="43">
        <v>30000</v>
      </c>
      <c r="E41" s="43" t="s">
        <v>45</v>
      </c>
      <c r="F41" s="52"/>
      <c r="G41" s="44"/>
      <c r="H41" s="44"/>
      <c r="I41" s="44"/>
      <c r="J41" s="52"/>
      <c r="K41" s="61"/>
      <c r="L41" s="64"/>
    </row>
    <row r="42" spans="1:12" ht="16.5" customHeight="1">
      <c r="A42" s="52"/>
      <c r="B42" s="52"/>
      <c r="C42" s="52"/>
      <c r="D42" s="36">
        <v>30000</v>
      </c>
      <c r="E42" s="36" t="s">
        <v>46</v>
      </c>
      <c r="F42" s="52"/>
      <c r="G42" s="37"/>
      <c r="H42" s="37"/>
      <c r="I42" s="37"/>
      <c r="J42" s="52"/>
      <c r="K42" s="61"/>
      <c r="L42" s="64"/>
    </row>
    <row r="43" spans="1:12" ht="16.5" customHeight="1">
      <c r="A43" s="52"/>
      <c r="B43" s="52"/>
      <c r="C43" s="52"/>
      <c r="D43" s="49">
        <v>30000</v>
      </c>
      <c r="E43" s="49" t="s">
        <v>47</v>
      </c>
      <c r="F43" s="59"/>
      <c r="G43" s="48"/>
      <c r="H43" s="48"/>
      <c r="I43" s="48"/>
      <c r="J43" s="52"/>
      <c r="K43" s="61"/>
      <c r="L43" s="64"/>
    </row>
    <row r="44" spans="1:12" ht="16.5" customHeight="1">
      <c r="A44" s="52"/>
      <c r="B44" s="52"/>
      <c r="C44" s="52"/>
      <c r="D44" s="43">
        <v>30000</v>
      </c>
      <c r="E44" s="43" t="s">
        <v>48</v>
      </c>
      <c r="F44" s="60" t="s">
        <v>49</v>
      </c>
      <c r="G44" s="44"/>
      <c r="H44" s="44"/>
      <c r="I44" s="44"/>
      <c r="J44" s="52"/>
      <c r="K44" s="61"/>
      <c r="L44" s="64"/>
    </row>
    <row r="45" spans="1:12" ht="16.5" customHeight="1">
      <c r="A45" s="52"/>
      <c r="B45" s="52"/>
      <c r="C45" s="52"/>
      <c r="D45" s="36">
        <v>30000</v>
      </c>
      <c r="E45" s="36" t="s">
        <v>50</v>
      </c>
      <c r="F45" s="52"/>
      <c r="G45" s="37"/>
      <c r="H45" s="37"/>
      <c r="I45" s="37"/>
      <c r="J45" s="52"/>
      <c r="K45" s="61"/>
      <c r="L45" s="64"/>
    </row>
    <row r="46" spans="1:12" ht="16.5" customHeight="1">
      <c r="A46" s="52"/>
      <c r="B46" s="52"/>
      <c r="C46" s="52"/>
      <c r="D46" s="43">
        <v>30000</v>
      </c>
      <c r="E46" s="43" t="s">
        <v>51</v>
      </c>
      <c r="F46" s="52"/>
      <c r="G46" s="48"/>
      <c r="H46" s="48"/>
      <c r="I46" s="48"/>
      <c r="J46" s="52"/>
      <c r="K46" s="61"/>
      <c r="L46" s="64"/>
    </row>
    <row r="47" spans="1:12" ht="16.5" customHeight="1">
      <c r="A47" s="52"/>
      <c r="B47" s="52"/>
      <c r="C47" s="52"/>
      <c r="D47" s="36">
        <v>30000</v>
      </c>
      <c r="E47" s="36" t="s">
        <v>52</v>
      </c>
      <c r="F47" s="52"/>
      <c r="G47" s="48"/>
      <c r="H47" s="48"/>
      <c r="I47" s="48"/>
      <c r="J47" s="52"/>
      <c r="K47" s="61"/>
      <c r="L47" s="64"/>
    </row>
    <row r="48" spans="1:12" ht="16.5" customHeight="1">
      <c r="A48" s="52"/>
      <c r="B48" s="52"/>
      <c r="C48" s="52"/>
      <c r="D48" s="43">
        <v>30000</v>
      </c>
      <c r="E48" s="43" t="s">
        <v>53</v>
      </c>
      <c r="F48" s="52"/>
      <c r="G48" s="44"/>
      <c r="H48" s="44"/>
      <c r="I48" s="44"/>
      <c r="J48" s="52"/>
      <c r="K48" s="61"/>
      <c r="L48" s="64"/>
    </row>
    <row r="49" spans="1:12" ht="16.5" customHeight="1">
      <c r="A49" s="52"/>
      <c r="B49" s="52"/>
      <c r="C49" s="52"/>
      <c r="D49" s="36">
        <v>30000</v>
      </c>
      <c r="E49" s="36" t="s">
        <v>54</v>
      </c>
      <c r="F49" s="52"/>
      <c r="G49" s="37"/>
      <c r="H49" s="37"/>
      <c r="I49" s="37"/>
      <c r="J49" s="52"/>
      <c r="K49" s="61"/>
      <c r="L49" s="64"/>
    </row>
    <row r="50" spans="1:12" ht="16.5" customHeight="1">
      <c r="A50" s="52"/>
      <c r="B50" s="52"/>
      <c r="C50" s="52"/>
      <c r="D50" s="43">
        <v>30000</v>
      </c>
      <c r="E50" s="43" t="s">
        <v>55</v>
      </c>
      <c r="F50" s="52"/>
      <c r="G50" s="48"/>
      <c r="H50" s="48"/>
      <c r="I50" s="48"/>
      <c r="J50" s="52"/>
      <c r="K50" s="61"/>
      <c r="L50" s="64"/>
    </row>
    <row r="51" spans="1:12" ht="16.5" customHeight="1">
      <c r="A51" s="52"/>
      <c r="B51" s="52"/>
      <c r="C51" s="52"/>
      <c r="D51" s="36">
        <v>30000</v>
      </c>
      <c r="E51" s="36" t="s">
        <v>56</v>
      </c>
      <c r="F51" s="52"/>
      <c r="G51" s="48"/>
      <c r="H51" s="48"/>
      <c r="I51" s="48"/>
      <c r="J51" s="52"/>
      <c r="K51" s="61"/>
      <c r="L51" s="64"/>
    </row>
    <row r="52" spans="1:12" ht="16.5" customHeight="1">
      <c r="A52" s="52"/>
      <c r="B52" s="52"/>
      <c r="C52" s="52"/>
      <c r="D52" s="43">
        <v>30000</v>
      </c>
      <c r="E52" s="43" t="s">
        <v>57</v>
      </c>
      <c r="F52" s="52"/>
      <c r="G52" s="44"/>
      <c r="H52" s="44"/>
      <c r="I52" s="44"/>
      <c r="J52" s="52"/>
      <c r="K52" s="61"/>
      <c r="L52" s="64"/>
    </row>
    <row r="53" spans="1:12" ht="16.5" customHeight="1">
      <c r="A53" s="52"/>
      <c r="B53" s="52"/>
      <c r="C53" s="52"/>
      <c r="D53" s="36">
        <v>30000</v>
      </c>
      <c r="E53" s="36" t="s">
        <v>58</v>
      </c>
      <c r="F53" s="52"/>
      <c r="G53" s="37"/>
      <c r="H53" s="37"/>
      <c r="I53" s="37"/>
      <c r="J53" s="52"/>
      <c r="K53" s="61"/>
      <c r="L53" s="64"/>
    </row>
    <row r="54" spans="1:12" ht="16.5" customHeight="1">
      <c r="A54" s="52"/>
      <c r="B54" s="52"/>
      <c r="C54" s="52"/>
      <c r="D54" s="43">
        <v>30000</v>
      </c>
      <c r="E54" s="43" t="s">
        <v>59</v>
      </c>
      <c r="F54" s="52"/>
      <c r="G54" s="48"/>
      <c r="H54" s="48"/>
      <c r="I54" s="48"/>
      <c r="J54" s="52"/>
      <c r="K54" s="61"/>
      <c r="L54" s="64"/>
    </row>
    <row r="55" spans="1:12" ht="16.5" customHeight="1">
      <c r="A55" s="52"/>
      <c r="B55" s="52"/>
      <c r="C55" s="52"/>
      <c r="D55" s="36">
        <v>30000</v>
      </c>
      <c r="E55" s="36" t="s">
        <v>60</v>
      </c>
      <c r="F55" s="52"/>
      <c r="G55" s="48"/>
      <c r="H55" s="48"/>
      <c r="I55" s="48"/>
      <c r="J55" s="52"/>
      <c r="K55" s="61"/>
      <c r="L55" s="64"/>
    </row>
    <row r="56" spans="1:12" ht="16.5" customHeight="1">
      <c r="A56" s="52"/>
      <c r="B56" s="52"/>
      <c r="C56" s="52"/>
      <c r="D56" s="36">
        <v>30000</v>
      </c>
      <c r="E56" s="36" t="s">
        <v>61</v>
      </c>
      <c r="F56" s="52"/>
      <c r="G56" s="37"/>
      <c r="H56" s="37"/>
      <c r="I56" s="37"/>
      <c r="J56" s="52"/>
      <c r="K56" s="61"/>
      <c r="L56" s="64"/>
    </row>
    <row r="57" spans="1:12" ht="16.5" customHeight="1">
      <c r="A57" s="52"/>
      <c r="B57" s="51"/>
      <c r="C57" s="51"/>
      <c r="D57" s="22">
        <v>30000</v>
      </c>
      <c r="E57" s="22" t="s">
        <v>62</v>
      </c>
      <c r="F57" s="51"/>
      <c r="G57" s="23"/>
      <c r="H57" s="23"/>
      <c r="I57" s="23"/>
      <c r="J57" s="51"/>
      <c r="K57" s="61"/>
      <c r="L57" s="65"/>
    </row>
    <row r="58" spans="1:12" ht="16.5" customHeight="1">
      <c r="A58" s="52"/>
      <c r="B58" s="53">
        <v>26</v>
      </c>
      <c r="C58" s="54" t="s">
        <v>0</v>
      </c>
      <c r="D58" s="29">
        <v>30000</v>
      </c>
      <c r="E58" s="29" t="s">
        <v>63</v>
      </c>
      <c r="F58" s="55" t="s">
        <v>49</v>
      </c>
      <c r="G58" s="30"/>
      <c r="H58" s="30"/>
      <c r="I58" s="30"/>
      <c r="J58" s="56">
        <f>SUM(D4:D59)-SUM(G4:G59)</f>
        <v>1280009</v>
      </c>
      <c r="K58" s="62">
        <v>390000</v>
      </c>
      <c r="L58" s="66">
        <f>J58-K58</f>
        <v>890009</v>
      </c>
    </row>
    <row r="59" spans="1:12" ht="16.5" customHeight="1">
      <c r="A59" s="52"/>
      <c r="B59" s="51"/>
      <c r="C59" s="51"/>
      <c r="D59" s="22">
        <v>30000</v>
      </c>
      <c r="E59" s="22" t="s">
        <v>64</v>
      </c>
      <c r="F59" s="51"/>
      <c r="G59" s="23"/>
      <c r="H59" s="23"/>
      <c r="I59" s="23"/>
      <c r="J59" s="51"/>
      <c r="K59" s="63"/>
      <c r="L59" s="67"/>
    </row>
    <row r="60" spans="1:12" ht="16.5" customHeight="1">
      <c r="A60" s="52"/>
      <c r="B60" s="6">
        <v>27</v>
      </c>
      <c r="C60" s="7" t="s">
        <v>19</v>
      </c>
      <c r="D60" s="8"/>
      <c r="E60" s="8"/>
      <c r="F60" s="8"/>
      <c r="G60" s="9">
        <v>250000</v>
      </c>
      <c r="H60" s="9" t="s">
        <v>65</v>
      </c>
      <c r="I60" s="9" t="s">
        <v>66</v>
      </c>
      <c r="J60" s="10">
        <f>SUM(D4:D60)-SUM(G4:G60)</f>
        <v>1030009</v>
      </c>
      <c r="K60" s="19">
        <f>K58</f>
        <v>390000</v>
      </c>
      <c r="L60" s="12">
        <f>J60-K60</f>
        <v>640009</v>
      </c>
    </row>
    <row r="61" spans="1:12" ht="16.5" customHeight="1">
      <c r="A61" s="52"/>
      <c r="B61" s="27">
        <v>28</v>
      </c>
      <c r="C61" s="28" t="s">
        <v>20</v>
      </c>
      <c r="D61" s="29"/>
      <c r="E61" s="29"/>
      <c r="F61" s="29"/>
      <c r="G61" s="30"/>
      <c r="H61" s="30"/>
      <c r="I61" s="30"/>
      <c r="J61" s="31"/>
      <c r="K61" s="32"/>
      <c r="L61" s="33"/>
    </row>
    <row r="62" spans="1:12" ht="16.5" customHeight="1">
      <c r="A62" s="51"/>
      <c r="B62" s="20">
        <v>29</v>
      </c>
      <c r="C62" s="21" t="s">
        <v>14</v>
      </c>
      <c r="D62" s="22"/>
      <c r="E62" s="22"/>
      <c r="F62" s="22"/>
      <c r="G62" s="23"/>
      <c r="H62" s="23"/>
      <c r="I62" s="23"/>
      <c r="J62" s="24"/>
      <c r="K62" s="25"/>
      <c r="L62" s="26"/>
    </row>
    <row r="63" spans="1:12" ht="16.5" customHeight="1">
      <c r="A63" s="78" t="s">
        <v>67</v>
      </c>
      <c r="B63" s="69"/>
      <c r="C63" s="70"/>
      <c r="D63" s="68">
        <f>SUM(D4:D62)</f>
        <v>1310009</v>
      </c>
      <c r="E63" s="69"/>
      <c r="F63" s="70"/>
      <c r="G63" s="74">
        <f>SUM(G4:G62)</f>
        <v>280000</v>
      </c>
      <c r="H63" s="69"/>
      <c r="I63" s="70"/>
      <c r="J63" s="75">
        <f>J60</f>
        <v>1030009</v>
      </c>
      <c r="K63" s="76">
        <f>K60</f>
        <v>390000</v>
      </c>
      <c r="L63" s="58">
        <f>L60</f>
        <v>640009</v>
      </c>
    </row>
    <row r="64" spans="1:12" ht="16.5" customHeight="1">
      <c r="A64" s="71"/>
      <c r="B64" s="72"/>
      <c r="C64" s="73"/>
      <c r="D64" s="71"/>
      <c r="E64" s="72"/>
      <c r="F64" s="73"/>
      <c r="G64" s="71"/>
      <c r="H64" s="72"/>
      <c r="I64" s="73"/>
      <c r="J64" s="51"/>
      <c r="K64" s="51"/>
      <c r="L64" s="51"/>
    </row>
    <row r="65" s="18" customFormat="1" ht="16.5" customHeight="1"/>
    <row r="66" s="18" customFormat="1" ht="16.5" customHeight="1"/>
    <row r="67" s="18" customFormat="1" ht="16.5" customHeight="1"/>
    <row r="68" s="18" customFormat="1" ht="16.5" customHeight="1"/>
    <row r="69" s="18" customFormat="1" ht="16.5" customHeight="1"/>
    <row r="70" s="18" customFormat="1" ht="16.5" customHeight="1"/>
    <row r="71" s="18" customFormat="1" ht="16.5" customHeight="1"/>
    <row r="72" s="18" customFormat="1" ht="16.5" customHeight="1"/>
    <row r="73" s="18" customFormat="1" ht="16.5" customHeight="1"/>
    <row r="74" s="18" customFormat="1" ht="16.5" customHeight="1"/>
    <row r="75" s="18" customFormat="1" ht="16.5" customHeight="1"/>
    <row r="76" s="18" customFormat="1" ht="16.5" customHeight="1"/>
    <row r="77" s="18" customFormat="1" ht="16.5" customHeight="1"/>
    <row r="78" s="18" customFormat="1" ht="16.5" customHeight="1"/>
    <row r="79" s="18" customFormat="1" ht="16.5" customHeight="1"/>
    <row r="80" s="18" customFormat="1" ht="16.5" customHeight="1"/>
    <row r="81" s="18" customFormat="1" ht="16.5" customHeight="1"/>
    <row r="82" s="18" customFormat="1" ht="16.5" customHeight="1"/>
    <row r="83" s="18" customFormat="1" ht="16.5" customHeight="1"/>
    <row r="84" s="18" customFormat="1" ht="16.5" customHeight="1"/>
    <row r="85" s="18" customFormat="1" ht="16.5" customHeight="1"/>
    <row r="86" s="18" customFormat="1" ht="16.5" customHeight="1"/>
    <row r="87" s="18" customFormat="1" ht="16.5" customHeight="1"/>
    <row r="88" s="18" customFormat="1" ht="16.5" customHeight="1"/>
    <row r="89" s="18" customFormat="1" ht="16.5" customHeight="1"/>
    <row r="90" s="18" customFormat="1" ht="16.5" customHeight="1"/>
    <row r="91" s="18" customFormat="1" ht="16.5" customHeight="1"/>
    <row r="92" s="18" customFormat="1" ht="16.5" customHeight="1"/>
    <row r="93" s="18" customFormat="1" ht="16.5" customHeight="1"/>
    <row r="94" s="18" customFormat="1" ht="16.5" customHeight="1"/>
    <row r="95" s="18" customFormat="1" ht="16.5" customHeight="1"/>
    <row r="96" s="18" customFormat="1" ht="16.5" customHeight="1"/>
    <row r="97" s="18" customFormat="1" ht="16.5" customHeight="1"/>
    <row r="98" s="18" customFormat="1" ht="16.5" customHeight="1"/>
    <row r="99" s="18" customFormat="1" ht="16.5" customHeight="1"/>
    <row r="100" s="18" customFormat="1" ht="16.5" customHeight="1"/>
    <row r="101" s="18" customFormat="1" ht="16.5" customHeight="1"/>
    <row r="102" s="18" customFormat="1" ht="16.5" customHeight="1"/>
    <row r="103" s="18" customFormat="1" ht="16.5" customHeight="1"/>
    <row r="104" s="18" customFormat="1" ht="16.5" customHeight="1"/>
    <row r="105" s="18" customFormat="1" ht="16.5" customHeight="1"/>
    <row r="106" s="18" customFormat="1" ht="16.5" customHeight="1"/>
    <row r="107" s="18" customFormat="1" ht="16.5" customHeight="1"/>
    <row r="108" s="18" customFormat="1" ht="16.5" customHeight="1"/>
    <row r="109" s="18" customFormat="1" ht="16.5" customHeight="1"/>
    <row r="110" s="18" customFormat="1" ht="16.5" customHeight="1"/>
    <row r="111" s="18" customFormat="1" ht="16.5" customHeight="1"/>
    <row r="112" s="18" customFormat="1" ht="16.5" customHeight="1"/>
    <row r="113" s="18" customFormat="1" ht="16.5" customHeight="1"/>
    <row r="114" s="18" customFormat="1" ht="16.5" customHeight="1"/>
    <row r="115" s="18" customFormat="1" ht="16.5" customHeight="1"/>
    <row r="116" s="18" customFormat="1" ht="16.5" customHeight="1"/>
    <row r="117" s="18" customFormat="1" ht="16.5" customHeight="1"/>
    <row r="118" s="18" customFormat="1" ht="16.5" customHeight="1"/>
    <row r="119" s="18" customFormat="1" ht="16.5" customHeight="1"/>
    <row r="120" s="18" customFormat="1" ht="16.5" customHeight="1"/>
    <row r="121" s="18" customFormat="1" ht="16.5" customHeight="1"/>
    <row r="122" s="18" customFormat="1" ht="16.5" customHeight="1"/>
    <row r="123" s="18" customFormat="1" ht="16.5" customHeight="1"/>
    <row r="124" s="18" customFormat="1" ht="16.5" customHeight="1"/>
    <row r="125" s="18" customFormat="1" ht="16.5" customHeight="1"/>
    <row r="126" s="18" customFormat="1" ht="16.5" customHeight="1"/>
    <row r="127" s="18" customFormat="1" ht="16.5" customHeight="1"/>
    <row r="128" s="18" customFormat="1" ht="16.5" customHeight="1"/>
    <row r="129" s="18" customFormat="1" ht="16.5" customHeight="1"/>
    <row r="130" s="18" customFormat="1" ht="16.5" customHeight="1"/>
    <row r="131" s="18" customFormat="1" ht="16.5" customHeight="1"/>
    <row r="132" s="18" customFormat="1" ht="16.5" customHeight="1"/>
    <row r="133" s="18" customFormat="1" ht="16.5" customHeight="1"/>
    <row r="134" s="18" customFormat="1" ht="16.5" customHeight="1"/>
    <row r="135" s="18" customFormat="1" ht="16.5" customHeight="1"/>
    <row r="136" s="18" customFormat="1" ht="16.5" customHeight="1"/>
    <row r="137" s="18" customFormat="1" ht="16.5" customHeight="1"/>
    <row r="138" s="18" customFormat="1" ht="16.5" customHeight="1"/>
    <row r="139" s="18" customFormat="1" ht="16.5" customHeight="1"/>
    <row r="140" s="18" customFormat="1" ht="16.5" customHeight="1"/>
    <row r="141" s="18" customFormat="1" ht="16.5" customHeight="1"/>
    <row r="142" s="18" customFormat="1" ht="16.5" customHeight="1"/>
    <row r="143" s="18" customFormat="1" ht="16.5" customHeight="1"/>
    <row r="144" s="18" customFormat="1" ht="16.5" customHeight="1"/>
    <row r="145" s="18" customFormat="1" ht="16.5" customHeight="1"/>
    <row r="146" s="18" customFormat="1" ht="16.5" customHeight="1"/>
    <row r="147" s="18" customFormat="1" ht="16.5" customHeight="1"/>
    <row r="148" s="18" customFormat="1" ht="16.5" customHeight="1"/>
    <row r="149" s="18" customFormat="1" ht="16.5" customHeight="1"/>
    <row r="150" s="18" customFormat="1" ht="16.5" customHeight="1"/>
    <row r="151" s="18" customFormat="1" ht="16.5" customHeight="1"/>
    <row r="152" s="18" customFormat="1" ht="16.5" customHeight="1"/>
    <row r="153" s="18" customFormat="1" ht="16.5" customHeight="1"/>
    <row r="154" s="18" customFormat="1" ht="16.5" customHeight="1"/>
    <row r="155" s="18" customFormat="1" ht="16.5" customHeight="1"/>
    <row r="156" s="18" customFormat="1" ht="16.5" customHeight="1"/>
    <row r="157" s="18" customFormat="1" ht="16.5" customHeight="1"/>
    <row r="158" s="18" customFormat="1" ht="16.5" customHeight="1"/>
    <row r="159" s="18" customFormat="1" ht="16.5" customHeight="1"/>
    <row r="160" s="18" customFormat="1" ht="16.5" customHeight="1"/>
    <row r="161" s="18" customFormat="1" ht="16.5" customHeight="1"/>
    <row r="162" s="18" customFormat="1" ht="16.5" customHeight="1"/>
    <row r="163" s="18" customFormat="1" ht="16.5" customHeight="1"/>
    <row r="164" s="18" customFormat="1" ht="16.5" customHeight="1"/>
    <row r="165" s="18" customFormat="1" ht="16.5" customHeight="1"/>
    <row r="166" s="18" customFormat="1" ht="16.5" customHeight="1"/>
    <row r="167" s="18" customFormat="1" ht="16.5" customHeight="1"/>
    <row r="168" s="18" customFormat="1" ht="16.5" customHeight="1"/>
    <row r="169" s="18" customFormat="1" ht="16.5" customHeight="1"/>
    <row r="170" s="18" customFormat="1" ht="16.5" customHeight="1"/>
    <row r="171" s="18" customFormat="1" ht="16.5" customHeight="1"/>
    <row r="172" s="18" customFormat="1" ht="16.5" customHeight="1"/>
    <row r="173" s="18" customFormat="1" ht="16.5" customHeight="1"/>
    <row r="174" s="18" customFormat="1" ht="16.5" customHeight="1"/>
    <row r="175" s="18" customFormat="1" ht="16.5" customHeight="1"/>
    <row r="176" s="18" customFormat="1" ht="16.5" customHeight="1"/>
    <row r="177" s="18" customFormat="1" ht="16.5" customHeight="1"/>
    <row r="178" s="18" customFormat="1" ht="16.5" customHeight="1"/>
    <row r="179" s="18" customFormat="1" ht="16.5" customHeight="1"/>
    <row r="180" s="18" customFormat="1" ht="16.5" customHeight="1"/>
    <row r="181" s="18" customFormat="1" ht="16.5" customHeight="1"/>
    <row r="182" s="18" customFormat="1" ht="16.5" customHeight="1"/>
    <row r="183" s="18" customFormat="1" ht="16.5" customHeight="1"/>
    <row r="184" s="18" customFormat="1" ht="16.5" customHeight="1"/>
    <row r="185" s="18" customFormat="1" ht="16.5" customHeight="1"/>
    <row r="186" s="18" customFormat="1" ht="16.5" customHeight="1"/>
    <row r="187" s="18" customFormat="1" ht="16.5" customHeight="1"/>
    <row r="188" s="18" customFormat="1" ht="16.5" customHeight="1"/>
    <row r="189" s="18" customFormat="1" ht="16.5" customHeight="1"/>
    <row r="190" s="18" customFormat="1" ht="16.5" customHeight="1"/>
    <row r="191" s="18" customFormat="1" ht="16.5" customHeight="1"/>
    <row r="192" s="18" customFormat="1" ht="16.5" customHeight="1"/>
    <row r="193" s="18" customFormat="1" ht="16.5" customHeight="1"/>
    <row r="194" s="18" customFormat="1" ht="16.5" customHeight="1"/>
    <row r="195" s="18" customFormat="1" ht="16.5" customHeight="1"/>
    <row r="196" s="18" customFormat="1" ht="16.5" customHeight="1"/>
    <row r="197" s="18" customFormat="1" ht="16.5" customHeight="1"/>
    <row r="198" s="18" customFormat="1" ht="16.5" customHeight="1"/>
    <row r="199" s="18" customFormat="1" ht="16.5" customHeight="1"/>
    <row r="200" s="18" customFormat="1" ht="16.5" customHeight="1"/>
    <row r="201" s="18" customFormat="1" ht="16.5" customHeight="1"/>
    <row r="202" s="18" customFormat="1" ht="16.5" customHeight="1"/>
    <row r="203" s="18" customFormat="1" ht="16.5" customHeight="1"/>
    <row r="204" s="18" customFormat="1" ht="16.5" customHeight="1"/>
    <row r="205" s="18" customFormat="1" ht="16.5" customHeight="1"/>
    <row r="206" s="18" customFormat="1" ht="16.5" customHeight="1"/>
    <row r="207" s="18" customFormat="1" ht="16.5" customHeight="1"/>
    <row r="208" s="18" customFormat="1" ht="16.5" customHeight="1"/>
    <row r="209" s="18" customFormat="1" ht="16.5" customHeight="1"/>
    <row r="210" s="18" customFormat="1" ht="16.5" customHeight="1"/>
    <row r="211" s="18" customFormat="1" ht="16.5" customHeight="1"/>
    <row r="212" s="18" customFormat="1" ht="16.5" customHeight="1"/>
    <row r="213" s="18" customFormat="1" ht="16.5" customHeight="1"/>
    <row r="214" s="18" customFormat="1" ht="16.5" customHeight="1"/>
    <row r="215" s="18" customFormat="1" ht="16.5" customHeight="1"/>
    <row r="216" s="18" customFormat="1" ht="16.5" customHeight="1"/>
    <row r="217" s="18" customFormat="1" ht="16.5" customHeight="1"/>
    <row r="218" s="18" customFormat="1" ht="16.5" customHeight="1"/>
    <row r="219" s="18" customFormat="1" ht="16.5" customHeight="1"/>
    <row r="220" s="18" customFormat="1" ht="16.5" customHeight="1"/>
    <row r="221" s="18" customFormat="1" ht="16.5" customHeight="1"/>
    <row r="222" s="18" customFormat="1" ht="16.5" customHeight="1"/>
    <row r="223" s="18" customFormat="1" ht="16.5" customHeight="1"/>
    <row r="224" s="18" customFormat="1" ht="16.5" customHeight="1"/>
    <row r="225" s="18" customFormat="1" ht="16.5" customHeight="1"/>
    <row r="226" s="18" customFormat="1" ht="16.5" customHeight="1"/>
    <row r="227" s="18" customFormat="1" ht="16.5" customHeight="1"/>
    <row r="228" s="18" customFormat="1" ht="16.5" customHeight="1"/>
    <row r="229" s="18" customFormat="1" ht="16.5" customHeight="1"/>
    <row r="230" s="18" customFormat="1" ht="16.5" customHeight="1"/>
    <row r="231" s="18" customFormat="1" ht="16.5" customHeight="1"/>
    <row r="232" s="18" customFormat="1" ht="16.5" customHeight="1"/>
    <row r="233" s="18" customFormat="1" ht="16.5" customHeight="1"/>
    <row r="234" s="18" customFormat="1" ht="16.5" customHeight="1"/>
    <row r="235" s="18" customFormat="1" ht="16.5" customHeight="1"/>
    <row r="236" s="18" customFormat="1" ht="16.5" customHeight="1"/>
    <row r="237" s="18" customFormat="1" ht="16.5" customHeight="1"/>
    <row r="238" s="18" customFormat="1" ht="16.5" customHeight="1"/>
    <row r="239" s="18" customFormat="1" ht="16.5" customHeight="1"/>
    <row r="240" s="18" customFormat="1" ht="16.5" customHeight="1"/>
    <row r="241" s="18" customFormat="1" ht="16.5" customHeight="1"/>
    <row r="242" s="18" customFormat="1" ht="16.5" customHeight="1"/>
    <row r="243" s="18" customFormat="1" ht="16.5" customHeight="1"/>
    <row r="244" s="18" customFormat="1" ht="16.5" customHeight="1"/>
    <row r="245" s="18" customFormat="1" ht="16.5" customHeight="1"/>
    <row r="246" s="18" customFormat="1" ht="16.5" customHeight="1"/>
    <row r="247" s="18" customFormat="1" ht="16.5" customHeight="1"/>
    <row r="248" s="18" customFormat="1" ht="16.5" customHeight="1"/>
    <row r="249" s="18" customFormat="1" ht="16.5" customHeight="1"/>
    <row r="250" s="18" customFormat="1" ht="16.5" customHeight="1"/>
    <row r="251" s="18" customFormat="1" ht="16.5" customHeight="1"/>
    <row r="252" s="18" customFormat="1" ht="16.5" customHeight="1"/>
    <row r="253" s="18" customFormat="1" ht="16.5" customHeight="1"/>
    <row r="254" s="18" customFormat="1" ht="16.5" customHeight="1"/>
    <row r="255" s="18" customFormat="1" ht="16.5" customHeight="1"/>
    <row r="256" s="18" customFormat="1" ht="16.5" customHeight="1"/>
    <row r="257" s="18" customFormat="1" ht="16.5" customHeight="1"/>
    <row r="258" s="18" customFormat="1" ht="16.5" customHeight="1"/>
    <row r="259" s="18" customFormat="1" ht="16.5" customHeight="1"/>
    <row r="260" s="18" customFormat="1" ht="16.5" customHeight="1"/>
    <row r="261" s="18" customFormat="1" ht="16.5" customHeight="1"/>
    <row r="262" s="18" customFormat="1" ht="16.5" customHeight="1"/>
    <row r="263" s="18" customFormat="1" ht="16.5" customHeight="1"/>
    <row r="264" s="18" customFormat="1" ht="16.5" customHeight="1"/>
    <row r="265" s="18" customFormat="1" ht="16.5" customHeight="1"/>
    <row r="266" s="18" customFormat="1" ht="16.5" customHeight="1"/>
    <row r="267" s="18" customFormat="1" ht="16.5" customHeight="1"/>
    <row r="268" s="18" customFormat="1" ht="16.5" customHeight="1"/>
    <row r="269" s="18" customFormat="1" ht="16.5" customHeight="1"/>
    <row r="270" s="18" customFormat="1" ht="16.5" customHeight="1"/>
    <row r="271" s="18" customFormat="1" ht="16.5" customHeight="1"/>
    <row r="272" s="18" customFormat="1" ht="16.5" customHeight="1"/>
    <row r="273" s="18" customFormat="1" ht="16.5" customHeight="1"/>
    <row r="274" s="18" customFormat="1" ht="16.5" customHeight="1"/>
    <row r="275" s="18" customFormat="1" ht="16.5" customHeight="1"/>
    <row r="276" s="18" customFormat="1" ht="16.5" customHeight="1"/>
    <row r="277" s="18" customFormat="1" ht="16.5" customHeight="1"/>
    <row r="278" s="18" customFormat="1" ht="16.5" customHeight="1"/>
    <row r="279" s="18" customFormat="1" ht="16.5" customHeight="1"/>
    <row r="280" s="18" customFormat="1" ht="16.5" customHeight="1"/>
    <row r="281" s="18" customFormat="1" ht="16.5" customHeight="1"/>
    <row r="282" s="18" customFormat="1" ht="16.5" customHeight="1"/>
    <row r="283" s="18" customFormat="1" ht="16.5" customHeight="1"/>
    <row r="284" s="18" customFormat="1" ht="16.5" customHeight="1"/>
    <row r="285" s="18" customFormat="1" ht="16.5" customHeight="1"/>
    <row r="286" s="18" customFormat="1" ht="16.5" customHeight="1"/>
    <row r="287" s="18" customFormat="1" ht="16.5" customHeight="1"/>
    <row r="288" s="18" customFormat="1" ht="16.5" customHeight="1"/>
    <row r="289" s="18" customFormat="1" ht="16.5" customHeight="1"/>
    <row r="290" s="18" customFormat="1" ht="16.5" customHeight="1"/>
    <row r="291" s="18" customFormat="1" ht="16.5" customHeight="1"/>
    <row r="292" s="18" customFormat="1" ht="16.5" customHeight="1"/>
    <row r="293" s="18" customFormat="1" ht="16.5" customHeight="1"/>
    <row r="294" s="18" customFormat="1" ht="16.5" customHeight="1"/>
    <row r="295" s="18" customFormat="1" ht="16.5" customHeight="1"/>
    <row r="296" s="18" customFormat="1" ht="16.5" customHeight="1"/>
    <row r="297" s="18" customFormat="1" ht="16.5" customHeight="1"/>
    <row r="298" s="18" customFormat="1" ht="16.5" customHeight="1"/>
    <row r="299" s="18" customFormat="1" ht="16.5" customHeight="1"/>
    <row r="300" s="18" customFormat="1" ht="16.5" customHeight="1"/>
    <row r="301" s="18" customFormat="1" ht="16.5" customHeight="1"/>
    <row r="302" s="18" customFormat="1" ht="16.5" customHeight="1"/>
    <row r="303" s="18" customFormat="1" ht="16.5" customHeight="1"/>
    <row r="304" s="18" customFormat="1" ht="16.5" customHeight="1"/>
    <row r="305" s="18" customFormat="1" ht="16.5" customHeight="1"/>
    <row r="306" s="18" customFormat="1" ht="16.5" customHeight="1"/>
    <row r="307" s="18" customFormat="1" ht="16.5" customHeight="1"/>
    <row r="308" s="18" customFormat="1" ht="16.5" customHeight="1"/>
    <row r="309" s="18" customFormat="1" ht="16.5" customHeight="1"/>
    <row r="310" s="18" customFormat="1" ht="16.5" customHeight="1"/>
    <row r="311" s="18" customFormat="1" ht="16.5" customHeight="1"/>
    <row r="312" s="18" customFormat="1" ht="16.5" customHeight="1"/>
    <row r="313" s="18" customFormat="1" ht="16.5" customHeight="1"/>
    <row r="314" s="18" customFormat="1" ht="16.5" customHeight="1"/>
    <row r="315" s="18" customFormat="1" ht="16.5" customHeight="1"/>
    <row r="316" s="18" customFormat="1" ht="16.5" customHeight="1"/>
    <row r="317" s="18" customFormat="1" ht="16.5" customHeight="1"/>
    <row r="318" s="18" customFormat="1" ht="16.5" customHeight="1"/>
    <row r="319" s="18" customFormat="1" ht="16.5" customHeight="1"/>
    <row r="320" s="18" customFormat="1" ht="16.5" customHeight="1"/>
    <row r="321" s="18" customFormat="1" ht="16.5" customHeight="1"/>
    <row r="322" s="18" customFormat="1" ht="16.5" customHeight="1"/>
    <row r="323" s="18" customFormat="1" ht="16.5" customHeight="1"/>
    <row r="324" s="18" customFormat="1" ht="16.5" customHeight="1"/>
    <row r="325" s="18" customFormat="1" ht="16.5" customHeight="1"/>
    <row r="326" s="18" customFormat="1" ht="16.5" customHeight="1"/>
    <row r="327" s="18" customFormat="1" ht="16.5" customHeight="1"/>
    <row r="328" s="18" customFormat="1" ht="16.5" customHeight="1"/>
    <row r="329" s="18" customFormat="1" ht="16.5" customHeight="1"/>
    <row r="330" s="18" customFormat="1" ht="16.5" customHeight="1"/>
    <row r="331" s="18" customFormat="1" ht="16.5" customHeight="1"/>
    <row r="332" s="18" customFormat="1" ht="16.5" customHeight="1"/>
    <row r="333" s="18" customFormat="1" ht="16.5" customHeight="1"/>
    <row r="334" s="18" customFormat="1" ht="16.5" customHeight="1"/>
    <row r="335" s="18" customFormat="1" ht="16.5" customHeight="1"/>
    <row r="336" s="18" customFormat="1" ht="16.5" customHeight="1"/>
    <row r="337" s="18" customFormat="1" ht="16.5" customHeight="1"/>
    <row r="338" s="18" customFormat="1" ht="16.5" customHeight="1"/>
    <row r="339" s="18" customFormat="1" ht="16.5" customHeight="1"/>
    <row r="340" s="18" customFormat="1" ht="16.5" customHeight="1"/>
    <row r="341" s="18" customFormat="1" ht="16.5" customHeight="1"/>
    <row r="342" s="18" customFormat="1" ht="16.5" customHeight="1"/>
    <row r="343" s="18" customFormat="1" ht="16.5" customHeight="1"/>
    <row r="344" s="18" customFormat="1" ht="16.5" customHeight="1"/>
    <row r="345" s="18" customFormat="1" ht="16.5" customHeight="1"/>
    <row r="346" s="18" customFormat="1" ht="16.5" customHeight="1"/>
    <row r="347" s="18" customFormat="1" ht="16.5" customHeight="1"/>
    <row r="348" s="18" customFormat="1" ht="16.5" customHeight="1"/>
    <row r="349" s="18" customFormat="1" ht="16.5" customHeight="1"/>
    <row r="350" s="18" customFormat="1" ht="16.5" customHeight="1"/>
    <row r="351" s="18" customFormat="1" ht="16.5" customHeight="1"/>
    <row r="352" s="18" customFormat="1" ht="16.5" customHeight="1"/>
    <row r="353" s="18" customFormat="1" ht="16.5" customHeight="1"/>
    <row r="354" s="18" customFormat="1" ht="16.5" customHeight="1"/>
    <row r="355" s="18" customFormat="1" ht="16.5" customHeight="1"/>
    <row r="356" s="18" customFormat="1" ht="16.5" customHeight="1"/>
    <row r="357" s="18" customFormat="1" ht="16.5" customHeight="1"/>
    <row r="358" s="18" customFormat="1" ht="16.5" customHeight="1"/>
    <row r="359" s="18" customFormat="1" ht="16.5" customHeight="1"/>
    <row r="360" s="18" customFormat="1" ht="16.5" customHeight="1"/>
    <row r="361" s="18" customFormat="1" ht="16.5" customHeight="1"/>
    <row r="362" s="18" customFormat="1" ht="16.5" customHeight="1"/>
    <row r="363" s="18" customFormat="1" ht="16.5" customHeight="1"/>
    <row r="364" s="18" customFormat="1" ht="16.5" customHeight="1"/>
    <row r="365" s="18" customFormat="1" ht="16.5" customHeight="1"/>
    <row r="366" s="18" customFormat="1" ht="16.5" customHeight="1"/>
    <row r="367" s="18" customFormat="1" ht="16.5" customHeight="1"/>
    <row r="368" s="18" customFormat="1" ht="16.5" customHeight="1"/>
    <row r="369" s="18" customFormat="1" ht="16.5" customHeight="1"/>
    <row r="370" s="18" customFormat="1" ht="16.5" customHeight="1"/>
    <row r="371" s="18" customFormat="1" ht="16.5" customHeight="1"/>
    <row r="372" s="18" customFormat="1" ht="16.5" customHeight="1"/>
    <row r="373" s="18" customFormat="1" ht="16.5" customHeight="1"/>
    <row r="374" s="18" customFormat="1" ht="16.5" customHeight="1"/>
    <row r="375" s="18" customFormat="1" ht="16.5" customHeight="1"/>
    <row r="376" s="18" customFormat="1" ht="16.5" customHeight="1"/>
    <row r="377" s="18" customFormat="1" ht="16.5" customHeight="1"/>
    <row r="378" s="18" customFormat="1" ht="16.5" customHeight="1"/>
    <row r="379" s="18" customFormat="1" ht="16.5" customHeight="1"/>
    <row r="380" s="18" customFormat="1" ht="16.5" customHeight="1"/>
    <row r="381" s="18" customFormat="1" ht="16.5" customHeight="1"/>
    <row r="382" s="18" customFormat="1" ht="16.5" customHeight="1"/>
    <row r="383" s="18" customFormat="1" ht="16.5" customHeight="1"/>
    <row r="384" s="18" customFormat="1" ht="16.5" customHeight="1"/>
    <row r="385" s="18" customFormat="1" ht="16.5" customHeight="1"/>
    <row r="386" s="18" customFormat="1" ht="16.5" customHeight="1"/>
    <row r="387" s="18" customFormat="1" ht="16.5" customHeight="1"/>
    <row r="388" s="18" customFormat="1" ht="16.5" customHeight="1"/>
    <row r="389" s="18" customFormat="1" ht="16.5" customHeight="1"/>
    <row r="390" s="18" customFormat="1" ht="16.5" customHeight="1"/>
    <row r="391" s="18" customFormat="1" ht="16.5" customHeight="1"/>
    <row r="392" s="18" customFormat="1" ht="16.5" customHeight="1"/>
    <row r="393" s="18" customFormat="1" ht="16.5" customHeight="1"/>
    <row r="394" s="18" customFormat="1" ht="16.5" customHeight="1"/>
    <row r="395" s="18" customFormat="1" ht="16.5" customHeight="1"/>
    <row r="396" s="18" customFormat="1" ht="16.5" customHeight="1"/>
    <row r="397" s="18" customFormat="1" ht="16.5" customHeight="1"/>
    <row r="398" s="18" customFormat="1" ht="16.5" customHeight="1"/>
    <row r="399" s="18" customFormat="1" ht="16.5" customHeight="1"/>
    <row r="400" s="18" customFormat="1" ht="16.5" customHeight="1"/>
    <row r="401" s="18" customFormat="1" ht="16.5" customHeight="1"/>
    <row r="402" s="18" customFormat="1" ht="16.5" customHeight="1"/>
    <row r="403" s="18" customFormat="1" ht="16.5" customHeight="1"/>
    <row r="404" s="18" customFormat="1" ht="16.5" customHeight="1"/>
    <row r="405" s="18" customFormat="1" ht="16.5" customHeight="1"/>
    <row r="406" s="18" customFormat="1" ht="16.5" customHeight="1"/>
    <row r="407" s="18" customFormat="1" ht="16.5" customHeight="1"/>
    <row r="408" s="18" customFormat="1" ht="16.5" customHeight="1"/>
    <row r="409" s="18" customFormat="1" ht="16.5" customHeight="1"/>
    <row r="410" s="18" customFormat="1" ht="16.5" customHeight="1"/>
    <row r="411" s="18" customFormat="1" ht="16.5" customHeight="1"/>
    <row r="412" s="18" customFormat="1" ht="16.5" customHeight="1"/>
    <row r="413" s="18" customFormat="1" ht="16.5" customHeight="1"/>
    <row r="414" s="18" customFormat="1" ht="16.5" customHeight="1"/>
    <row r="415" s="18" customFormat="1" ht="16.5" customHeight="1"/>
    <row r="416" s="18" customFormat="1" ht="16.5" customHeight="1"/>
    <row r="417" s="18" customFormat="1" ht="16.5" customHeight="1"/>
    <row r="418" s="18" customFormat="1" ht="16.5" customHeight="1"/>
    <row r="419" s="18" customFormat="1" ht="16.5" customHeight="1"/>
    <row r="420" s="18" customFormat="1" ht="16.5" customHeight="1"/>
    <row r="421" s="18" customFormat="1" ht="16.5" customHeight="1"/>
    <row r="422" s="18" customFormat="1" ht="16.5" customHeight="1"/>
    <row r="423" s="18" customFormat="1" ht="16.5" customHeight="1"/>
    <row r="424" s="18" customFormat="1" ht="16.5" customHeight="1"/>
    <row r="425" s="18" customFormat="1" ht="16.5" customHeight="1"/>
    <row r="426" s="18" customFormat="1" ht="16.5" customHeight="1"/>
    <row r="427" s="18" customFormat="1" ht="16.5" customHeight="1"/>
    <row r="428" s="18" customFormat="1" ht="16.5" customHeight="1"/>
    <row r="429" s="18" customFormat="1" ht="16.5" customHeight="1"/>
    <row r="430" s="18" customFormat="1" ht="16.5" customHeight="1"/>
    <row r="431" s="18" customFormat="1" ht="16.5" customHeight="1"/>
    <row r="432" s="18" customFormat="1" ht="16.5" customHeight="1"/>
    <row r="433" s="18" customFormat="1" ht="16.5" customHeight="1"/>
    <row r="434" s="18" customFormat="1" ht="16.5" customHeight="1"/>
    <row r="435" s="18" customFormat="1" ht="16.5" customHeight="1"/>
    <row r="436" s="18" customFormat="1" ht="16.5" customHeight="1"/>
    <row r="437" s="18" customFormat="1" ht="16.5" customHeight="1"/>
    <row r="438" s="18" customFormat="1" ht="16.5" customHeight="1"/>
    <row r="439" s="18" customFormat="1" ht="16.5" customHeight="1"/>
    <row r="440" s="18" customFormat="1" ht="16.5" customHeight="1"/>
    <row r="441" s="18" customFormat="1" ht="16.5" customHeight="1"/>
    <row r="442" s="18" customFormat="1" ht="16.5" customHeight="1"/>
    <row r="443" s="18" customFormat="1" ht="16.5" customHeight="1"/>
    <row r="444" s="18" customFormat="1" ht="16.5" customHeight="1"/>
    <row r="445" s="18" customFormat="1" ht="16.5" customHeight="1"/>
    <row r="446" s="18" customFormat="1" ht="16.5" customHeight="1"/>
    <row r="447" s="18" customFormat="1" ht="16.5" customHeight="1"/>
    <row r="448" s="18" customFormat="1" ht="16.5" customHeight="1"/>
    <row r="449" s="18" customFormat="1" ht="16.5" customHeight="1"/>
    <row r="450" s="18" customFormat="1" ht="16.5" customHeight="1"/>
    <row r="451" s="18" customFormat="1" ht="16.5" customHeight="1"/>
    <row r="452" s="18" customFormat="1" ht="16.5" customHeight="1"/>
    <row r="453" s="18" customFormat="1" ht="16.5" customHeight="1"/>
    <row r="454" s="18" customFormat="1" ht="16.5" customHeight="1"/>
    <row r="455" s="18" customFormat="1" ht="16.5" customHeight="1"/>
    <row r="456" s="18" customFormat="1" ht="16.5" customHeight="1"/>
    <row r="457" s="18" customFormat="1" ht="16.5" customHeight="1"/>
    <row r="458" s="18" customFormat="1" ht="16.5" customHeight="1"/>
    <row r="459" s="18" customFormat="1" ht="16.5" customHeight="1"/>
    <row r="460" s="18" customFormat="1" ht="16.5" customHeight="1"/>
    <row r="461" s="18" customFormat="1" ht="16.5" customHeight="1"/>
    <row r="462" s="18" customFormat="1" ht="16.5" customHeight="1"/>
    <row r="463" s="18" customFormat="1" ht="16.5" customHeight="1"/>
    <row r="464" s="18" customFormat="1" ht="16.5" customHeight="1"/>
    <row r="465" s="18" customFormat="1" ht="16.5" customHeight="1"/>
    <row r="466" s="18" customFormat="1" ht="16.5" customHeight="1"/>
    <row r="467" s="18" customFormat="1" ht="16.5" customHeight="1"/>
    <row r="468" s="18" customFormat="1" ht="16.5" customHeight="1"/>
    <row r="469" s="18" customFormat="1" ht="16.5" customHeight="1"/>
    <row r="470" s="18" customFormat="1" ht="16.5" customHeight="1"/>
    <row r="471" s="18" customFormat="1" ht="16.5" customHeight="1"/>
    <row r="472" s="18" customFormat="1" ht="16.5" customHeight="1"/>
    <row r="473" s="18" customFormat="1" ht="16.5" customHeight="1"/>
    <row r="474" s="18" customFormat="1" ht="16.5" customHeight="1"/>
    <row r="475" s="18" customFormat="1" ht="16.5" customHeight="1"/>
    <row r="476" s="18" customFormat="1" ht="16.5" customHeight="1"/>
    <row r="477" s="18" customFormat="1" ht="16.5" customHeight="1"/>
    <row r="478" s="18" customFormat="1" ht="16.5" customHeight="1"/>
    <row r="479" s="18" customFormat="1" ht="16.5" customHeight="1"/>
    <row r="480" s="18" customFormat="1" ht="16.5" customHeight="1"/>
    <row r="481" s="18" customFormat="1" ht="16.5" customHeight="1"/>
    <row r="482" s="18" customFormat="1" ht="16.5" customHeight="1"/>
    <row r="483" s="18" customFormat="1" ht="16.5" customHeight="1"/>
    <row r="484" s="18" customFormat="1" ht="16.5" customHeight="1"/>
    <row r="485" s="18" customFormat="1" ht="16.5" customHeight="1"/>
    <row r="486" s="18" customFormat="1" ht="16.5" customHeight="1"/>
    <row r="487" s="18" customFormat="1" ht="16.5" customHeight="1"/>
    <row r="488" s="18" customFormat="1" ht="16.5" customHeight="1"/>
    <row r="489" s="18" customFormat="1" ht="16.5" customHeight="1"/>
    <row r="490" s="18" customFormat="1" ht="16.5" customHeight="1"/>
    <row r="491" s="18" customFormat="1" ht="16.5" customHeight="1"/>
    <row r="492" s="18" customFormat="1" ht="16.5" customHeight="1"/>
    <row r="493" s="18" customFormat="1" ht="16.5" customHeight="1"/>
    <row r="494" s="18" customFormat="1" ht="16.5" customHeight="1"/>
    <row r="495" s="18" customFormat="1" ht="16.5" customHeight="1"/>
    <row r="496" s="18" customFormat="1" ht="16.5" customHeight="1"/>
    <row r="497" s="18" customFormat="1" ht="16.5" customHeight="1"/>
    <row r="498" s="18" customFormat="1" ht="16.5" customHeight="1"/>
    <row r="499" s="18" customFormat="1" ht="16.5" customHeight="1"/>
    <row r="500" s="18" customFormat="1" ht="16.5" customHeight="1"/>
    <row r="501" s="18" customFormat="1" ht="16.5" customHeight="1"/>
    <row r="502" s="18" customFormat="1" ht="16.5" customHeight="1"/>
    <row r="503" s="18" customFormat="1" ht="16.5" customHeight="1"/>
    <row r="504" s="18" customFormat="1" ht="16.5" customHeight="1"/>
    <row r="505" s="18" customFormat="1" ht="16.5" customHeight="1"/>
    <row r="506" s="18" customFormat="1" ht="16.5" customHeight="1"/>
    <row r="507" s="18" customFormat="1" ht="16.5" customHeight="1"/>
    <row r="508" s="18" customFormat="1" ht="16.5" customHeight="1"/>
    <row r="509" s="18" customFormat="1" ht="16.5" customHeight="1"/>
    <row r="510" s="18" customFormat="1" ht="16.5" customHeight="1"/>
    <row r="511" s="18" customFormat="1" ht="16.5" customHeight="1"/>
    <row r="512" s="18" customFormat="1" ht="16.5" customHeight="1"/>
    <row r="513" s="18" customFormat="1" ht="16.5" customHeight="1"/>
    <row r="514" s="18" customFormat="1" ht="16.5" customHeight="1"/>
    <row r="515" s="18" customFormat="1" ht="16.5" customHeight="1"/>
    <row r="516" s="18" customFormat="1" ht="16.5" customHeight="1"/>
    <row r="517" s="18" customFormat="1" ht="16.5" customHeight="1"/>
    <row r="518" s="18" customFormat="1" ht="16.5" customHeight="1"/>
    <row r="519" s="18" customFormat="1" ht="16.5" customHeight="1"/>
    <row r="520" s="18" customFormat="1" ht="16.5" customHeight="1"/>
    <row r="521" s="18" customFormat="1" ht="16.5" customHeight="1"/>
    <row r="522" s="18" customFormat="1" ht="16.5" customHeight="1"/>
    <row r="523" s="18" customFormat="1" ht="16.5" customHeight="1"/>
    <row r="524" s="18" customFormat="1" ht="16.5" customHeight="1"/>
    <row r="525" s="18" customFormat="1" ht="16.5" customHeight="1"/>
    <row r="526" s="18" customFormat="1" ht="16.5" customHeight="1"/>
    <row r="527" s="18" customFormat="1" ht="16.5" customHeight="1"/>
    <row r="528" s="18" customFormat="1" ht="16.5" customHeight="1"/>
    <row r="529" s="18" customFormat="1" ht="16.5" customHeight="1"/>
    <row r="530" s="18" customFormat="1" ht="16.5" customHeight="1"/>
    <row r="531" s="18" customFormat="1" ht="16.5" customHeight="1"/>
    <row r="532" s="18" customFormat="1" ht="16.5" customHeight="1"/>
    <row r="533" s="18" customFormat="1" ht="16.5" customHeight="1"/>
    <row r="534" s="18" customFormat="1" ht="16.5" customHeight="1"/>
    <row r="535" s="18" customFormat="1" ht="16.5" customHeight="1"/>
    <row r="536" s="18" customFormat="1" ht="16.5" customHeight="1"/>
    <row r="537" s="18" customFormat="1" ht="16.5" customHeight="1"/>
    <row r="538" s="18" customFormat="1" ht="16.5" customHeight="1"/>
    <row r="539" s="18" customFormat="1" ht="16.5" customHeight="1"/>
    <row r="540" s="18" customFormat="1" ht="16.5" customHeight="1"/>
    <row r="541" s="18" customFormat="1" ht="16.5" customHeight="1"/>
    <row r="542" s="18" customFormat="1" ht="16.5" customHeight="1"/>
    <row r="543" s="18" customFormat="1" ht="16.5" customHeight="1"/>
    <row r="544" s="18" customFormat="1" ht="16.5" customHeight="1"/>
    <row r="545" s="18" customFormat="1" ht="16.5" customHeight="1"/>
    <row r="546" s="18" customFormat="1" ht="16.5" customHeight="1"/>
    <row r="547" s="18" customFormat="1" ht="16.5" customHeight="1"/>
    <row r="548" s="18" customFormat="1" ht="16.5" customHeight="1"/>
    <row r="549" s="18" customFormat="1" ht="16.5" customHeight="1"/>
    <row r="550" s="18" customFormat="1" ht="16.5" customHeight="1"/>
    <row r="551" s="18" customFormat="1" ht="16.5" customHeight="1"/>
    <row r="552" s="18" customFormat="1" ht="16.5" customHeight="1"/>
    <row r="553" s="18" customFormat="1" ht="16.5" customHeight="1"/>
    <row r="554" s="18" customFormat="1" ht="16.5" customHeight="1"/>
    <row r="555" s="18" customFormat="1" ht="16.5" customHeight="1"/>
    <row r="556" s="18" customFormat="1" ht="16.5" customHeight="1"/>
    <row r="557" s="18" customFormat="1" ht="16.5" customHeight="1"/>
    <row r="558" s="18" customFormat="1" ht="16.5" customHeight="1"/>
    <row r="559" s="18" customFormat="1" ht="16.5" customHeight="1"/>
    <row r="560" s="18" customFormat="1" ht="16.5" customHeight="1"/>
    <row r="561" s="18" customFormat="1" ht="16.5" customHeight="1"/>
    <row r="562" s="18" customFormat="1" ht="16.5" customHeight="1"/>
    <row r="563" s="18" customFormat="1" ht="16.5" customHeight="1"/>
    <row r="564" s="18" customFormat="1" ht="16.5" customHeight="1"/>
    <row r="565" s="18" customFormat="1" ht="16.5" customHeight="1"/>
    <row r="566" s="18" customFormat="1" ht="16.5" customHeight="1"/>
    <row r="567" s="18" customFormat="1" ht="16.5" customHeight="1"/>
    <row r="568" s="18" customFormat="1" ht="16.5" customHeight="1"/>
    <row r="569" s="18" customFormat="1" ht="16.5" customHeight="1"/>
    <row r="570" s="18" customFormat="1" ht="16.5" customHeight="1"/>
    <row r="571" s="18" customFormat="1" ht="16.5" customHeight="1"/>
    <row r="572" s="18" customFormat="1" ht="16.5" customHeight="1"/>
    <row r="573" s="18" customFormat="1" ht="16.5" customHeight="1"/>
    <row r="574" s="18" customFormat="1" ht="16.5" customHeight="1"/>
    <row r="575" s="18" customFormat="1" ht="16.5" customHeight="1"/>
    <row r="576" s="18" customFormat="1" ht="16.5" customHeight="1"/>
    <row r="577" s="18" customFormat="1" ht="16.5" customHeight="1"/>
    <row r="578" s="18" customFormat="1" ht="16.5" customHeight="1"/>
    <row r="579" s="18" customFormat="1" ht="16.5" customHeight="1"/>
    <row r="580" s="18" customFormat="1" ht="16.5" customHeight="1"/>
    <row r="581" s="18" customFormat="1" ht="16.5" customHeight="1"/>
    <row r="582" s="18" customFormat="1" ht="16.5" customHeight="1"/>
    <row r="583" s="18" customFormat="1" ht="16.5" customHeight="1"/>
    <row r="584" s="18" customFormat="1" ht="16.5" customHeight="1"/>
    <row r="585" s="18" customFormat="1" ht="16.5" customHeight="1"/>
    <row r="586" s="18" customFormat="1" ht="16.5" customHeight="1"/>
    <row r="587" s="18" customFormat="1" ht="16.5" customHeight="1"/>
    <row r="588" s="18" customFormat="1" ht="16.5" customHeight="1"/>
    <row r="589" s="18" customFormat="1" ht="16.5" customHeight="1"/>
    <row r="590" s="18" customFormat="1" ht="16.5" customHeight="1"/>
    <row r="591" s="18" customFormat="1" ht="16.5" customHeight="1"/>
    <row r="592" s="18" customFormat="1" ht="16.5" customHeight="1"/>
    <row r="593" s="18" customFormat="1" ht="16.5" customHeight="1"/>
    <row r="594" s="18" customFormat="1" ht="16.5" customHeight="1"/>
    <row r="595" s="18" customFormat="1" ht="16.5" customHeight="1"/>
    <row r="596" s="18" customFormat="1" ht="16.5" customHeight="1"/>
    <row r="597" s="18" customFormat="1" ht="16.5" customHeight="1"/>
    <row r="598" s="18" customFormat="1" ht="16.5" customHeight="1"/>
    <row r="599" s="18" customFormat="1" ht="16.5" customHeight="1"/>
    <row r="600" s="18" customFormat="1" ht="16.5" customHeight="1"/>
    <row r="601" s="18" customFormat="1" ht="16.5" customHeight="1"/>
    <row r="602" s="18" customFormat="1" ht="16.5" customHeight="1"/>
    <row r="603" s="18" customFormat="1" ht="16.5" customHeight="1"/>
    <row r="604" s="18" customFormat="1" ht="16.5" customHeight="1"/>
    <row r="605" s="18" customFormat="1" ht="16.5" customHeight="1"/>
    <row r="606" s="18" customFormat="1" ht="16.5" customHeight="1"/>
    <row r="607" s="18" customFormat="1" ht="16.5" customHeight="1"/>
    <row r="608" s="18" customFormat="1" ht="16.5" customHeight="1"/>
    <row r="609" s="18" customFormat="1" ht="16.5" customHeight="1"/>
    <row r="610" s="18" customFormat="1" ht="16.5" customHeight="1"/>
    <row r="611" s="18" customFormat="1" ht="16.5" customHeight="1"/>
    <row r="612" s="18" customFormat="1" ht="16.5" customHeight="1"/>
    <row r="613" s="18" customFormat="1" ht="16.5" customHeight="1"/>
    <row r="614" s="18" customFormat="1" ht="16.5" customHeight="1"/>
    <row r="615" s="18" customFormat="1" ht="16.5" customHeight="1"/>
    <row r="616" s="18" customFormat="1" ht="16.5" customHeight="1"/>
    <row r="617" s="18" customFormat="1" ht="16.5" customHeight="1"/>
    <row r="618" s="18" customFormat="1" ht="16.5" customHeight="1"/>
    <row r="619" s="18" customFormat="1" ht="16.5" customHeight="1"/>
    <row r="620" s="18" customFormat="1" ht="16.5" customHeight="1"/>
    <row r="621" s="18" customFormat="1" ht="16.5" customHeight="1"/>
    <row r="622" s="18" customFormat="1" ht="16.5" customHeight="1"/>
    <row r="623" s="18" customFormat="1" ht="16.5" customHeight="1"/>
    <row r="624" s="18" customFormat="1" ht="16.5" customHeight="1"/>
    <row r="625" s="18" customFormat="1" ht="16.5" customHeight="1"/>
    <row r="626" s="18" customFormat="1" ht="16.5" customHeight="1"/>
    <row r="627" s="18" customFormat="1" ht="16.5" customHeight="1"/>
    <row r="628" s="18" customFormat="1" ht="16.5" customHeight="1"/>
    <row r="629" s="18" customFormat="1" ht="16.5" customHeight="1"/>
    <row r="630" s="18" customFormat="1" ht="16.5" customHeight="1"/>
    <row r="631" s="18" customFormat="1" ht="16.5" customHeight="1"/>
    <row r="632" s="18" customFormat="1" ht="16.5" customHeight="1"/>
    <row r="633" s="18" customFormat="1" ht="16.5" customHeight="1"/>
    <row r="634" s="18" customFormat="1" ht="16.5" customHeight="1"/>
    <row r="635" s="18" customFormat="1" ht="16.5" customHeight="1"/>
    <row r="636" s="18" customFormat="1" ht="16.5" customHeight="1"/>
    <row r="637" s="18" customFormat="1" ht="16.5" customHeight="1"/>
    <row r="638" s="18" customFormat="1" ht="16.5" customHeight="1"/>
    <row r="639" s="18" customFormat="1" ht="16.5" customHeight="1"/>
    <row r="640" s="18" customFormat="1" ht="16.5" customHeight="1"/>
    <row r="641" s="18" customFormat="1" ht="16.5" customHeight="1"/>
    <row r="642" s="18" customFormat="1" ht="16.5" customHeight="1"/>
    <row r="643" s="18" customFormat="1" ht="16.5" customHeight="1"/>
    <row r="644" s="18" customFormat="1" ht="16.5" customHeight="1"/>
    <row r="645" s="18" customFormat="1" ht="16.5" customHeight="1"/>
    <row r="646" s="18" customFormat="1" ht="16.5" customHeight="1"/>
    <row r="647" s="18" customFormat="1" ht="16.5" customHeight="1"/>
    <row r="648" s="18" customFormat="1" ht="16.5" customHeight="1"/>
    <row r="649" s="18" customFormat="1" ht="16.5" customHeight="1"/>
    <row r="650" s="18" customFormat="1" ht="16.5" customHeight="1"/>
    <row r="651" s="18" customFormat="1" ht="16.5" customHeight="1"/>
    <row r="652" s="18" customFormat="1" ht="16.5" customHeight="1"/>
    <row r="653" s="18" customFormat="1" ht="16.5" customHeight="1"/>
    <row r="654" s="18" customFormat="1" ht="16.5" customHeight="1"/>
    <row r="655" s="18" customFormat="1" ht="16.5" customHeight="1"/>
    <row r="656" s="18" customFormat="1" ht="16.5" customHeight="1"/>
    <row r="657" s="18" customFormat="1" ht="16.5" customHeight="1"/>
    <row r="658" s="18" customFormat="1" ht="16.5" customHeight="1"/>
    <row r="659" s="18" customFormat="1" ht="16.5" customHeight="1"/>
    <row r="660" s="18" customFormat="1" ht="16.5" customHeight="1"/>
    <row r="661" s="18" customFormat="1" ht="16.5" customHeight="1"/>
    <row r="662" s="18" customFormat="1" ht="16.5" customHeight="1"/>
    <row r="663" s="18" customFormat="1" ht="16.5" customHeight="1"/>
    <row r="664" s="18" customFormat="1" ht="16.5" customHeight="1"/>
    <row r="665" s="18" customFormat="1" ht="16.5" customHeight="1"/>
    <row r="666" s="18" customFormat="1" ht="16.5" customHeight="1"/>
    <row r="667" s="18" customFormat="1" ht="16.5" customHeight="1"/>
    <row r="668" s="18" customFormat="1" ht="16.5" customHeight="1"/>
    <row r="669" s="18" customFormat="1" ht="16.5" customHeight="1"/>
    <row r="670" s="18" customFormat="1" ht="16.5" customHeight="1"/>
    <row r="671" s="18" customFormat="1" ht="16.5" customHeight="1"/>
    <row r="672" s="18" customFormat="1" ht="16.5" customHeight="1"/>
    <row r="673" s="18" customFormat="1" ht="16.5" customHeight="1"/>
    <row r="674" s="18" customFormat="1" ht="16.5" customHeight="1"/>
    <row r="675" s="18" customFormat="1" ht="16.5" customHeight="1"/>
    <row r="676" s="18" customFormat="1" ht="16.5" customHeight="1"/>
    <row r="677" s="18" customFormat="1" ht="16.5" customHeight="1"/>
    <row r="678" s="18" customFormat="1" ht="16.5" customHeight="1"/>
    <row r="679" s="18" customFormat="1" ht="16.5" customHeight="1"/>
    <row r="680" s="18" customFormat="1" ht="16.5" customHeight="1"/>
    <row r="681" s="18" customFormat="1" ht="16.5" customHeight="1"/>
    <row r="682" s="18" customFormat="1" ht="16.5" customHeight="1"/>
    <row r="683" s="18" customFormat="1" ht="16.5" customHeight="1"/>
    <row r="684" s="18" customFormat="1" ht="16.5" customHeight="1"/>
    <row r="685" s="18" customFormat="1" ht="16.5" customHeight="1"/>
    <row r="686" s="18" customFormat="1" ht="16.5" customHeight="1"/>
    <row r="687" s="18" customFormat="1" ht="16.5" customHeight="1"/>
    <row r="688" s="18" customFormat="1" ht="16.5" customHeight="1"/>
    <row r="689" s="18" customFormat="1" ht="16.5" customHeight="1"/>
    <row r="690" s="18" customFormat="1" ht="16.5" customHeight="1"/>
    <row r="691" s="18" customFormat="1" ht="16.5" customHeight="1"/>
    <row r="692" s="18" customFormat="1" ht="16.5" customHeight="1"/>
    <row r="693" s="18" customFormat="1" ht="16.5" customHeight="1"/>
    <row r="694" s="18" customFormat="1" ht="16.5" customHeight="1"/>
    <row r="695" s="18" customFormat="1" ht="16.5" customHeight="1"/>
    <row r="696" s="18" customFormat="1" ht="16.5" customHeight="1"/>
    <row r="697" s="18" customFormat="1" ht="16.5" customHeight="1"/>
    <row r="698" s="18" customFormat="1" ht="16.5" customHeight="1"/>
    <row r="699" s="18" customFormat="1" ht="16.5" customHeight="1"/>
    <row r="700" s="18" customFormat="1" ht="16.5" customHeight="1"/>
    <row r="701" s="18" customFormat="1" ht="16.5" customHeight="1"/>
    <row r="702" s="18" customFormat="1" ht="16.5" customHeight="1"/>
    <row r="703" s="18" customFormat="1" ht="16.5" customHeight="1"/>
    <row r="704" s="18" customFormat="1" ht="16.5" customHeight="1"/>
    <row r="705" s="18" customFormat="1" ht="16.5" customHeight="1"/>
    <row r="706" s="18" customFormat="1" ht="16.5" customHeight="1"/>
    <row r="707" s="18" customFormat="1" ht="16.5" customHeight="1"/>
    <row r="708" s="18" customFormat="1" ht="16.5" customHeight="1"/>
    <row r="709" s="18" customFormat="1" ht="16.5" customHeight="1"/>
    <row r="710" s="18" customFormat="1" ht="16.5" customHeight="1"/>
    <row r="711" s="18" customFormat="1" ht="16.5" customHeight="1"/>
    <row r="712" s="18" customFormat="1" ht="16.5" customHeight="1"/>
    <row r="713" s="18" customFormat="1" ht="16.5" customHeight="1"/>
    <row r="714" s="18" customFormat="1" ht="16.5" customHeight="1"/>
    <row r="715" s="18" customFormat="1" ht="16.5" customHeight="1"/>
    <row r="716" s="18" customFormat="1" ht="16.5" customHeight="1"/>
    <row r="717" s="18" customFormat="1" ht="16.5" customHeight="1"/>
    <row r="718" s="18" customFormat="1" ht="16.5" customHeight="1"/>
    <row r="719" s="18" customFormat="1" ht="16.5" customHeight="1"/>
    <row r="720" s="18" customFormat="1" ht="16.5" customHeight="1"/>
    <row r="721" s="18" customFormat="1" ht="16.5" customHeight="1"/>
    <row r="722" s="18" customFormat="1" ht="16.5" customHeight="1"/>
    <row r="723" s="18" customFormat="1" ht="16.5" customHeight="1"/>
    <row r="724" s="18" customFormat="1" ht="16.5" customHeight="1"/>
    <row r="725" s="18" customFormat="1" ht="16.5" customHeight="1"/>
    <row r="726" s="18" customFormat="1" ht="16.5" customHeight="1"/>
    <row r="727" s="18" customFormat="1" ht="16.5" customHeight="1"/>
    <row r="728" s="18" customFormat="1" ht="16.5" customHeight="1"/>
    <row r="729" s="18" customFormat="1" ht="16.5" customHeight="1"/>
    <row r="730" s="18" customFormat="1" ht="16.5" customHeight="1"/>
    <row r="731" s="18" customFormat="1" ht="16.5" customHeight="1"/>
    <row r="732" s="18" customFormat="1" ht="16.5" customHeight="1"/>
    <row r="733" s="18" customFormat="1" ht="16.5" customHeight="1"/>
    <row r="734" s="18" customFormat="1" ht="16.5" customHeight="1"/>
    <row r="735" s="18" customFormat="1" ht="16.5" customHeight="1"/>
    <row r="736" s="18" customFormat="1" ht="16.5" customHeight="1"/>
    <row r="737" s="18" customFormat="1" ht="16.5" customHeight="1"/>
    <row r="738" s="18" customFormat="1" ht="16.5" customHeight="1"/>
    <row r="739" s="18" customFormat="1" ht="16.5" customHeight="1"/>
    <row r="740" s="18" customFormat="1" ht="16.5" customHeight="1"/>
    <row r="741" s="18" customFormat="1" ht="16.5" customHeight="1"/>
    <row r="742" s="18" customFormat="1" ht="16.5" customHeight="1"/>
    <row r="743" s="18" customFormat="1" ht="16.5" customHeight="1"/>
    <row r="744" s="18" customFormat="1" ht="16.5" customHeight="1"/>
    <row r="745" s="18" customFormat="1" ht="16.5" customHeight="1"/>
    <row r="746" s="18" customFormat="1" ht="16.5" customHeight="1"/>
    <row r="747" s="18" customFormat="1" ht="16.5" customHeight="1"/>
    <row r="748" s="18" customFormat="1" ht="16.5" customHeight="1"/>
    <row r="749" s="18" customFormat="1" ht="16.5" customHeight="1"/>
    <row r="750" s="18" customFormat="1" ht="16.5" customHeight="1"/>
    <row r="751" s="18" customFormat="1" ht="16.5" customHeight="1"/>
    <row r="752" s="18" customFormat="1" ht="16.5" customHeight="1"/>
    <row r="753" s="18" customFormat="1" ht="16.5" customHeight="1"/>
    <row r="754" s="18" customFormat="1" ht="16.5" customHeight="1"/>
    <row r="755" s="18" customFormat="1" ht="16.5" customHeight="1"/>
    <row r="756" s="18" customFormat="1" ht="16.5" customHeight="1"/>
    <row r="757" s="18" customFormat="1" ht="16.5" customHeight="1"/>
    <row r="758" s="18" customFormat="1" ht="16.5" customHeight="1"/>
    <row r="759" s="18" customFormat="1" ht="16.5" customHeight="1"/>
    <row r="760" s="18" customFormat="1" ht="16.5" customHeight="1"/>
    <row r="761" s="18" customFormat="1" ht="16.5" customHeight="1"/>
    <row r="762" s="18" customFormat="1" ht="16.5" customHeight="1"/>
    <row r="763" s="18" customFormat="1" ht="16.5" customHeight="1"/>
    <row r="764" s="18" customFormat="1" ht="16.5" customHeight="1"/>
    <row r="765" s="18" customFormat="1" ht="16.5" customHeight="1"/>
    <row r="766" s="18" customFormat="1" ht="16.5" customHeight="1"/>
    <row r="767" s="18" customFormat="1" ht="16.5" customHeight="1"/>
    <row r="768" s="18" customFormat="1" ht="16.5" customHeight="1"/>
    <row r="769" s="18" customFormat="1" ht="16.5" customHeight="1"/>
    <row r="770" s="18" customFormat="1" ht="16.5" customHeight="1"/>
    <row r="771" s="18" customFormat="1" ht="16.5" customHeight="1"/>
    <row r="772" s="18" customFormat="1" ht="16.5" customHeight="1"/>
    <row r="773" s="18" customFormat="1" ht="16.5" customHeight="1"/>
    <row r="774" s="18" customFormat="1" ht="16.5" customHeight="1"/>
    <row r="775" s="18" customFormat="1" ht="16.5" customHeight="1"/>
    <row r="776" s="18" customFormat="1" ht="16.5" customHeight="1"/>
    <row r="777" s="18" customFormat="1" ht="16.5" customHeight="1"/>
    <row r="778" s="18" customFormat="1" ht="16.5" customHeight="1"/>
    <row r="779" s="18" customFormat="1" ht="16.5" customHeight="1"/>
    <row r="780" s="18" customFormat="1" ht="16.5" customHeight="1"/>
    <row r="781" s="18" customFormat="1" ht="16.5" customHeight="1"/>
    <row r="782" s="18" customFormat="1" ht="16.5" customHeight="1"/>
    <row r="783" s="18" customFormat="1" ht="16.5" customHeight="1"/>
    <row r="784" s="18" customFormat="1" ht="16.5" customHeight="1"/>
    <row r="785" s="18" customFormat="1" ht="16.5" customHeight="1"/>
    <row r="786" s="18" customFormat="1" ht="16.5" customHeight="1"/>
    <row r="787" s="18" customFormat="1" ht="16.5" customHeight="1"/>
    <row r="788" s="18" customFormat="1" ht="16.5" customHeight="1"/>
    <row r="789" s="18" customFormat="1" ht="16.5" customHeight="1"/>
    <row r="790" s="18" customFormat="1" ht="16.5" customHeight="1"/>
    <row r="791" s="18" customFormat="1" ht="16.5" customHeight="1"/>
    <row r="792" s="18" customFormat="1" ht="16.5" customHeight="1"/>
    <row r="793" s="18" customFormat="1" ht="16.5" customHeight="1"/>
    <row r="794" s="18" customFormat="1" ht="16.5" customHeight="1"/>
    <row r="795" s="18" customFormat="1" ht="16.5" customHeight="1"/>
    <row r="796" s="18" customFormat="1" ht="16.5" customHeight="1"/>
    <row r="797" s="18" customFormat="1" ht="16.5" customHeight="1"/>
    <row r="798" s="18" customFormat="1" ht="16.5" customHeight="1"/>
    <row r="799" s="18" customFormat="1" ht="16.5" customHeight="1"/>
    <row r="800" s="18" customFormat="1" ht="16.5" customHeight="1"/>
    <row r="801" s="18" customFormat="1" ht="16.5" customHeight="1"/>
    <row r="802" s="18" customFormat="1" ht="16.5" customHeight="1"/>
    <row r="803" s="18" customFormat="1" ht="16.5" customHeight="1"/>
    <row r="804" s="18" customFormat="1" ht="16.5" customHeight="1"/>
    <row r="805" s="18" customFormat="1" ht="16.5" customHeight="1"/>
    <row r="806" s="18" customFormat="1" ht="16.5" customHeight="1"/>
    <row r="807" s="18" customFormat="1" ht="16.5" customHeight="1"/>
    <row r="808" s="18" customFormat="1" ht="16.5" customHeight="1"/>
    <row r="809" s="18" customFormat="1" ht="16.5" customHeight="1"/>
    <row r="810" s="18" customFormat="1" ht="16.5" customHeight="1"/>
    <row r="811" s="18" customFormat="1" ht="16.5" customHeight="1"/>
    <row r="812" s="18" customFormat="1" ht="16.5" customHeight="1"/>
    <row r="813" s="18" customFormat="1" ht="16.5" customHeight="1"/>
    <row r="814" s="18" customFormat="1" ht="16.5" customHeight="1"/>
    <row r="815" s="18" customFormat="1" ht="16.5" customHeight="1"/>
    <row r="816" s="18" customFormat="1" ht="16.5" customHeight="1"/>
    <row r="817" s="18" customFormat="1" ht="16.5" customHeight="1"/>
    <row r="818" s="18" customFormat="1" ht="16.5" customHeight="1"/>
    <row r="819" s="18" customFormat="1" ht="16.5" customHeight="1"/>
    <row r="820" s="18" customFormat="1" ht="16.5" customHeight="1"/>
    <row r="821" s="18" customFormat="1" ht="16.5" customHeight="1"/>
    <row r="822" s="18" customFormat="1" ht="16.5" customHeight="1"/>
    <row r="823" s="18" customFormat="1" ht="16.5" customHeight="1"/>
    <row r="824" s="18" customFormat="1" ht="16.5" customHeight="1"/>
    <row r="825" s="18" customFormat="1" ht="16.5" customHeight="1"/>
    <row r="826" s="18" customFormat="1" ht="16.5" customHeight="1"/>
    <row r="827" s="18" customFormat="1" ht="16.5" customHeight="1"/>
    <row r="828" s="18" customFormat="1" ht="16.5" customHeight="1"/>
    <row r="829" s="18" customFormat="1" ht="16.5" customHeight="1"/>
    <row r="830" s="18" customFormat="1" ht="16.5" customHeight="1"/>
    <row r="831" s="18" customFormat="1" ht="16.5" customHeight="1"/>
    <row r="832" s="18" customFormat="1" ht="16.5" customHeight="1"/>
    <row r="833" s="18" customFormat="1" ht="16.5" customHeight="1"/>
    <row r="834" s="18" customFormat="1" ht="16.5" customHeight="1"/>
    <row r="835" s="18" customFormat="1" ht="16.5" customHeight="1"/>
    <row r="836" s="18" customFormat="1" ht="16.5" customHeight="1"/>
    <row r="837" s="18" customFormat="1" ht="16.5" customHeight="1"/>
    <row r="838" s="18" customFormat="1" ht="16.5" customHeight="1"/>
    <row r="839" s="18" customFormat="1" ht="16.5" customHeight="1"/>
    <row r="840" s="18" customFormat="1" ht="16.5" customHeight="1"/>
    <row r="841" s="18" customFormat="1" ht="16.5" customHeight="1"/>
    <row r="842" s="18" customFormat="1" ht="16.5" customHeight="1"/>
    <row r="843" s="18" customFormat="1" ht="16.5" customHeight="1"/>
    <row r="844" s="18" customFormat="1" ht="16.5" customHeight="1"/>
    <row r="845" s="18" customFormat="1" ht="16.5" customHeight="1"/>
    <row r="846" s="18" customFormat="1" ht="16.5" customHeight="1"/>
    <row r="847" s="18" customFormat="1" ht="16.5" customHeight="1"/>
    <row r="848" s="18" customFormat="1" ht="16.5" customHeight="1"/>
    <row r="849" s="18" customFormat="1" ht="16.5" customHeight="1"/>
    <row r="850" s="18" customFormat="1" ht="16.5" customHeight="1"/>
    <row r="851" s="18" customFormat="1" ht="16.5" customHeight="1"/>
    <row r="852" s="18" customFormat="1" ht="16.5" customHeight="1"/>
    <row r="853" s="18" customFormat="1" ht="16.5" customHeight="1"/>
    <row r="854" s="18" customFormat="1" ht="16.5" customHeight="1"/>
    <row r="855" s="18" customFormat="1" ht="16.5" customHeight="1"/>
    <row r="856" s="18" customFormat="1" ht="16.5" customHeight="1"/>
    <row r="857" s="18" customFormat="1" ht="16.5" customHeight="1"/>
    <row r="858" s="18" customFormat="1" ht="16.5" customHeight="1"/>
    <row r="859" s="18" customFormat="1" ht="16.5" customHeight="1"/>
    <row r="860" s="18" customFormat="1" ht="16.5" customHeight="1"/>
    <row r="861" s="18" customFormat="1" ht="16.5" customHeight="1"/>
    <row r="862" s="18" customFormat="1" ht="16.5" customHeight="1"/>
    <row r="863" s="18" customFormat="1" ht="16.5" customHeight="1"/>
    <row r="864" s="18" customFormat="1" ht="16.5" customHeight="1"/>
    <row r="865" s="18" customFormat="1" ht="16.5" customHeight="1"/>
    <row r="866" s="18" customFormat="1" ht="16.5" customHeight="1"/>
    <row r="867" s="18" customFormat="1" ht="16.5" customHeight="1"/>
    <row r="868" s="18" customFormat="1" ht="16.5" customHeight="1"/>
    <row r="869" s="18" customFormat="1" ht="16.5" customHeight="1"/>
    <row r="870" s="18" customFormat="1" ht="16.5" customHeight="1"/>
    <row r="871" s="18" customFormat="1" ht="16.5" customHeight="1"/>
    <row r="872" s="18" customFormat="1" ht="16.5" customHeight="1"/>
    <row r="873" s="18" customFormat="1" ht="16.5" customHeight="1"/>
    <row r="874" s="18" customFormat="1" ht="16.5" customHeight="1"/>
    <row r="875" s="18" customFormat="1" ht="16.5" customHeight="1"/>
    <row r="876" s="18" customFormat="1" ht="16.5" customHeight="1"/>
    <row r="877" s="18" customFormat="1" ht="16.5" customHeight="1"/>
    <row r="878" s="18" customFormat="1" ht="16.5" customHeight="1"/>
    <row r="879" s="18" customFormat="1" ht="16.5" customHeight="1"/>
    <row r="880" s="18" customFormat="1" ht="16.5" customHeight="1"/>
    <row r="881" s="18" customFormat="1" ht="16.5" customHeight="1"/>
    <row r="882" s="18" customFormat="1" ht="16.5" customHeight="1"/>
    <row r="883" s="18" customFormat="1" ht="16.5" customHeight="1"/>
    <row r="884" s="18" customFormat="1" ht="16.5" customHeight="1"/>
    <row r="885" s="18" customFormat="1" ht="16.5" customHeight="1"/>
    <row r="886" s="18" customFormat="1" ht="16.5" customHeight="1"/>
    <row r="887" s="18" customFormat="1" ht="16.5" customHeight="1"/>
    <row r="888" s="18" customFormat="1" ht="16.5" customHeight="1"/>
    <row r="889" s="18" customFormat="1" ht="16.5" customHeight="1"/>
    <row r="890" s="18" customFormat="1" ht="16.5" customHeight="1"/>
    <row r="891" s="18" customFormat="1" ht="16.5" customHeight="1"/>
    <row r="892" s="18" customFormat="1" ht="16.5" customHeight="1"/>
    <row r="893" s="18" customFormat="1" ht="16.5" customHeight="1"/>
    <row r="894" s="18" customFormat="1" ht="16.5" customHeight="1"/>
    <row r="895" s="18" customFormat="1" ht="16.5" customHeight="1"/>
    <row r="896" s="18" customFormat="1" ht="16.5" customHeight="1"/>
    <row r="897" s="18" customFormat="1" ht="16.5" customHeight="1"/>
    <row r="898" s="18" customFormat="1" ht="16.5" customHeight="1"/>
    <row r="899" s="18" customFormat="1" ht="16.5" customHeight="1"/>
    <row r="900" s="18" customFormat="1" ht="16.5" customHeight="1"/>
    <row r="901" s="18" customFormat="1" ht="16.5" customHeight="1"/>
    <row r="902" s="18" customFormat="1" ht="16.5" customHeight="1"/>
    <row r="903" s="18" customFormat="1" ht="16.5" customHeight="1"/>
    <row r="904" s="18" customFormat="1" ht="16.5" customHeight="1"/>
    <row r="905" s="18" customFormat="1" ht="16.5" customHeight="1"/>
    <row r="906" s="18" customFormat="1" ht="16.5" customHeight="1"/>
    <row r="907" s="18" customFormat="1" ht="16.5" customHeight="1"/>
    <row r="908" s="18" customFormat="1" ht="16.5" customHeight="1"/>
    <row r="909" s="18" customFormat="1" ht="16.5" customHeight="1"/>
    <row r="910" s="18" customFormat="1" ht="16.5" customHeight="1"/>
    <row r="911" s="18" customFormat="1" ht="16.5" customHeight="1"/>
    <row r="912" s="18" customFormat="1" ht="16.5" customHeight="1"/>
    <row r="913" s="18" customFormat="1" ht="16.5" customHeight="1"/>
    <row r="914" s="18" customFormat="1" ht="16.5" customHeight="1"/>
    <row r="915" s="18" customFormat="1" ht="16.5" customHeight="1"/>
    <row r="916" s="18" customFormat="1" ht="16.5" customHeight="1"/>
    <row r="917" s="18" customFormat="1" ht="16.5" customHeight="1"/>
    <row r="918" s="18" customFormat="1" ht="16.5" customHeight="1"/>
    <row r="919" s="18" customFormat="1" ht="16.5" customHeight="1"/>
    <row r="920" s="18" customFormat="1" ht="16.5" customHeight="1"/>
    <row r="921" s="18" customFormat="1" ht="16.5" customHeight="1"/>
    <row r="922" s="18" customFormat="1" ht="16.5" customHeight="1"/>
    <row r="923" s="18" customFormat="1" ht="16.5" customHeight="1"/>
    <row r="924" s="18" customFormat="1" ht="16.5" customHeight="1"/>
    <row r="925" s="18" customFormat="1" ht="16.5" customHeight="1"/>
    <row r="926" s="18" customFormat="1" ht="16.5" customHeight="1"/>
    <row r="927" s="18" customFormat="1" ht="16.5" customHeight="1"/>
    <row r="928" s="18" customFormat="1" ht="16.5" customHeight="1"/>
    <row r="929" s="18" customFormat="1" ht="16.5" customHeight="1"/>
    <row r="930" s="18" customFormat="1" ht="16.5" customHeight="1"/>
    <row r="931" s="18" customFormat="1" ht="16.5" customHeight="1"/>
    <row r="932" s="18" customFormat="1" ht="16.5" customHeight="1"/>
    <row r="933" s="18" customFormat="1" ht="16.5" customHeight="1"/>
    <row r="934" s="18" customFormat="1" ht="16.5" customHeight="1"/>
    <row r="935" s="18" customFormat="1" ht="16.5" customHeight="1"/>
    <row r="936" s="18" customFormat="1" ht="16.5" customHeight="1"/>
    <row r="937" s="18" customFormat="1" ht="16.5" customHeight="1"/>
    <row r="938" s="18" customFormat="1" ht="16.5" customHeight="1"/>
    <row r="939" s="18" customFormat="1" ht="16.5" customHeight="1"/>
    <row r="940" s="18" customFormat="1" ht="16.5" customHeight="1"/>
    <row r="941" s="18" customFormat="1" ht="16.5" customHeight="1"/>
    <row r="942" s="18" customFormat="1" ht="16.5" customHeight="1"/>
    <row r="943" s="18" customFormat="1" ht="16.5" customHeight="1"/>
    <row r="944" s="18" customFormat="1" ht="16.5" customHeight="1"/>
    <row r="945" s="18" customFormat="1" ht="16.5" customHeight="1"/>
    <row r="946" s="18" customFormat="1" ht="16.5" customHeight="1"/>
    <row r="947" s="18" customFormat="1" ht="16.5" customHeight="1"/>
    <row r="948" s="18" customFormat="1" ht="16.5" customHeight="1"/>
    <row r="949" s="18" customFormat="1" ht="16.5" customHeight="1"/>
    <row r="950" s="18" customFormat="1" ht="16.5" customHeight="1"/>
    <row r="951" s="18" customFormat="1" ht="16.5" customHeight="1"/>
    <row r="952" s="18" customFormat="1" ht="16.5" customHeight="1"/>
    <row r="953" s="18" customFormat="1" ht="16.5" customHeight="1"/>
    <row r="954" s="18" customFormat="1" ht="16.5" customHeight="1"/>
    <row r="955" s="18" customFormat="1" ht="16.5" customHeight="1"/>
    <row r="956" s="18" customFormat="1" ht="16.5" customHeight="1"/>
    <row r="957" s="18" customFormat="1" ht="16.5" customHeight="1"/>
    <row r="958" s="18" customFormat="1" ht="16.5" customHeight="1"/>
    <row r="959" s="18" customFormat="1" ht="16.5" customHeight="1"/>
    <row r="960" s="18" customFormat="1" ht="16.5" customHeight="1"/>
    <row r="961" s="18" customFormat="1" ht="16.5" customHeight="1"/>
    <row r="962" s="18" customFormat="1" ht="16.5" customHeight="1"/>
    <row r="963" s="18" customFormat="1" ht="16.5" customHeight="1"/>
    <row r="964" s="18" customFormat="1" ht="16.5" customHeight="1"/>
    <row r="965" s="18" customFormat="1" ht="16.5" customHeight="1"/>
    <row r="966" s="18" customFormat="1" ht="16.5" customHeight="1"/>
    <row r="967" s="18" customFormat="1" ht="16.5" customHeight="1"/>
    <row r="968" s="18" customFormat="1" ht="16.5" customHeight="1"/>
    <row r="969" s="18" customFormat="1" ht="16.5" customHeight="1"/>
    <row r="970" s="18" customFormat="1" ht="16.5" customHeight="1"/>
    <row r="971" s="18" customFormat="1" ht="16.5" customHeight="1"/>
    <row r="972" s="18" customFormat="1" ht="16.5" customHeight="1"/>
    <row r="973" s="18" customFormat="1" ht="16.5" customHeight="1"/>
    <row r="974" s="18" customFormat="1" ht="16.5" customHeight="1"/>
    <row r="975" s="18" customFormat="1" ht="16.5" customHeight="1"/>
    <row r="976" s="18" customFormat="1" ht="16.5" customHeight="1"/>
    <row r="977" s="18" customFormat="1" ht="16.5" customHeight="1"/>
    <row r="978" s="18" customFormat="1" ht="16.5" customHeight="1"/>
    <row r="979" s="18" customFormat="1" ht="16.5" customHeight="1"/>
    <row r="980" s="18" customFormat="1" ht="16.5" customHeight="1"/>
    <row r="981" s="18" customFormat="1" ht="16.5" customHeight="1"/>
    <row r="982" s="18" customFormat="1" ht="16.5" customHeight="1"/>
    <row r="983" s="18" customFormat="1" ht="16.5" customHeight="1"/>
    <row r="984" s="18" customFormat="1" ht="16.5" customHeight="1"/>
    <row r="985" s="18" customFormat="1" ht="16.5" customHeight="1"/>
    <row r="986" s="18" customFormat="1" ht="16.5" customHeight="1"/>
    <row r="987" s="18" customFormat="1" ht="16.5" customHeight="1"/>
    <row r="988" s="18" customFormat="1" ht="16.5" customHeight="1"/>
    <row r="989" s="18" customFormat="1" ht="16.5" customHeight="1"/>
    <row r="990" s="18" customFormat="1" ht="16.5" customHeight="1"/>
    <row r="991" s="18" customFormat="1" ht="16.5" customHeight="1"/>
    <row r="992" s="18" customFormat="1" ht="16.5" customHeight="1"/>
    <row r="993" s="18" customFormat="1" ht="16.5" customHeight="1"/>
    <row r="994" s="18" customFormat="1" ht="16.5" customHeight="1"/>
    <row r="995" s="18" customFormat="1" ht="16.5" customHeight="1"/>
    <row r="996" s="18" customFormat="1" ht="16.5" customHeight="1"/>
    <row r="997" s="18" customFormat="1" ht="16.5" customHeight="1"/>
    <row r="998" s="18" customFormat="1" ht="16.5" customHeight="1"/>
    <row r="999" s="18" customFormat="1" ht="16.5" customHeight="1"/>
    <row r="1000" s="18" customFormat="1" ht="16.5" customHeight="1"/>
    <row r="1001" s="18" customFormat="1" ht="16.5" customHeight="1"/>
    <row r="1002" s="18" customFormat="1" ht="16.5" customHeight="1"/>
    <row r="1003" s="18" customFormat="1" ht="16.5" customHeight="1"/>
    <row r="1004" s="18" customFormat="1" ht="16.5" customHeight="1"/>
    <row r="1005" s="18" customFormat="1" ht="16.5" customHeight="1"/>
    <row r="1006" s="18" customFormat="1" ht="16.5" customHeight="1"/>
    <row r="1007" s="18" customFormat="1" ht="16.5" customHeight="1"/>
    <row r="1008" s="18" customFormat="1" ht="16.5" customHeight="1"/>
    <row r="1009" s="18" customFormat="1" ht="16.5" customHeight="1"/>
    <row r="1010" s="18" customFormat="1" ht="16.5" customHeight="1"/>
    <row r="1011" s="18" customFormat="1" ht="16.5" customHeight="1"/>
    <row r="1012" s="18" customFormat="1" ht="16.5" customHeight="1"/>
    <row r="1013" s="18" customFormat="1" ht="16.5" customHeight="1"/>
    <row r="1014" s="18" customFormat="1" ht="16.5" customHeight="1"/>
    <row r="1015" s="18" customFormat="1" ht="16.5" customHeight="1"/>
    <row r="1016" s="18" customFormat="1" ht="16.5" customHeight="1"/>
    <row r="1017" s="18" customFormat="1" ht="16.5" customHeight="1"/>
    <row r="1018" s="18" customFormat="1" ht="16.5" customHeight="1"/>
    <row r="1019" s="18" customFormat="1" ht="16.5" customHeight="1"/>
    <row r="1020" s="18" customFormat="1" ht="16.5" customHeight="1"/>
    <row r="1021" s="18" customFormat="1" ht="16.5" customHeight="1"/>
    <row r="1022" s="18" customFormat="1" ht="16.5" customHeight="1"/>
    <row r="1023" s="18" customFormat="1" ht="16.5" customHeight="1"/>
    <row r="1024" s="18" customFormat="1" ht="16.5" customHeight="1"/>
    <row r="1025" s="18" customFormat="1" ht="16.5" customHeight="1"/>
  </sheetData>
  <mergeCells count="56">
    <mergeCell ref="K63:K64"/>
    <mergeCell ref="F19:F21"/>
    <mergeCell ref="J19:J21"/>
    <mergeCell ref="A1:A3"/>
    <mergeCell ref="C1:C3"/>
    <mergeCell ref="D1:F2"/>
    <mergeCell ref="G1:I2"/>
    <mergeCell ref="K1:K2"/>
    <mergeCell ref="B34:B36"/>
    <mergeCell ref="C34:C36"/>
    <mergeCell ref="C37:C57"/>
    <mergeCell ref="C58:C59"/>
    <mergeCell ref="A63:C64"/>
    <mergeCell ref="B37:B57"/>
    <mergeCell ref="B58:B59"/>
    <mergeCell ref="A4:A62"/>
    <mergeCell ref="L63:L64"/>
    <mergeCell ref="F34:F35"/>
    <mergeCell ref="J34:J36"/>
    <mergeCell ref="F37:F43"/>
    <mergeCell ref="F44:F57"/>
    <mergeCell ref="F58:F59"/>
    <mergeCell ref="K37:K57"/>
    <mergeCell ref="K58:K59"/>
    <mergeCell ref="L37:L57"/>
    <mergeCell ref="L58:L59"/>
    <mergeCell ref="K34:K36"/>
    <mergeCell ref="J37:J57"/>
    <mergeCell ref="J58:J59"/>
    <mergeCell ref="D63:F64"/>
    <mergeCell ref="G63:I64"/>
    <mergeCell ref="J63:J64"/>
    <mergeCell ref="L19:L21"/>
    <mergeCell ref="B1:B3"/>
    <mergeCell ref="B22:B25"/>
    <mergeCell ref="C22:C25"/>
    <mergeCell ref="F22:F25"/>
    <mergeCell ref="J22:J25"/>
    <mergeCell ref="K22:K25"/>
    <mergeCell ref="L22:L25"/>
    <mergeCell ref="K19:K21"/>
    <mergeCell ref="B19:B21"/>
    <mergeCell ref="C19:C21"/>
    <mergeCell ref="L32:L33"/>
    <mergeCell ref="L34:L36"/>
    <mergeCell ref="B28:B29"/>
    <mergeCell ref="C28:C29"/>
    <mergeCell ref="F28:F29"/>
    <mergeCell ref="J28:J29"/>
    <mergeCell ref="L28:L29"/>
    <mergeCell ref="K28:K29"/>
    <mergeCell ref="B32:B33"/>
    <mergeCell ref="C32:C33"/>
    <mergeCell ref="F32:F33"/>
    <mergeCell ref="J32:J33"/>
    <mergeCell ref="K32:K33"/>
  </mergeCells>
  <phoneticPr fontId="2" type="noConversion"/>
  <pageMargins left="0.7" right="0.7" top="0.75" bottom="0.75" header="0" footer="0"/>
  <pageSetup orientation="landscape"/>
  <ignoredErrors>
    <ignoredError sqref="J26:J5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2023-01-11T12:57:29Z</dcterms:created>
  <dcterms:modified xsi:type="dcterms:W3CDTF">2024-03-08T20:03:28Z</dcterms:modified>
</cp:coreProperties>
</file>