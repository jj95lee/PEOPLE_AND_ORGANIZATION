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총무부\2023\"/>
    </mc:Choice>
  </mc:AlternateContent>
  <xr:revisionPtr revIDLastSave="0" documentId="13_ncr:1_{E77FC81F-93A4-4061-B622-6DC46CE5AC3A}" xr6:coauthVersionLast="47" xr6:coauthVersionMax="47" xr10:uidLastSave="{00000000-0000-0000-0000-000000000000}"/>
  <bookViews>
    <workbookView xWindow="-120" yWindow="-120" windowWidth="29040" windowHeight="15840" tabRatio="944" firstSheet="6" activeTab="17" xr2:uid="{00000000-000D-0000-FFFF-FFFF00000000}"/>
  </bookViews>
  <sheets>
    <sheet name="07.08 오티" sheetId="16" r:id="rId1"/>
    <sheet name="07.18 합정번개" sheetId="18" r:id="rId2"/>
    <sheet name="07.29 엠티" sheetId="17" r:id="rId3"/>
    <sheet name="07.29 엠티상세" sheetId="19" r:id="rId4"/>
    <sheet name="08.04 이대 볼링" sheetId="20" r:id="rId5"/>
    <sheet name="08.12 베이킹" sheetId="21" r:id="rId6"/>
    <sheet name="08.22 마부자" sheetId="22" r:id="rId7"/>
    <sheet name="08.23 강남번개" sheetId="23" r:id="rId8"/>
    <sheet name="09.02 오티" sheetId="25" r:id="rId9"/>
    <sheet name="09.09 시장" sheetId="26" r:id="rId10"/>
    <sheet name="09.15 연극" sheetId="27" r:id="rId11"/>
    <sheet name="09.16 건대번개" sheetId="28" r:id="rId12"/>
    <sheet name="09.23 한강" sheetId="29" r:id="rId13"/>
    <sheet name="09.30 캐비" sheetId="30" r:id="rId14"/>
    <sheet name="10.14 간부수련회" sheetId="24" r:id="rId15"/>
    <sheet name="10.28 요리대회" sheetId="32" r:id="rId16"/>
    <sheet name="10.29 신촌번개" sheetId="33" r:id="rId17"/>
    <sheet name="1119 볼링" sheetId="3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4" l="1"/>
  <c r="G11" i="34"/>
  <c r="G10" i="34"/>
  <c r="G9" i="34"/>
  <c r="G8" i="34"/>
  <c r="G7" i="34"/>
  <c r="G6" i="34"/>
  <c r="G5" i="34"/>
  <c r="F8" i="34"/>
  <c r="F5" i="34"/>
  <c r="C7" i="34"/>
  <c r="C6" i="34"/>
  <c r="C5" i="34"/>
  <c r="D14" i="33"/>
  <c r="C14" i="33"/>
  <c r="E14" i="33"/>
  <c r="E12" i="33"/>
  <c r="E13" i="33"/>
  <c r="E9" i="33"/>
  <c r="E10" i="33"/>
  <c r="E11" i="33"/>
  <c r="E8" i="33"/>
  <c r="E7" i="33"/>
  <c r="E6" i="33"/>
  <c r="E5" i="33"/>
  <c r="D36" i="32"/>
  <c r="E36" i="32"/>
  <c r="H30" i="32"/>
  <c r="I30" i="32"/>
  <c r="C36" i="32"/>
  <c r="I27" i="32"/>
  <c r="I28" i="32"/>
  <c r="I29" i="32"/>
  <c r="H8" i="32"/>
  <c r="I10" i="32"/>
  <c r="I11" i="32"/>
  <c r="I12" i="32"/>
  <c r="I13" i="32"/>
  <c r="I14" i="32"/>
  <c r="I15" i="32"/>
  <c r="I16" i="32"/>
  <c r="I17" i="32"/>
  <c r="I18" i="32"/>
  <c r="I20" i="32"/>
  <c r="I21" i="32"/>
  <c r="I22" i="32"/>
  <c r="I23" i="32"/>
  <c r="I25" i="32"/>
  <c r="I26" i="32"/>
  <c r="I7" i="32"/>
  <c r="I6" i="32"/>
  <c r="F25" i="32"/>
  <c r="F18" i="32"/>
  <c r="F9" i="32"/>
  <c r="I9" i="32" s="1"/>
  <c r="F8" i="32"/>
  <c r="F19" i="32"/>
  <c r="I19" i="32" s="1"/>
  <c r="F17" i="32"/>
  <c r="F6" i="32"/>
  <c r="F24" i="32"/>
  <c r="I24" i="32" s="1"/>
  <c r="J9" i="24"/>
  <c r="K9" i="24" s="1"/>
  <c r="K15" i="24"/>
  <c r="K14" i="24"/>
  <c r="K13" i="24"/>
  <c r="K12" i="24"/>
  <c r="K11" i="24"/>
  <c r="K10" i="24"/>
  <c r="K8" i="24"/>
  <c r="J16" i="24"/>
  <c r="E16" i="24"/>
  <c r="F16" i="24"/>
  <c r="G16" i="24"/>
  <c r="I16" i="24"/>
  <c r="D16" i="24"/>
  <c r="C16" i="24"/>
  <c r="G11" i="30"/>
  <c r="G7" i="30"/>
  <c r="G8" i="30"/>
  <c r="G9" i="30"/>
  <c r="G10" i="30"/>
  <c r="G6" i="30"/>
  <c r="G5" i="30"/>
  <c r="G13" i="34" l="1"/>
  <c r="F13" i="34"/>
  <c r="I8" i="32"/>
  <c r="K16" i="24"/>
  <c r="I20" i="29"/>
  <c r="I3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D23" i="29"/>
  <c r="E23" i="29"/>
  <c r="F23" i="29"/>
  <c r="C23" i="29"/>
  <c r="C20" i="29"/>
  <c r="H8" i="29"/>
  <c r="D20" i="29"/>
  <c r="F15" i="28"/>
  <c r="E20" i="28"/>
  <c r="C20" i="28"/>
  <c r="D20" i="28"/>
  <c r="D27" i="28"/>
  <c r="D26" i="28"/>
  <c r="F11" i="28"/>
  <c r="F12" i="28"/>
  <c r="F13" i="28"/>
  <c r="F14" i="28"/>
  <c r="F7" i="28"/>
  <c r="F8" i="28"/>
  <c r="F9" i="28"/>
  <c r="F10" i="28"/>
  <c r="F6" i="28"/>
  <c r="F5" i="28"/>
  <c r="F4" i="28"/>
  <c r="I6" i="27"/>
  <c r="I7" i="27"/>
  <c r="I8" i="27"/>
  <c r="I9" i="27"/>
  <c r="I10" i="27"/>
  <c r="I11" i="27"/>
  <c r="I12" i="27"/>
  <c r="I13" i="27"/>
  <c r="I14" i="27"/>
  <c r="I15" i="27"/>
  <c r="I5" i="27"/>
  <c r="I4" i="27"/>
  <c r="H16" i="27"/>
  <c r="C26" i="26"/>
  <c r="I16" i="27" l="1"/>
  <c r="C29" i="26"/>
  <c r="E24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8" i="26"/>
  <c r="E7" i="26"/>
  <c r="M32" i="25"/>
  <c r="M31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6" i="25"/>
  <c r="M5" i="25"/>
  <c r="L32" i="25"/>
  <c r="E25" i="26" l="1"/>
  <c r="D15" i="23"/>
  <c r="G10" i="22"/>
  <c r="G9" i="22"/>
  <c r="G8" i="22"/>
  <c r="G6" i="22"/>
  <c r="G7" i="22"/>
  <c r="F6" i="22"/>
  <c r="F7" i="22"/>
  <c r="F8" i="22"/>
  <c r="F9" i="22"/>
  <c r="F10" i="22"/>
  <c r="J22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C22" i="21"/>
  <c r="I22" i="21"/>
  <c r="W22" i="20"/>
  <c r="W9" i="20"/>
  <c r="W10" i="20"/>
  <c r="W11" i="20"/>
  <c r="W12" i="20"/>
  <c r="W13" i="20"/>
  <c r="W14" i="20"/>
  <c r="W15" i="20"/>
  <c r="W16" i="20"/>
  <c r="W17" i="20"/>
  <c r="W18" i="20"/>
  <c r="W19" i="20"/>
  <c r="W20" i="20"/>
  <c r="W21" i="20"/>
  <c r="W8" i="20"/>
  <c r="A26" i="20"/>
  <c r="S26" i="20" s="1"/>
  <c r="Y26" i="20" s="1"/>
  <c r="B26" i="20"/>
  <c r="J21" i="19"/>
  <c r="K21" i="19" s="1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E21" i="19"/>
  <c r="F21" i="19"/>
  <c r="G21" i="19"/>
  <c r="I21" i="19"/>
  <c r="D21" i="19"/>
  <c r="C21" i="19"/>
  <c r="F10" i="17"/>
  <c r="E10" i="17"/>
  <c r="G9" i="17"/>
  <c r="H8" i="17"/>
  <c r="G8" i="17"/>
  <c r="G7" i="17"/>
  <c r="H6" i="17"/>
  <c r="G6" i="17"/>
  <c r="H5" i="17"/>
  <c r="H10" i="17" s="1"/>
  <c r="G5" i="17"/>
  <c r="G10" i="17" s="1"/>
  <c r="N29" i="16"/>
  <c r="N28" i="16"/>
  <c r="N30" i="16"/>
  <c r="N27" i="16"/>
  <c r="N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M30" i="16"/>
  <c r="F11" i="22" l="1"/>
  <c r="X13" i="20"/>
  <c r="V13" i="20" s="1"/>
  <c r="X20" i="20"/>
  <c r="V20" i="20" s="1"/>
  <c r="X16" i="20"/>
  <c r="V16" i="20" s="1"/>
  <c r="X12" i="20"/>
  <c r="V12" i="20" s="1"/>
  <c r="X22" i="20"/>
  <c r="V22" i="20" s="1"/>
  <c r="X19" i="20"/>
  <c r="V19" i="20" s="1"/>
  <c r="X15" i="20"/>
  <c r="V15" i="20" s="1"/>
  <c r="X11" i="20"/>
  <c r="V11" i="20" s="1"/>
  <c r="X8" i="20"/>
  <c r="V8" i="20" s="1"/>
  <c r="X18" i="20"/>
  <c r="V18" i="20" s="1"/>
  <c r="X14" i="20"/>
  <c r="V14" i="20" s="1"/>
  <c r="X10" i="20"/>
  <c r="V10" i="20" s="1"/>
  <c r="X21" i="20"/>
  <c r="V21" i="20" s="1"/>
  <c r="X17" i="20"/>
  <c r="V17" i="20" s="1"/>
  <c r="X9" i="20"/>
  <c r="V9" i="20" s="1"/>
  <c r="V24" i="20" l="1"/>
</calcChain>
</file>

<file path=xl/sharedStrings.xml><?xml version="1.0" encoding="utf-8"?>
<sst xmlns="http://schemas.openxmlformats.org/spreadsheetml/2006/main" count="528" uniqueCount="213">
  <si>
    <t>회원명</t>
  </si>
  <si>
    <t>대관비</t>
  </si>
  <si>
    <t>편의점</t>
  </si>
  <si>
    <t>합계</t>
  </si>
  <si>
    <t>회비지원</t>
  </si>
  <si>
    <t>피.치.엽</t>
  </si>
  <si>
    <t>귀가시간</t>
  </si>
  <si>
    <t>이진진</t>
    <phoneticPr fontId="4" type="noConversion"/>
  </si>
  <si>
    <t>김주곤</t>
    <phoneticPr fontId="4" type="noConversion"/>
  </si>
  <si>
    <t>윤민식</t>
    <phoneticPr fontId="4" type="noConversion"/>
  </si>
  <si>
    <t>이수민</t>
    <phoneticPr fontId="4" type="noConversion"/>
  </si>
  <si>
    <t>이규엽</t>
    <phoneticPr fontId="4" type="noConversion"/>
  </si>
  <si>
    <t>최지훈</t>
    <phoneticPr fontId="4" type="noConversion"/>
  </si>
  <si>
    <t>이광민</t>
    <phoneticPr fontId="4" type="noConversion"/>
  </si>
  <si>
    <t>신혜원</t>
    <phoneticPr fontId="4" type="noConversion"/>
  </si>
  <si>
    <t>김세미</t>
    <phoneticPr fontId="4" type="noConversion"/>
  </si>
  <si>
    <t>결제</t>
    <phoneticPr fontId="4" type="noConversion"/>
  </si>
  <si>
    <t>김채린</t>
    <phoneticPr fontId="4" type="noConversion"/>
  </si>
  <si>
    <t>강준</t>
    <phoneticPr fontId="4" type="noConversion"/>
  </si>
  <si>
    <t>홍채원</t>
    <phoneticPr fontId="4" type="noConversion"/>
  </si>
  <si>
    <t>이원준</t>
    <phoneticPr fontId="4" type="noConversion"/>
  </si>
  <si>
    <t>조은서</t>
    <phoneticPr fontId="4" type="noConversion"/>
  </si>
  <si>
    <t>차은서</t>
    <phoneticPr fontId="4" type="noConversion"/>
  </si>
  <si>
    <t>양진석</t>
    <phoneticPr fontId="4" type="noConversion"/>
  </si>
  <si>
    <t>박소현</t>
    <phoneticPr fontId="4" type="noConversion"/>
  </si>
  <si>
    <t>조용근</t>
    <phoneticPr fontId="4" type="noConversion"/>
  </si>
  <si>
    <t>김태형</t>
    <phoneticPr fontId="4" type="noConversion"/>
  </si>
  <si>
    <t>이예림</t>
    <phoneticPr fontId="4" type="noConversion"/>
  </si>
  <si>
    <t>이종헌</t>
    <phoneticPr fontId="4" type="noConversion"/>
  </si>
  <si>
    <t>김민지</t>
    <phoneticPr fontId="4" type="noConversion"/>
  </si>
  <si>
    <t>06:00</t>
    <phoneticPr fontId="4" type="noConversion"/>
  </si>
  <si>
    <t>05:20</t>
    <phoneticPr fontId="4" type="noConversion"/>
  </si>
  <si>
    <t>04:30</t>
    <phoneticPr fontId="4" type="noConversion"/>
  </si>
  <si>
    <t>03:50</t>
    <phoneticPr fontId="4" type="noConversion"/>
  </si>
  <si>
    <t>02:00</t>
    <phoneticPr fontId="4" type="noConversion"/>
  </si>
  <si>
    <t>02:30</t>
    <phoneticPr fontId="4" type="noConversion"/>
  </si>
  <si>
    <t>23:40</t>
    <phoneticPr fontId="4" type="noConversion"/>
  </si>
  <si>
    <t>23:59</t>
    <phoneticPr fontId="4" type="noConversion"/>
  </si>
  <si>
    <t>23:15</t>
    <phoneticPr fontId="4" type="noConversion"/>
  </si>
  <si>
    <t>23:00</t>
    <phoneticPr fontId="4" type="noConversion"/>
  </si>
  <si>
    <t>22:00</t>
    <phoneticPr fontId="4" type="noConversion"/>
  </si>
  <si>
    <t>01:30</t>
    <phoneticPr fontId="4" type="noConversion"/>
  </si>
  <si>
    <t>19:46</t>
    <phoneticPr fontId="4" type="noConversion"/>
  </si>
  <si>
    <t>01:34</t>
    <phoneticPr fontId="4" type="noConversion"/>
  </si>
  <si>
    <t>05:42</t>
    <phoneticPr fontId="4" type="noConversion"/>
  </si>
  <si>
    <t>입장시간</t>
    <phoneticPr fontId="4" type="noConversion"/>
  </si>
  <si>
    <t>19:00</t>
    <phoneticPr fontId="4" type="noConversion"/>
  </si>
  <si>
    <t>22:45</t>
    <phoneticPr fontId="4" type="noConversion"/>
  </si>
  <si>
    <t>05:40</t>
    <phoneticPr fontId="4" type="noConversion"/>
  </si>
  <si>
    <t>20:00~</t>
    <phoneticPr fontId="8" type="noConversion"/>
  </si>
  <si>
    <t>레크레이션 및 자유시간</t>
    <phoneticPr fontId="8" type="noConversion"/>
  </si>
  <si>
    <t>18:30~20:00</t>
    <phoneticPr fontId="8" type="noConversion"/>
  </si>
  <si>
    <t>저녁식사</t>
    <phoneticPr fontId="8" type="noConversion"/>
  </si>
  <si>
    <t>18:00~18:30</t>
    <phoneticPr fontId="8" type="noConversion"/>
  </si>
  <si>
    <t>숙소로 이동</t>
    <phoneticPr fontId="8" type="noConversion"/>
  </si>
  <si>
    <t>17:00~18:00</t>
    <phoneticPr fontId="8" type="noConversion"/>
  </si>
  <si>
    <t>탈의 및 샤워</t>
    <phoneticPr fontId="8" type="noConversion"/>
  </si>
  <si>
    <t>13:00~17:00</t>
    <phoneticPr fontId="8" type="noConversion"/>
  </si>
  <si>
    <t>수상레저 이용</t>
    <phoneticPr fontId="8" type="noConversion"/>
  </si>
  <si>
    <t>12:00~13:00</t>
    <phoneticPr fontId="8" type="noConversion"/>
  </si>
  <si>
    <t>점심식사</t>
    <phoneticPr fontId="8" type="noConversion"/>
  </si>
  <si>
    <t>11:00~12:00</t>
    <phoneticPr fontId="8" type="noConversion"/>
  </si>
  <si>
    <t>10:30~11:00</t>
    <phoneticPr fontId="8" type="noConversion"/>
  </si>
  <si>
    <t>탈의 및 이용 준비 시간</t>
    <phoneticPr fontId="8" type="noConversion"/>
  </si>
  <si>
    <t>10:00~10:30</t>
    <phoneticPr fontId="8" type="noConversion"/>
  </si>
  <si>
    <t>수상레저 장소 이동</t>
    <phoneticPr fontId="8" type="noConversion"/>
  </si>
  <si>
    <t>숙소 도착 (짐만 맡김)</t>
    <phoneticPr fontId="8" type="noConversion"/>
  </si>
  <si>
    <t>09:30~10:00</t>
    <phoneticPr fontId="8" type="noConversion"/>
  </si>
  <si>
    <t>08:00~09:30</t>
    <phoneticPr fontId="8" type="noConversion"/>
  </si>
  <si>
    <t>강촌역으로 이동</t>
    <phoneticPr fontId="8" type="noConversion"/>
  </si>
  <si>
    <t>08:00</t>
    <phoneticPr fontId="8" type="noConversion"/>
  </si>
  <si>
    <t>회기역 or 청량리역 집합</t>
    <phoneticPr fontId="8" type="noConversion"/>
  </si>
  <si>
    <t>일정</t>
    <phoneticPr fontId="8" type="noConversion"/>
  </si>
  <si>
    <t>합계</t>
    <phoneticPr fontId="8" type="noConversion"/>
  </si>
  <si>
    <t>술, 안주 비용</t>
    <phoneticPr fontId="8" type="noConversion"/>
  </si>
  <si>
    <t>-</t>
    <phoneticPr fontId="8" type="noConversion"/>
  </si>
  <si>
    <t>아쿠아슈즈(없는 사람만)</t>
    <phoneticPr fontId="8" type="noConversion"/>
  </si>
  <si>
    <t>숙소 5인실(2개)</t>
    <phoneticPr fontId="8" type="noConversion"/>
  </si>
  <si>
    <t>바베큐 무제한</t>
    <phoneticPr fontId="8" type="noConversion"/>
  </si>
  <si>
    <t>기본수상레저+놀이기구3개</t>
    <phoneticPr fontId="8" type="noConversion"/>
  </si>
  <si>
    <t>당일 이용시</t>
    <phoneticPr fontId="8" type="noConversion"/>
  </si>
  <si>
    <t>1박 이용시</t>
    <phoneticPr fontId="8" type="noConversion"/>
  </si>
  <si>
    <t>실 사용 금액</t>
    <phoneticPr fontId="8" type="noConversion"/>
  </si>
  <si>
    <t>회비 지원</t>
    <phoneticPr fontId="8" type="noConversion"/>
  </si>
  <si>
    <t>지출</t>
    <phoneticPr fontId="8" type="noConversion"/>
  </si>
  <si>
    <t>비용(1인당)</t>
    <phoneticPr fontId="8" type="noConversion"/>
  </si>
  <si>
    <t>예상견적</t>
    <phoneticPr fontId="8" type="noConversion"/>
  </si>
  <si>
    <t>비용</t>
    <phoneticPr fontId="4" type="noConversion"/>
  </si>
  <si>
    <t>이성현</t>
    <phoneticPr fontId="4" type="noConversion"/>
  </si>
  <si>
    <t>안상기</t>
    <phoneticPr fontId="4" type="noConversion"/>
  </si>
  <si>
    <t>이주희</t>
    <phoneticPr fontId="4" type="noConversion"/>
  </si>
  <si>
    <t>수상레저</t>
    <phoneticPr fontId="4" type="noConversion"/>
  </si>
  <si>
    <t>10:30~12:00</t>
    <phoneticPr fontId="4" type="noConversion"/>
  </si>
  <si>
    <t>13:00~16:00</t>
    <phoneticPr fontId="4" type="noConversion"/>
  </si>
  <si>
    <t>19:00~20:00</t>
    <phoneticPr fontId="4" type="noConversion"/>
  </si>
  <si>
    <t>20:00~06:00</t>
    <phoneticPr fontId="4" type="noConversion"/>
  </si>
  <si>
    <t>숙소</t>
    <phoneticPr fontId="4" type="noConversion"/>
  </si>
  <si>
    <t>저녁식사</t>
    <phoneticPr fontId="4" type="noConversion"/>
  </si>
  <si>
    <t>술, 안주</t>
    <phoneticPr fontId="4" type="noConversion"/>
  </si>
  <si>
    <t>아쿠아삭스</t>
    <phoneticPr fontId="4" type="noConversion"/>
  </si>
  <si>
    <t>해장국</t>
    <phoneticPr fontId="4" type="noConversion"/>
  </si>
  <si>
    <t>점심식사</t>
    <phoneticPr fontId="4" type="noConversion"/>
  </si>
  <si>
    <t>합계</t>
    <phoneticPr fontId="4" type="noConversion"/>
  </si>
  <si>
    <t>03:00</t>
    <phoneticPr fontId="4" type="noConversion"/>
  </si>
  <si>
    <t>02:00</t>
    <phoneticPr fontId="4" type="noConversion"/>
  </si>
  <si>
    <t>황인우</t>
    <phoneticPr fontId="4" type="noConversion"/>
  </si>
  <si>
    <t>김보라</t>
    <phoneticPr fontId="4" type="noConversion"/>
  </si>
  <si>
    <t>홍석범</t>
    <phoneticPr fontId="4" type="noConversion"/>
  </si>
  <si>
    <t>00:00</t>
    <phoneticPr fontId="4" type="noConversion"/>
  </si>
  <si>
    <t>19:30</t>
    <phoneticPr fontId="4" type="noConversion"/>
  </si>
  <si>
    <t>20:00</t>
    <phoneticPr fontId="4" type="noConversion"/>
  </si>
  <si>
    <t>20:30</t>
    <phoneticPr fontId="4" type="noConversion"/>
  </si>
  <si>
    <t>21:00</t>
    <phoneticPr fontId="4" type="noConversion"/>
  </si>
  <si>
    <t>21:30</t>
    <phoneticPr fontId="4" type="noConversion"/>
  </si>
  <si>
    <t>22:00</t>
    <phoneticPr fontId="4" type="noConversion"/>
  </si>
  <si>
    <t>22:30</t>
    <phoneticPr fontId="4" type="noConversion"/>
  </si>
  <si>
    <t>23:30</t>
    <phoneticPr fontId="4" type="noConversion"/>
  </si>
  <si>
    <t>00:30</t>
    <phoneticPr fontId="4" type="noConversion"/>
  </si>
  <si>
    <t>01:00</t>
    <phoneticPr fontId="4" type="noConversion"/>
  </si>
  <si>
    <t>02:30</t>
    <phoneticPr fontId="4" type="noConversion"/>
  </si>
  <si>
    <t>김민구</t>
    <phoneticPr fontId="4" type="noConversion"/>
  </si>
  <si>
    <t>오소현</t>
    <phoneticPr fontId="4" type="noConversion"/>
  </si>
  <si>
    <t>이향리</t>
    <phoneticPr fontId="4" type="noConversion"/>
  </si>
  <si>
    <t>신재원</t>
    <phoneticPr fontId="4" type="noConversion"/>
  </si>
  <si>
    <t>김명래</t>
    <phoneticPr fontId="4" type="noConversion"/>
  </si>
  <si>
    <t>김구름</t>
    <phoneticPr fontId="4" type="noConversion"/>
  </si>
  <si>
    <t>임정연</t>
    <phoneticPr fontId="4" type="noConversion"/>
  </si>
  <si>
    <t>박서현</t>
    <phoneticPr fontId="4" type="noConversion"/>
  </si>
  <si>
    <t>18:00~20:00</t>
    <phoneticPr fontId="4" type="noConversion"/>
  </si>
  <si>
    <t>베이킹</t>
    <phoneticPr fontId="4" type="noConversion"/>
  </si>
  <si>
    <t>20:00~21:00</t>
    <phoneticPr fontId="4" type="noConversion"/>
  </si>
  <si>
    <t>21:00~22:00</t>
    <phoneticPr fontId="4" type="noConversion"/>
  </si>
  <si>
    <t>22:00~23:00</t>
    <phoneticPr fontId="4" type="noConversion"/>
  </si>
  <si>
    <t>23:00~00:00</t>
    <phoneticPr fontId="4" type="noConversion"/>
  </si>
  <si>
    <t>00:00~00:30</t>
    <phoneticPr fontId="4" type="noConversion"/>
  </si>
  <si>
    <t>이름</t>
    <phoneticPr fontId="4" type="noConversion"/>
  </si>
  <si>
    <t>뒤풀이</t>
    <phoneticPr fontId="4" type="noConversion"/>
  </si>
  <si>
    <t>유지훈</t>
    <phoneticPr fontId="4" type="noConversion"/>
  </si>
  <si>
    <t>1차</t>
    <phoneticPr fontId="4" type="noConversion"/>
  </si>
  <si>
    <r>
      <rPr>
        <b/>
        <sz val="12"/>
        <color rgb="FF000000"/>
        <rFont val="맑은 고딕"/>
        <family val="3"/>
        <charset val="129"/>
      </rPr>
      <t>2</t>
    </r>
    <r>
      <rPr>
        <b/>
        <sz val="11"/>
        <color rgb="FF000000"/>
        <rFont val="맑은 고딕"/>
        <family val="3"/>
        <charset val="129"/>
      </rPr>
      <t>차</t>
    </r>
    <phoneticPr fontId="4" type="noConversion"/>
  </si>
  <si>
    <t>권희원</t>
    <phoneticPr fontId="4" type="noConversion"/>
  </si>
  <si>
    <t>김지우</t>
    <phoneticPr fontId="4" type="noConversion"/>
  </si>
  <si>
    <t>이주연</t>
    <phoneticPr fontId="4" type="noConversion"/>
  </si>
  <si>
    <t>최가원</t>
    <phoneticPr fontId="4" type="noConversion"/>
  </si>
  <si>
    <t>입장시각</t>
    <phoneticPr fontId="4" type="noConversion"/>
  </si>
  <si>
    <t>귀가시각</t>
    <phoneticPr fontId="4" type="noConversion"/>
  </si>
  <si>
    <t>21:30</t>
  </si>
  <si>
    <t>송재민</t>
    <phoneticPr fontId="4" type="noConversion"/>
  </si>
  <si>
    <t>김용현</t>
    <phoneticPr fontId="4" type="noConversion"/>
  </si>
  <si>
    <t>배규현</t>
    <phoneticPr fontId="4" type="noConversion"/>
  </si>
  <si>
    <t>04:00</t>
    <phoneticPr fontId="4" type="noConversion"/>
  </si>
  <si>
    <t>03:30</t>
    <phoneticPr fontId="4" type="noConversion"/>
  </si>
  <si>
    <t>배환규</t>
    <phoneticPr fontId="4" type="noConversion"/>
  </si>
  <si>
    <t>백성옥</t>
    <phoneticPr fontId="4" type="noConversion"/>
  </si>
  <si>
    <t>오승준</t>
    <phoneticPr fontId="4" type="noConversion"/>
  </si>
  <si>
    <t>07:00</t>
  </si>
  <si>
    <t>신희찬</t>
    <phoneticPr fontId="4" type="noConversion"/>
  </si>
  <si>
    <t>민현호</t>
    <phoneticPr fontId="4" type="noConversion"/>
  </si>
  <si>
    <t>문제원</t>
    <phoneticPr fontId="4" type="noConversion"/>
  </si>
  <si>
    <t>~21:27</t>
    <phoneticPr fontId="4" type="noConversion"/>
  </si>
  <si>
    <t>21:41</t>
    <phoneticPr fontId="4" type="noConversion"/>
  </si>
  <si>
    <t>23:32</t>
    <phoneticPr fontId="4" type="noConversion"/>
  </si>
  <si>
    <t>00:54</t>
    <phoneticPr fontId="4" type="noConversion"/>
  </si>
  <si>
    <t>03:31</t>
    <phoneticPr fontId="4" type="noConversion"/>
  </si>
  <si>
    <t>박한웅</t>
    <phoneticPr fontId="4" type="noConversion"/>
  </si>
  <si>
    <t>권지연</t>
    <phoneticPr fontId="4" type="noConversion"/>
  </si>
  <si>
    <t>안지윤</t>
    <phoneticPr fontId="4" type="noConversion"/>
  </si>
  <si>
    <t>연극</t>
    <phoneticPr fontId="4" type="noConversion"/>
  </si>
  <si>
    <t>코다차야</t>
    <phoneticPr fontId="4" type="noConversion"/>
  </si>
  <si>
    <t>김해찬</t>
    <phoneticPr fontId="4" type="noConversion"/>
  </si>
  <si>
    <t>이현주</t>
    <phoneticPr fontId="4" type="noConversion"/>
  </si>
  <si>
    <t>19:20~21:00</t>
    <phoneticPr fontId="4" type="noConversion"/>
  </si>
  <si>
    <t>22:00~24:00</t>
    <phoneticPr fontId="4" type="noConversion"/>
  </si>
  <si>
    <t>택시</t>
    <phoneticPr fontId="4" type="noConversion"/>
  </si>
  <si>
    <t>2호선 포차</t>
    <phoneticPr fontId="4" type="noConversion"/>
  </si>
  <si>
    <t>18:40~19:50</t>
    <phoneticPr fontId="4" type="noConversion"/>
  </si>
  <si>
    <t>19:50~00:00</t>
    <phoneticPr fontId="4" type="noConversion"/>
  </si>
  <si>
    <t>a</t>
    <phoneticPr fontId="4" type="noConversion"/>
  </si>
  <si>
    <t>돗자리 대여</t>
    <phoneticPr fontId="4" type="noConversion"/>
  </si>
  <si>
    <t>2차</t>
    <phoneticPr fontId="4" type="noConversion"/>
  </si>
  <si>
    <t>1차, 2차</t>
    <phoneticPr fontId="4" type="noConversion"/>
  </si>
  <si>
    <t>술, 음식, 음료</t>
    <phoneticPr fontId="4" type="noConversion"/>
  </si>
  <si>
    <t>술, 음료, 치킨</t>
    <phoneticPr fontId="4" type="noConversion"/>
  </si>
  <si>
    <t>떡볶이, 순대</t>
    <phoneticPr fontId="4" type="noConversion"/>
  </si>
  <si>
    <t>돗자리, 테이블</t>
    <phoneticPr fontId="4" type="noConversion"/>
  </si>
  <si>
    <t>돗자리, 무드등</t>
    <phoneticPr fontId="4" type="noConversion"/>
  </si>
  <si>
    <t>물, 음료</t>
    <phoneticPr fontId="4" type="noConversion"/>
  </si>
  <si>
    <t>최유진</t>
    <phoneticPr fontId="4" type="noConversion"/>
  </si>
  <si>
    <t>간식</t>
    <phoneticPr fontId="4" type="noConversion"/>
  </si>
  <si>
    <t>밥</t>
    <phoneticPr fontId="4" type="noConversion"/>
  </si>
  <si>
    <t>밥, 술, 만두</t>
    <phoneticPr fontId="4" type="noConversion"/>
  </si>
  <si>
    <t>노브랜드</t>
    <phoneticPr fontId="4" type="noConversion"/>
  </si>
  <si>
    <t>점심</t>
    <phoneticPr fontId="4" type="noConversion"/>
  </si>
  <si>
    <t>렌트</t>
    <phoneticPr fontId="4" type="noConversion"/>
  </si>
  <si>
    <t>대여료</t>
    <phoneticPr fontId="4" type="noConversion"/>
  </si>
  <si>
    <t>톨비</t>
    <phoneticPr fontId="4" type="noConversion"/>
  </si>
  <si>
    <t>주행요금</t>
    <phoneticPr fontId="4" type="noConversion"/>
  </si>
  <si>
    <t>연장비용</t>
    <phoneticPr fontId="4" type="noConversion"/>
  </si>
  <si>
    <t>(결제)</t>
    <phoneticPr fontId="4" type="noConversion"/>
  </si>
  <si>
    <t>안우석</t>
    <phoneticPr fontId="4" type="noConversion"/>
  </si>
  <si>
    <t>박재형</t>
    <phoneticPr fontId="4" type="noConversion"/>
  </si>
  <si>
    <t>김민구</t>
    <phoneticPr fontId="4" type="noConversion"/>
  </si>
  <si>
    <t>재료값</t>
    <phoneticPr fontId="4" type="noConversion"/>
  </si>
  <si>
    <t>노래방</t>
    <phoneticPr fontId="4" type="noConversion"/>
  </si>
  <si>
    <t>친구친구</t>
    <phoneticPr fontId="4" type="noConversion"/>
  </si>
  <si>
    <t>이찌방</t>
    <phoneticPr fontId="4" type="noConversion"/>
  </si>
  <si>
    <t>D조 62570</t>
    <phoneticPr fontId="4" type="noConversion"/>
  </si>
  <si>
    <t>음쓰봉 2000</t>
    <phoneticPr fontId="4" type="noConversion"/>
  </si>
  <si>
    <t>C조 32330</t>
    <phoneticPr fontId="4" type="noConversion"/>
  </si>
  <si>
    <t>성광훈</t>
    <phoneticPr fontId="4" type="noConversion"/>
  </si>
  <si>
    <t>류상연</t>
    <phoneticPr fontId="4" type="noConversion"/>
  </si>
  <si>
    <t>이지원</t>
    <phoneticPr fontId="4" type="noConversion"/>
  </si>
  <si>
    <t>볼링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</si>
</sst>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_);[Red]\(#,##0\)"/>
  </numFmts>
  <fonts count="19">
    <font>
      <sz val="11"/>
      <color rgb="FF000000"/>
      <name val="hnc_go_b_hint_gs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hnc_go_b_hint_gs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hnc_go_b_hint_gs"/>
      <family val="2"/>
      <charset val="129"/>
      <scheme val="minor"/>
    </font>
    <font>
      <sz val="11"/>
      <color rgb="FF0066FF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color rgb="FF00B0F0"/>
      <name val="맑은 고딕"/>
      <family val="3"/>
      <charset val="129"/>
    </font>
    <font>
      <sz val="11"/>
      <color rgb="FFFFC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11"/>
      <color theme="6" tint="0.79998168889431442"/>
      <name val="맑은 고딕"/>
      <family val="3"/>
      <charset val="129"/>
    </font>
    <font>
      <sz val="11"/>
      <color theme="7" tint="0.79998168889431442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11"/>
      <color rgb="FF0070C0"/>
      <name val="맑은 고딕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rgb="FFF3DCDC"/>
        <bgColor rgb="FFF3DCDC"/>
      </patternFill>
    </fill>
    <fill>
      <patternFill patternType="solid">
        <fgColor rgb="FFE9B9B9"/>
        <bgColor rgb="FFE9B9B9"/>
      </patternFill>
    </fill>
    <fill>
      <patternFill patternType="solid">
        <fgColor rgb="FFF6DFAA"/>
        <bgColor rgb="FFF6DFAA"/>
      </patternFill>
    </fill>
    <fill>
      <patternFill patternType="solid">
        <fgColor rgb="FFFBEFD4"/>
        <bgColor rgb="FFFBEFD4"/>
      </patternFill>
    </fill>
    <fill>
      <patternFill patternType="solid">
        <fgColor rgb="FFA2BEE0"/>
        <bgColor rgb="FFA2BEE0"/>
      </patternFill>
    </fill>
    <fill>
      <patternFill patternType="solid">
        <fgColor rgb="FFD0DEEF"/>
        <bgColor rgb="FFD0DEEF"/>
      </patternFill>
    </fill>
    <fill>
      <patternFill patternType="solid">
        <fgColor rgb="FFF4DEEE"/>
        <bgColor rgb="FFF4DEEE"/>
      </patternFill>
    </fill>
    <fill>
      <patternFill patternType="solid">
        <fgColor rgb="FFEABCDC"/>
        <bgColor rgb="FFEABCDC"/>
      </patternFill>
    </fill>
    <fill>
      <patternFill patternType="solid">
        <fgColor theme="7" tint="0.79998168889431442"/>
        <bgColor rgb="FFFBEFD4"/>
      </patternFill>
    </fill>
    <fill>
      <patternFill patternType="solid">
        <fgColor theme="6" tint="0.59999389629810485"/>
        <bgColor rgb="FFE9B9B9"/>
      </patternFill>
    </fill>
    <fill>
      <patternFill patternType="solid">
        <fgColor theme="6" tint="0.79998168889431442"/>
        <bgColor rgb="FFF3DCDC"/>
      </patternFill>
    </fill>
    <fill>
      <patternFill patternType="solid">
        <fgColor theme="7" tint="0.59999389629810485"/>
        <bgColor rgb="FFF6DFAA"/>
      </patternFill>
    </fill>
    <fill>
      <patternFill patternType="solid">
        <fgColor theme="8" tint="0.59999389629810485"/>
        <bgColor rgb="FFC3E0A6"/>
      </patternFill>
    </fill>
    <fill>
      <patternFill patternType="solid">
        <fgColor theme="8" tint="0.79998168889431442"/>
        <bgColor rgb="FFE1EFD3"/>
      </patternFill>
    </fill>
    <fill>
      <patternFill patternType="solid">
        <fgColor theme="6" tint="0.79998168889431442"/>
        <bgColor rgb="FFE9B9B9"/>
      </patternFill>
    </fill>
    <fill>
      <patternFill patternType="solid">
        <fgColor theme="5" tint="0.79998168889431442"/>
        <bgColor rgb="FFE9B9B9"/>
      </patternFill>
    </fill>
    <fill>
      <patternFill patternType="solid">
        <fgColor theme="6" tint="0.79998168889431442"/>
        <bgColor rgb="FFF6DFAA"/>
      </patternFill>
    </fill>
    <fill>
      <patternFill patternType="solid">
        <fgColor theme="7" tint="0.79998168889431442"/>
        <bgColor rgb="FFF6DFAA"/>
      </patternFill>
    </fill>
    <fill>
      <patternFill patternType="solid">
        <fgColor theme="8" tint="0.79998168889431442"/>
        <bgColor rgb="FFC3E0A6"/>
      </patternFill>
    </fill>
    <fill>
      <patternFill patternType="solid">
        <fgColor theme="4" tint="0.79998168889431442"/>
        <bgColor rgb="FFA2BEE0"/>
      </patternFill>
    </fill>
    <fill>
      <patternFill patternType="solid">
        <fgColor theme="4" tint="0.59999389629810485"/>
        <bgColor rgb="FFF6DFAA"/>
      </patternFill>
    </fill>
    <fill>
      <patternFill patternType="solid">
        <fgColor theme="4" tint="0.79998168889431442"/>
        <bgColor rgb="FFFBEFD4"/>
      </patternFill>
    </fill>
    <fill>
      <patternFill patternType="solid">
        <fgColor theme="4" tint="0.79998168889431442"/>
        <bgColor rgb="FFF6DFAA"/>
      </patternFill>
    </fill>
    <fill>
      <patternFill patternType="solid">
        <fgColor theme="7" tint="0.79998168889431442"/>
        <bgColor rgb="FFF3DCDC"/>
      </patternFill>
    </fill>
    <fill>
      <patternFill patternType="solid">
        <fgColor theme="5" tint="0.59999389629810485"/>
        <bgColor rgb="FFE9B9B9"/>
      </patternFill>
    </fill>
    <fill>
      <patternFill patternType="solid">
        <fgColor theme="5" tint="0.79998168889431442"/>
        <bgColor rgb="FFF3DCD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rgb="FFF6DFAA"/>
      </patternFill>
    </fill>
    <fill>
      <patternFill patternType="solid">
        <fgColor theme="6" tint="0.79998168889431442"/>
        <bgColor rgb="FFFBEFD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EABCD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rgb="FFEABCDC"/>
      </patternFill>
    </fill>
    <fill>
      <patternFill patternType="solid">
        <fgColor theme="5" tint="0.59999389629810485"/>
        <bgColor rgb="FFF6DFA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rgb="FFE9B9B9"/>
      </patternFill>
    </fill>
    <fill>
      <patternFill patternType="solid">
        <fgColor theme="8" tint="0.59999389629810485"/>
        <bgColor rgb="FFF6DFA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rgb="FFE9B9B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4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uble">
        <color rgb="FF000000"/>
      </bottom>
      <diagonal/>
    </border>
    <border>
      <left style="thin">
        <color rgb="FF000000"/>
      </left>
      <right/>
      <top style="medium">
        <color indexed="64"/>
      </top>
      <bottom style="double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rgb="FF000000"/>
      </right>
      <top style="medium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rgb="FF000000"/>
      </right>
      <top style="double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1">
    <xf numFmtId="0" fontId="0" fillId="0" borderId="0" xfId="0" applyAlignment="1">
      <alignment vertical="center"/>
    </xf>
    <xf numFmtId="176" fontId="1" fillId="7" borderId="2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8" xfId="0" quotePrefix="1" applyFont="1" applyFill="1" applyBorder="1" applyAlignment="1">
      <alignment horizontal="center" vertical="center"/>
    </xf>
    <xf numFmtId="176" fontId="1" fillId="2" borderId="9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20" fontId="1" fillId="5" borderId="5" xfId="0" quotePrefix="1" applyNumberFormat="1" applyFont="1" applyFill="1" applyBorder="1" applyAlignment="1">
      <alignment horizontal="center" vertical="center"/>
    </xf>
    <xf numFmtId="176" fontId="1" fillId="5" borderId="6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0" fontId="1" fillId="5" borderId="8" xfId="0" quotePrefix="1" applyFont="1" applyFill="1" applyBorder="1" applyAlignment="1">
      <alignment horizontal="center" vertical="center"/>
    </xf>
    <xf numFmtId="176" fontId="1" fillId="5" borderId="9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176" fontId="1" fillId="7" borderId="19" xfId="0" applyNumberFormat="1" applyFont="1" applyFill="1" applyBorder="1" applyAlignment="1">
      <alignment horizontal="center" vertical="center"/>
    </xf>
    <xf numFmtId="176" fontId="1" fillId="6" borderId="17" xfId="0" applyNumberFormat="1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20" fontId="1" fillId="7" borderId="18" xfId="0" quotePrefix="1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vertical="center"/>
    </xf>
    <xf numFmtId="0" fontId="1" fillId="6" borderId="14" xfId="0" applyFont="1" applyFill="1" applyBorder="1" applyAlignment="1">
      <alignment horizontal="center" vertical="center"/>
    </xf>
    <xf numFmtId="20" fontId="1" fillId="7" borderId="47" xfId="0" quotePrefix="1" applyNumberFormat="1" applyFont="1" applyFill="1" applyBorder="1" applyAlignment="1">
      <alignment horizontal="center" vertical="center"/>
    </xf>
    <xf numFmtId="176" fontId="1" fillId="7" borderId="49" xfId="0" applyNumberFormat="1" applyFont="1" applyFill="1" applyBorder="1" applyAlignment="1">
      <alignment horizontal="center" vertical="center"/>
    </xf>
    <xf numFmtId="176" fontId="1" fillId="7" borderId="50" xfId="0" applyNumberFormat="1" applyFont="1" applyFill="1" applyBorder="1" applyAlignment="1">
      <alignment horizontal="center" vertical="center"/>
    </xf>
    <xf numFmtId="176" fontId="1" fillId="6" borderId="26" xfId="0" applyNumberFormat="1" applyFont="1" applyFill="1" applyBorder="1" applyAlignment="1">
      <alignment horizontal="center" vertical="center"/>
    </xf>
    <xf numFmtId="176" fontId="1" fillId="8" borderId="51" xfId="0" applyNumberFormat="1" applyFont="1" applyFill="1" applyBorder="1" applyAlignment="1">
      <alignment horizontal="center" vertical="center"/>
    </xf>
    <xf numFmtId="176" fontId="1" fillId="8" borderId="52" xfId="0" applyNumberFormat="1" applyFont="1" applyFill="1" applyBorder="1" applyAlignment="1">
      <alignment horizontal="center" vertical="center"/>
    </xf>
    <xf numFmtId="176" fontId="1" fillId="9" borderId="53" xfId="0" applyNumberFormat="1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176" fontId="1" fillId="0" borderId="35" xfId="0" applyNumberFormat="1" applyFont="1" applyBorder="1" applyAlignment="1">
      <alignment horizontal="center" vertical="center"/>
    </xf>
    <xf numFmtId="176" fontId="1" fillId="0" borderId="55" xfId="0" applyNumberFormat="1" applyFont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1" fillId="10" borderId="8" xfId="0" quotePrefix="1" applyFont="1" applyFill="1" applyBorder="1" applyAlignment="1">
      <alignment horizontal="center" vertical="center"/>
    </xf>
    <xf numFmtId="176" fontId="1" fillId="10" borderId="9" xfId="0" applyNumberFormat="1" applyFont="1" applyFill="1" applyBorder="1" applyAlignment="1">
      <alignment horizontal="center" vertical="center"/>
    </xf>
    <xf numFmtId="176" fontId="1" fillId="10" borderId="10" xfId="0" applyNumberFormat="1" applyFont="1" applyFill="1" applyBorder="1" applyAlignment="1">
      <alignment horizontal="center" vertical="center"/>
    </xf>
    <xf numFmtId="0" fontId="3" fillId="10" borderId="8" xfId="0" quotePrefix="1" applyFont="1" applyFill="1" applyBorder="1" applyAlignment="1">
      <alignment horizontal="center" vertical="center"/>
    </xf>
    <xf numFmtId="176" fontId="3" fillId="10" borderId="9" xfId="0" applyNumberFormat="1" applyFont="1" applyFill="1" applyBorder="1" applyAlignment="1">
      <alignment horizontal="center" vertical="center"/>
    </xf>
    <xf numFmtId="0" fontId="1" fillId="10" borderId="2" xfId="0" quotePrefix="1" applyFont="1" applyFill="1" applyBorder="1" applyAlignment="1">
      <alignment horizontal="center" vertical="center"/>
    </xf>
    <xf numFmtId="176" fontId="1" fillId="10" borderId="3" xfId="0" applyNumberFormat="1" applyFont="1" applyFill="1" applyBorder="1" applyAlignment="1">
      <alignment horizontal="center" vertical="center"/>
    </xf>
    <xf numFmtId="176" fontId="1" fillId="10" borderId="11" xfId="0" applyNumberFormat="1" applyFont="1" applyFill="1" applyBorder="1" applyAlignment="1">
      <alignment horizontal="center" vertical="center"/>
    </xf>
    <xf numFmtId="176" fontId="1" fillId="13" borderId="4" xfId="0" applyNumberFormat="1" applyFont="1" applyFill="1" applyBorder="1" applyAlignment="1">
      <alignment horizontal="center" vertical="center"/>
    </xf>
    <xf numFmtId="176" fontId="1" fillId="13" borderId="12" xfId="0" applyNumberFormat="1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20" fontId="1" fillId="15" borderId="5" xfId="0" quotePrefix="1" applyNumberFormat="1" applyFont="1" applyFill="1" applyBorder="1" applyAlignment="1">
      <alignment horizontal="center" vertical="center"/>
    </xf>
    <xf numFmtId="176" fontId="1" fillId="15" borderId="6" xfId="0" applyNumberFormat="1" applyFont="1" applyFill="1" applyBorder="1" applyAlignment="1">
      <alignment horizontal="center" vertical="center"/>
    </xf>
    <xf numFmtId="176" fontId="1" fillId="15" borderId="1" xfId="0" applyNumberFormat="1" applyFont="1" applyFill="1" applyBorder="1" applyAlignment="1">
      <alignment horizontal="center" vertical="center"/>
    </xf>
    <xf numFmtId="20" fontId="1" fillId="15" borderId="8" xfId="0" quotePrefix="1" applyNumberFormat="1" applyFont="1" applyFill="1" applyBorder="1" applyAlignment="1">
      <alignment horizontal="center" vertical="center"/>
    </xf>
    <xf numFmtId="176" fontId="1" fillId="15" borderId="9" xfId="0" applyNumberFormat="1" applyFont="1" applyFill="1" applyBorder="1" applyAlignment="1">
      <alignment horizontal="center" vertical="center"/>
    </xf>
    <xf numFmtId="176" fontId="1" fillId="15" borderId="10" xfId="0" applyNumberFormat="1" applyFont="1" applyFill="1" applyBorder="1" applyAlignment="1">
      <alignment horizontal="center" vertical="center"/>
    </xf>
    <xf numFmtId="20" fontId="1" fillId="15" borderId="15" xfId="0" quotePrefix="1" applyNumberFormat="1" applyFont="1" applyFill="1" applyBorder="1" applyAlignment="1">
      <alignment horizontal="center" vertical="center"/>
    </xf>
    <xf numFmtId="176" fontId="1" fillId="15" borderId="3" xfId="0" applyNumberFormat="1" applyFont="1" applyFill="1" applyBorder="1" applyAlignment="1">
      <alignment horizontal="center" vertical="center"/>
    </xf>
    <xf numFmtId="176" fontId="1" fillId="15" borderId="16" xfId="0" applyNumberFormat="1" applyFont="1" applyFill="1" applyBorder="1" applyAlignment="1">
      <alignment horizontal="center" vertical="center"/>
    </xf>
    <xf numFmtId="176" fontId="1" fillId="15" borderId="11" xfId="0" applyNumberFormat="1" applyFont="1" applyFill="1" applyBorder="1" applyAlignment="1">
      <alignment horizontal="center" vertical="center"/>
    </xf>
    <xf numFmtId="176" fontId="1" fillId="14" borderId="4" xfId="0" applyNumberFormat="1" applyFont="1" applyFill="1" applyBorder="1" applyAlignment="1">
      <alignment horizontal="center" vertical="center"/>
    </xf>
    <xf numFmtId="176" fontId="1" fillId="14" borderId="12" xfId="0" applyNumberFormat="1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0" borderId="5" xfId="0" quotePrefix="1" applyFont="1" applyFill="1" applyBorder="1" applyAlignment="1">
      <alignment horizontal="center" vertical="center"/>
    </xf>
    <xf numFmtId="176" fontId="1" fillId="10" borderId="6" xfId="0" applyNumberFormat="1" applyFont="1" applyFill="1" applyBorder="1" applyAlignment="1">
      <alignment horizontal="center" vertical="center"/>
    </xf>
    <xf numFmtId="176" fontId="1" fillId="10" borderId="1" xfId="0" applyNumberFormat="1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176" fontId="1" fillId="4" borderId="23" xfId="0" applyNumberFormat="1" applyFont="1" applyFill="1" applyBorder="1" applyAlignment="1">
      <alignment horizontal="center" vertical="center"/>
    </xf>
    <xf numFmtId="0" fontId="1" fillId="4" borderId="60" xfId="0" applyFont="1" applyFill="1" applyBorder="1" applyAlignment="1">
      <alignment horizontal="center" vertical="center"/>
    </xf>
    <xf numFmtId="0" fontId="1" fillId="5" borderId="61" xfId="0" quotePrefix="1" applyFont="1" applyFill="1" applyBorder="1" applyAlignment="1">
      <alignment horizontal="center" vertical="center"/>
    </xf>
    <xf numFmtId="176" fontId="1" fillId="5" borderId="62" xfId="0" applyNumberFormat="1" applyFont="1" applyFill="1" applyBorder="1" applyAlignment="1">
      <alignment horizontal="center" vertical="center"/>
    </xf>
    <xf numFmtId="176" fontId="1" fillId="5" borderId="63" xfId="0" applyNumberFormat="1" applyFont="1" applyFill="1" applyBorder="1" applyAlignment="1">
      <alignment horizontal="center" vertical="center"/>
    </xf>
    <xf numFmtId="176" fontId="1" fillId="4" borderId="55" xfId="0" applyNumberFormat="1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20" fontId="1" fillId="0" borderId="47" xfId="0" applyNumberFormat="1" applyFont="1" applyBorder="1" applyAlignment="1">
      <alignment horizontal="center" vertical="center"/>
    </xf>
    <xf numFmtId="20" fontId="1" fillId="0" borderId="49" xfId="0" quotePrefix="1" applyNumberFormat="1" applyFont="1" applyBorder="1" applyAlignment="1">
      <alignment horizontal="center" vertical="center"/>
    </xf>
    <xf numFmtId="0" fontId="6" fillId="11" borderId="64" xfId="0" applyFont="1" applyFill="1" applyBorder="1" applyAlignment="1">
      <alignment horizontal="center" vertical="center"/>
    </xf>
    <xf numFmtId="0" fontId="1" fillId="12" borderId="65" xfId="0" quotePrefix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2" borderId="67" xfId="0" applyNumberFormat="1" applyFont="1" applyFill="1" applyBorder="1" applyAlignment="1">
      <alignment horizontal="center" vertical="center"/>
    </xf>
    <xf numFmtId="176" fontId="1" fillId="11" borderId="64" xfId="0" applyNumberFormat="1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1" xfId="0" quotePrefix="1" applyFont="1" applyFill="1" applyBorder="1" applyAlignment="1">
      <alignment horizontal="center" vertical="center"/>
    </xf>
    <xf numFmtId="176" fontId="1" fillId="2" borderId="32" xfId="0" applyNumberFormat="1" applyFont="1" applyFill="1" applyBorder="1" applyAlignment="1">
      <alignment horizontal="center" vertical="center"/>
    </xf>
    <xf numFmtId="176" fontId="1" fillId="3" borderId="59" xfId="0" applyNumberFormat="1" applyFont="1" applyFill="1" applyBorder="1" applyAlignment="1">
      <alignment horizontal="center" vertical="center"/>
    </xf>
    <xf numFmtId="176" fontId="1" fillId="3" borderId="23" xfId="0" applyNumberFormat="1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1" fillId="2" borderId="61" xfId="0" quotePrefix="1" applyFont="1" applyFill="1" applyBorder="1" applyAlignment="1">
      <alignment horizontal="center" vertical="center"/>
    </xf>
    <xf numFmtId="176" fontId="1" fillId="2" borderId="62" xfId="0" applyNumberFormat="1" applyFont="1" applyFill="1" applyBorder="1" applyAlignment="1">
      <alignment horizontal="center" vertical="center"/>
    </xf>
    <xf numFmtId="176" fontId="1" fillId="3" borderId="55" xfId="0" applyNumberFormat="1" applyFont="1" applyFill="1" applyBorder="1" applyAlignment="1">
      <alignment horizontal="center" vertical="center"/>
    </xf>
    <xf numFmtId="176" fontId="1" fillId="2" borderId="33" xfId="0" applyNumberFormat="1" applyFont="1" applyFill="1" applyBorder="1" applyAlignment="1">
      <alignment horizontal="center" vertical="center"/>
    </xf>
    <xf numFmtId="176" fontId="1" fillId="2" borderId="63" xfId="0" applyNumberFormat="1" applyFont="1" applyFill="1" applyBorder="1" applyAlignment="1">
      <alignment horizontal="center" vertical="center"/>
    </xf>
    <xf numFmtId="176" fontId="1" fillId="17" borderId="59" xfId="0" applyNumberFormat="1" applyFont="1" applyFill="1" applyBorder="1" applyAlignment="1">
      <alignment horizontal="center" vertical="center"/>
    </xf>
    <xf numFmtId="176" fontId="1" fillId="17" borderId="23" xfId="0" applyNumberFormat="1" applyFont="1" applyFill="1" applyBorder="1" applyAlignment="1">
      <alignment horizontal="center" vertical="center"/>
    </xf>
    <xf numFmtId="176" fontId="1" fillId="17" borderId="55" xfId="0" applyNumberFormat="1" applyFont="1" applyFill="1" applyBorder="1" applyAlignment="1">
      <alignment horizontal="center" vertical="center"/>
    </xf>
    <xf numFmtId="176" fontId="1" fillId="16" borderId="64" xfId="0" applyNumberFormat="1" applyFont="1" applyFill="1" applyBorder="1" applyAlignment="1">
      <alignment horizontal="center" vertical="center"/>
    </xf>
    <xf numFmtId="176" fontId="1" fillId="18" borderId="23" xfId="0" applyNumberFormat="1" applyFont="1" applyFill="1" applyBorder="1" applyAlignment="1">
      <alignment horizontal="center" vertical="center"/>
    </xf>
    <xf numFmtId="176" fontId="1" fillId="18" borderId="55" xfId="0" applyNumberFormat="1" applyFont="1" applyFill="1" applyBorder="1" applyAlignment="1">
      <alignment horizontal="center" vertical="center"/>
    </xf>
    <xf numFmtId="176" fontId="1" fillId="19" borderId="4" xfId="0" applyNumberFormat="1" applyFont="1" applyFill="1" applyBorder="1" applyAlignment="1">
      <alignment horizontal="center" vertical="center"/>
    </xf>
    <xf numFmtId="176" fontId="1" fillId="19" borderId="12" xfId="0" applyNumberFormat="1" applyFont="1" applyFill="1" applyBorder="1" applyAlignment="1">
      <alignment horizontal="center" vertical="center"/>
    </xf>
    <xf numFmtId="176" fontId="1" fillId="20" borderId="4" xfId="0" applyNumberFormat="1" applyFont="1" applyFill="1" applyBorder="1" applyAlignment="1">
      <alignment horizontal="center" vertical="center"/>
    </xf>
    <xf numFmtId="176" fontId="1" fillId="20" borderId="12" xfId="0" applyNumberFormat="1" applyFont="1" applyFill="1" applyBorder="1" applyAlignment="1">
      <alignment horizontal="center" vertical="center"/>
    </xf>
    <xf numFmtId="176" fontId="1" fillId="21" borderId="17" xfId="0" applyNumberFormat="1" applyFont="1" applyFill="1" applyBorder="1" applyAlignment="1">
      <alignment horizontal="center" vertical="center"/>
    </xf>
    <xf numFmtId="176" fontId="1" fillId="21" borderId="26" xfId="0" applyNumberFormat="1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176" fontId="3" fillId="0" borderId="70" xfId="0" applyNumberFormat="1" applyFont="1" applyBorder="1" applyAlignment="1">
      <alignment horizontal="center" vertical="center"/>
    </xf>
    <xf numFmtId="176" fontId="9" fillId="0" borderId="76" xfId="0" applyNumberFormat="1" applyFont="1" applyBorder="1" applyAlignment="1">
      <alignment horizontal="center" vertical="center"/>
    </xf>
    <xf numFmtId="176" fontId="1" fillId="0" borderId="76" xfId="0" applyNumberFormat="1" applyFont="1" applyBorder="1" applyAlignment="1">
      <alignment horizontal="center" vertical="center"/>
    </xf>
    <xf numFmtId="176" fontId="1" fillId="0" borderId="69" xfId="0" applyNumberFormat="1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176" fontId="3" fillId="0" borderId="74" xfId="0" applyNumberFormat="1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176" fontId="1" fillId="0" borderId="42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76" fontId="3" fillId="0" borderId="73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1" fillId="0" borderId="22" xfId="0" applyNumberFormat="1" applyFont="1" applyBorder="1" applyAlignment="1">
      <alignment horizontal="center" vertical="center"/>
    </xf>
    <xf numFmtId="176" fontId="1" fillId="0" borderId="43" xfId="0" applyNumberFormat="1" applyFont="1" applyBorder="1" applyAlignment="1">
      <alignment horizontal="center" vertical="center"/>
    </xf>
    <xf numFmtId="176" fontId="1" fillId="0" borderId="54" xfId="0" applyNumberFormat="1" applyFont="1" applyBorder="1" applyAlignment="1">
      <alignment horizontal="center" vertical="center"/>
    </xf>
    <xf numFmtId="176" fontId="1" fillId="0" borderId="41" xfId="0" applyNumberFormat="1" applyFont="1" applyBorder="1" applyAlignment="1">
      <alignment horizontal="center" vertical="center"/>
    </xf>
    <xf numFmtId="176" fontId="1" fillId="0" borderId="68" xfId="0" applyNumberFormat="1" applyFont="1" applyBorder="1" applyAlignment="1">
      <alignment horizontal="center" vertical="center"/>
    </xf>
    <xf numFmtId="0" fontId="10" fillId="0" borderId="72" xfId="0" applyFont="1" applyBorder="1" applyAlignment="1">
      <alignment horizontal="left" vertical="center"/>
    </xf>
    <xf numFmtId="20" fontId="10" fillId="0" borderId="71" xfId="0" quotePrefix="1" applyNumberFormat="1" applyFont="1" applyBorder="1" applyAlignment="1">
      <alignment horizontal="left" vertical="center"/>
    </xf>
    <xf numFmtId="0" fontId="10" fillId="0" borderId="70" xfId="0" applyFont="1" applyBorder="1" applyAlignment="1">
      <alignment horizontal="left" vertical="center"/>
    </xf>
    <xf numFmtId="20" fontId="10" fillId="0" borderId="69" xfId="0" quotePrefix="1" applyNumberFormat="1" applyFont="1" applyBorder="1" applyAlignment="1">
      <alignment horizontal="left" vertical="center"/>
    </xf>
    <xf numFmtId="0" fontId="10" fillId="0" borderId="69" xfId="0" quotePrefix="1" applyFont="1" applyBorder="1" applyAlignment="1">
      <alignment vertical="center"/>
    </xf>
    <xf numFmtId="20" fontId="10" fillId="0" borderId="69" xfId="0" applyNumberFormat="1" applyFont="1" applyBorder="1" applyAlignment="1">
      <alignment horizontal="left" vertical="center"/>
    </xf>
    <xf numFmtId="0" fontId="11" fillId="0" borderId="70" xfId="0" applyFont="1" applyBorder="1" applyAlignment="1">
      <alignment horizontal="left" vertical="center"/>
    </xf>
    <xf numFmtId="0" fontId="11" fillId="0" borderId="69" xfId="0" applyFont="1" applyBorder="1" applyAlignment="1">
      <alignment horizontal="left" vertical="center"/>
    </xf>
    <xf numFmtId="0" fontId="12" fillId="0" borderId="70" xfId="0" applyFont="1" applyBorder="1" applyAlignment="1">
      <alignment horizontal="left" vertical="center"/>
    </xf>
    <xf numFmtId="20" fontId="12" fillId="0" borderId="69" xfId="0" applyNumberFormat="1" applyFont="1" applyBorder="1" applyAlignment="1">
      <alignment horizontal="left" vertical="center"/>
    </xf>
    <xf numFmtId="20" fontId="11" fillId="0" borderId="69" xfId="0" applyNumberFormat="1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20" fontId="13" fillId="0" borderId="68" xfId="0" applyNumberFormat="1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6" fontId="1" fillId="2" borderId="31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82" xfId="0" applyNumberFormat="1" applyFont="1" applyFill="1" applyBorder="1" applyAlignment="1">
      <alignment horizontal="center" vertical="center"/>
    </xf>
    <xf numFmtId="176" fontId="1" fillId="2" borderId="83" xfId="0" applyNumberFormat="1" applyFont="1" applyFill="1" applyBorder="1" applyAlignment="1">
      <alignment horizontal="center" vertical="center"/>
    </xf>
    <xf numFmtId="176" fontId="1" fillId="24" borderId="85" xfId="0" applyNumberFormat="1" applyFont="1" applyFill="1" applyBorder="1" applyAlignment="1">
      <alignment horizontal="center" vertical="center"/>
    </xf>
    <xf numFmtId="176" fontId="1" fillId="24" borderId="41" xfId="0" applyNumberFormat="1" applyFont="1" applyFill="1" applyBorder="1" applyAlignment="1">
      <alignment horizontal="center" vertical="center"/>
    </xf>
    <xf numFmtId="176" fontId="1" fillId="2" borderId="88" xfId="0" applyNumberFormat="1" applyFont="1" applyFill="1" applyBorder="1" applyAlignment="1">
      <alignment horizontal="center" vertical="center"/>
    </xf>
    <xf numFmtId="176" fontId="1" fillId="2" borderId="89" xfId="0" applyNumberFormat="1" applyFont="1" applyFill="1" applyBorder="1" applyAlignment="1">
      <alignment horizontal="center" vertical="center"/>
    </xf>
    <xf numFmtId="176" fontId="1" fillId="2" borderId="90" xfId="0" applyNumberFormat="1" applyFont="1" applyFill="1" applyBorder="1" applyAlignment="1">
      <alignment horizontal="center" vertical="center"/>
    </xf>
    <xf numFmtId="176" fontId="1" fillId="2" borderId="87" xfId="0" applyNumberFormat="1" applyFont="1" applyFill="1" applyBorder="1" applyAlignment="1">
      <alignment horizontal="center" vertical="center"/>
    </xf>
    <xf numFmtId="176" fontId="1" fillId="19" borderId="95" xfId="0" applyNumberFormat="1" applyFont="1" applyFill="1" applyBorder="1" applyAlignment="1">
      <alignment horizontal="center" vertical="center"/>
    </xf>
    <xf numFmtId="176" fontId="1" fillId="0" borderId="93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176" fontId="1" fillId="0" borderId="62" xfId="0" applyNumberFormat="1" applyFont="1" applyBorder="1" applyAlignment="1">
      <alignment horizontal="center" vertical="center"/>
    </xf>
    <xf numFmtId="20" fontId="1" fillId="0" borderId="99" xfId="0" quotePrefix="1" applyNumberFormat="1" applyFont="1" applyBorder="1" applyAlignment="1">
      <alignment horizontal="center" vertical="center"/>
    </xf>
    <xf numFmtId="20" fontId="1" fillId="0" borderId="35" xfId="0" quotePrefix="1" applyNumberFormat="1" applyFont="1" applyBorder="1" applyAlignment="1">
      <alignment horizontal="center" vertical="center"/>
    </xf>
    <xf numFmtId="20" fontId="1" fillId="0" borderId="41" xfId="0" quotePrefix="1" applyNumberFormat="1" applyFont="1" applyBorder="1" applyAlignment="1">
      <alignment horizontal="center" vertical="center"/>
    </xf>
    <xf numFmtId="20" fontId="1" fillId="0" borderId="34" xfId="0" quotePrefix="1" applyNumberFormat="1" applyFont="1" applyBorder="1" applyAlignment="1">
      <alignment horizontal="center" vertical="center"/>
    </xf>
    <xf numFmtId="20" fontId="1" fillId="0" borderId="79" xfId="0" quotePrefix="1" applyNumberFormat="1" applyFont="1" applyBorder="1" applyAlignment="1">
      <alignment horizontal="center" vertical="center"/>
    </xf>
    <xf numFmtId="20" fontId="1" fillId="0" borderId="80" xfId="0" quotePrefix="1" applyNumberFormat="1" applyFont="1" applyBorder="1" applyAlignment="1">
      <alignment horizontal="center" vertical="center"/>
    </xf>
    <xf numFmtId="20" fontId="1" fillId="0" borderId="84" xfId="0" quotePrefix="1" applyNumberFormat="1" applyFont="1" applyBorder="1" applyAlignment="1">
      <alignment horizontal="center" vertical="center"/>
    </xf>
    <xf numFmtId="176" fontId="1" fillId="0" borderId="65" xfId="0" applyNumberFormat="1" applyFont="1" applyBorder="1" applyAlignment="1">
      <alignment horizontal="center" vertical="center"/>
    </xf>
    <xf numFmtId="176" fontId="1" fillId="0" borderId="92" xfId="0" applyNumberFormat="1" applyFont="1" applyBorder="1" applyAlignment="1">
      <alignment horizontal="center" vertical="center"/>
    </xf>
    <xf numFmtId="176" fontId="1" fillId="27" borderId="93" xfId="0" applyNumberFormat="1" applyFont="1" applyFill="1" applyBorder="1" applyAlignment="1">
      <alignment horizontal="center" vertical="center"/>
    </xf>
    <xf numFmtId="176" fontId="1" fillId="27" borderId="94" xfId="0" applyNumberFormat="1" applyFont="1" applyFill="1" applyBorder="1" applyAlignment="1">
      <alignment horizontal="center" vertical="center"/>
    </xf>
    <xf numFmtId="176" fontId="1" fillId="27" borderId="95" xfId="0" applyNumberFormat="1" applyFont="1" applyFill="1" applyBorder="1" applyAlignment="1">
      <alignment horizontal="center" vertical="center"/>
    </xf>
    <xf numFmtId="176" fontId="1" fillId="27" borderId="92" xfId="0" applyNumberFormat="1" applyFont="1" applyFill="1" applyBorder="1" applyAlignment="1">
      <alignment horizontal="center" vertical="center"/>
    </xf>
    <xf numFmtId="176" fontId="1" fillId="28" borderId="1" xfId="0" applyNumberFormat="1" applyFont="1" applyFill="1" applyBorder="1" applyAlignment="1">
      <alignment horizontal="center" vertical="center"/>
    </xf>
    <xf numFmtId="176" fontId="1" fillId="28" borderId="10" xfId="0" applyNumberFormat="1" applyFont="1" applyFill="1" applyBorder="1" applyAlignment="1">
      <alignment horizontal="center" vertical="center"/>
    </xf>
    <xf numFmtId="176" fontId="1" fillId="28" borderId="63" xfId="0" applyNumberFormat="1" applyFont="1" applyFill="1" applyBorder="1" applyAlignment="1">
      <alignment horizontal="center" vertical="center"/>
    </xf>
    <xf numFmtId="176" fontId="1" fillId="30" borderId="93" xfId="0" applyNumberFormat="1" applyFont="1" applyFill="1" applyBorder="1" applyAlignment="1">
      <alignment horizontal="center" vertical="center"/>
    </xf>
    <xf numFmtId="176" fontId="1" fillId="30" borderId="94" xfId="0" applyNumberFormat="1" applyFont="1" applyFill="1" applyBorder="1" applyAlignment="1">
      <alignment horizontal="center" vertical="center"/>
    </xf>
    <xf numFmtId="176" fontId="1" fillId="31" borderId="94" xfId="0" applyNumberFormat="1" applyFont="1" applyFill="1" applyBorder="1" applyAlignment="1">
      <alignment horizontal="center" vertical="center"/>
    </xf>
    <xf numFmtId="176" fontId="1" fillId="32" borderId="21" xfId="0" applyNumberFormat="1" applyFont="1" applyFill="1" applyBorder="1" applyAlignment="1">
      <alignment horizontal="center" vertical="center"/>
    </xf>
    <xf numFmtId="176" fontId="1" fillId="32" borderId="95" xfId="0" applyNumberFormat="1" applyFont="1" applyFill="1" applyBorder="1" applyAlignment="1">
      <alignment horizontal="center" vertical="center"/>
    </xf>
    <xf numFmtId="0" fontId="1" fillId="3" borderId="101" xfId="0" applyFont="1" applyFill="1" applyBorder="1" applyAlignment="1">
      <alignment horizontal="center" vertical="center"/>
    </xf>
    <xf numFmtId="0" fontId="1" fillId="3" borderId="102" xfId="0" applyFont="1" applyFill="1" applyBorder="1" applyAlignment="1">
      <alignment horizontal="center" vertical="center"/>
    </xf>
    <xf numFmtId="0" fontId="1" fillId="3" borderId="103" xfId="0" applyFont="1" applyFill="1" applyBorder="1" applyAlignment="1">
      <alignment horizontal="center" vertical="center"/>
    </xf>
    <xf numFmtId="0" fontId="1" fillId="26" borderId="96" xfId="0" applyFont="1" applyFill="1" applyBorder="1" applyAlignment="1">
      <alignment horizontal="center" vertical="center"/>
    </xf>
    <xf numFmtId="0" fontId="6" fillId="11" borderId="104" xfId="0" applyFont="1" applyFill="1" applyBorder="1" applyAlignment="1">
      <alignment horizontal="center" vertical="center"/>
    </xf>
    <xf numFmtId="0" fontId="1" fillId="29" borderId="96" xfId="0" applyFont="1" applyFill="1" applyBorder="1" applyAlignment="1">
      <alignment horizontal="center" vertical="center"/>
    </xf>
    <xf numFmtId="0" fontId="6" fillId="13" borderId="96" xfId="0" applyFont="1" applyFill="1" applyBorder="1" applyAlignment="1">
      <alignment horizontal="center" vertical="center"/>
    </xf>
    <xf numFmtId="0" fontId="1" fillId="22" borderId="105" xfId="0" applyFont="1" applyFill="1" applyBorder="1" applyAlignment="1">
      <alignment horizontal="center" vertical="center"/>
    </xf>
    <xf numFmtId="0" fontId="1" fillId="22" borderId="102" xfId="0" applyFont="1" applyFill="1" applyBorder="1" applyAlignment="1">
      <alignment horizontal="center" vertical="center"/>
    </xf>
    <xf numFmtId="0" fontId="1" fillId="22" borderId="106" xfId="0" applyFont="1" applyFill="1" applyBorder="1" applyAlignment="1">
      <alignment horizontal="center" vertical="center"/>
    </xf>
    <xf numFmtId="0" fontId="1" fillId="9" borderId="107" xfId="0" applyFont="1" applyFill="1" applyBorder="1" applyAlignment="1">
      <alignment horizontal="center" vertical="center"/>
    </xf>
    <xf numFmtId="20" fontId="1" fillId="0" borderId="108" xfId="0" applyNumberFormat="1" applyFont="1" applyBorder="1" applyAlignment="1">
      <alignment horizontal="center" vertical="center"/>
    </xf>
    <xf numFmtId="20" fontId="1" fillId="0" borderId="44" xfId="0" applyNumberFormat="1" applyFont="1" applyBorder="1" applyAlignment="1">
      <alignment horizontal="center" vertical="center"/>
    </xf>
    <xf numFmtId="176" fontId="1" fillId="0" borderId="24" xfId="0" applyNumberFormat="1" applyFont="1" applyBorder="1" applyAlignment="1">
      <alignment horizontal="center" vertical="center"/>
    </xf>
    <xf numFmtId="176" fontId="1" fillId="25" borderId="92" xfId="0" applyNumberFormat="1" applyFont="1" applyFill="1" applyBorder="1" applyAlignment="1">
      <alignment horizontal="center" vertical="center"/>
    </xf>
    <xf numFmtId="176" fontId="1" fillId="2" borderId="109" xfId="0" quotePrefix="1" applyNumberFormat="1" applyFont="1" applyFill="1" applyBorder="1" applyAlignment="1">
      <alignment horizontal="center" vertical="center"/>
    </xf>
    <xf numFmtId="176" fontId="1" fillId="2" borderId="110" xfId="0" quotePrefix="1" applyNumberFormat="1" applyFont="1" applyFill="1" applyBorder="1" applyAlignment="1">
      <alignment horizontal="center" vertical="center"/>
    </xf>
    <xf numFmtId="176" fontId="1" fillId="0" borderId="110" xfId="0" quotePrefix="1" applyNumberFormat="1" applyFont="1" applyBorder="1" applyAlignment="1">
      <alignment horizontal="center" vertical="center"/>
    </xf>
    <xf numFmtId="176" fontId="1" fillId="0" borderId="111" xfId="0" quotePrefix="1" applyNumberFormat="1" applyFont="1" applyBorder="1" applyAlignment="1">
      <alignment horizontal="center" vertical="center"/>
    </xf>
    <xf numFmtId="176" fontId="1" fillId="0" borderId="112" xfId="0" quotePrefix="1" applyNumberFormat="1" applyFont="1" applyBorder="1" applyAlignment="1">
      <alignment horizontal="center" vertical="center"/>
    </xf>
    <xf numFmtId="176" fontId="1" fillId="0" borderId="113" xfId="0" quotePrefix="1" applyNumberFormat="1" applyFont="1" applyBorder="1" applyAlignment="1">
      <alignment horizontal="center" vertical="center"/>
    </xf>
    <xf numFmtId="176" fontId="1" fillId="23" borderId="5" xfId="0" quotePrefix="1" applyNumberFormat="1" applyFont="1" applyFill="1" applyBorder="1" applyAlignment="1">
      <alignment horizontal="center" vertical="center"/>
    </xf>
    <xf numFmtId="176" fontId="1" fillId="0" borderId="114" xfId="0" quotePrefix="1" applyNumberFormat="1" applyFont="1" applyBorder="1" applyAlignment="1">
      <alignment horizontal="center" vertical="center"/>
    </xf>
    <xf numFmtId="176" fontId="1" fillId="23" borderId="8" xfId="0" quotePrefix="1" applyNumberFormat="1" applyFont="1" applyFill="1" applyBorder="1" applyAlignment="1">
      <alignment horizontal="center" vertical="center"/>
    </xf>
    <xf numFmtId="176" fontId="1" fillId="23" borderId="61" xfId="0" quotePrefix="1" applyNumberFormat="1" applyFont="1" applyFill="1" applyBorder="1" applyAlignment="1">
      <alignment horizontal="center" vertical="center"/>
    </xf>
    <xf numFmtId="176" fontId="1" fillId="0" borderId="115" xfId="0" quotePrefix="1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6" fontId="1" fillId="34" borderId="100" xfId="0" applyNumberFormat="1" applyFont="1" applyFill="1" applyBorder="1" applyAlignment="1">
      <alignment horizontal="center" vertical="center"/>
    </xf>
    <xf numFmtId="176" fontId="1" fillId="34" borderId="96" xfId="0" applyNumberFormat="1" applyFont="1" applyFill="1" applyBorder="1" applyAlignment="1">
      <alignment horizontal="center" vertical="center"/>
    </xf>
    <xf numFmtId="176" fontId="14" fillId="34" borderId="96" xfId="0" applyNumberFormat="1" applyFont="1" applyFill="1" applyBorder="1" applyAlignment="1">
      <alignment horizontal="center" vertical="center"/>
    </xf>
    <xf numFmtId="176" fontId="15" fillId="34" borderId="96" xfId="0" applyNumberFormat="1" applyFont="1" applyFill="1" applyBorder="1" applyAlignment="1">
      <alignment horizontal="center" vertical="center"/>
    </xf>
    <xf numFmtId="176" fontId="1" fillId="2" borderId="116" xfId="0" quotePrefix="1" applyNumberFormat="1" applyFont="1" applyFill="1" applyBorder="1" applyAlignment="1">
      <alignment horizontal="center" vertical="center"/>
    </xf>
    <xf numFmtId="176" fontId="1" fillId="2" borderId="117" xfId="0" quotePrefix="1" applyNumberFormat="1" applyFont="1" applyFill="1" applyBorder="1" applyAlignment="1">
      <alignment horizontal="center" vertical="center"/>
    </xf>
    <xf numFmtId="176" fontId="1" fillId="2" borderId="86" xfId="0" quotePrefix="1" applyNumberFormat="1" applyFont="1" applyFill="1" applyBorder="1" applyAlignment="1">
      <alignment horizontal="center" vertical="center"/>
    </xf>
    <xf numFmtId="176" fontId="1" fillId="27" borderId="91" xfId="0" quotePrefix="1" applyNumberFormat="1" applyFont="1" applyFill="1" applyBorder="1" applyAlignment="1">
      <alignment horizontal="center" vertical="center"/>
    </xf>
    <xf numFmtId="176" fontId="1" fillId="12" borderId="118" xfId="0" quotePrefix="1" applyNumberFormat="1" applyFont="1" applyFill="1" applyBorder="1" applyAlignment="1">
      <alignment horizontal="center" vertical="center"/>
    </xf>
    <xf numFmtId="176" fontId="1" fillId="0" borderId="91" xfId="0" quotePrefix="1" applyNumberFormat="1" applyFont="1" applyBorder="1" applyAlignment="1">
      <alignment horizontal="center" vertical="center"/>
    </xf>
    <xf numFmtId="176" fontId="1" fillId="0" borderId="119" xfId="0" quotePrefix="1" applyNumberFormat="1" applyFont="1" applyBorder="1" applyAlignment="1">
      <alignment horizontal="center" vertical="center"/>
    </xf>
    <xf numFmtId="176" fontId="1" fillId="0" borderId="117" xfId="0" quotePrefix="1" applyNumberFormat="1" applyFont="1" applyBorder="1" applyAlignment="1">
      <alignment horizontal="center" vertical="center"/>
    </xf>
    <xf numFmtId="176" fontId="1" fillId="0" borderId="120" xfId="0" quotePrefix="1" applyNumberFormat="1" applyFont="1" applyBorder="1" applyAlignment="1">
      <alignment horizontal="center" vertical="center"/>
    </xf>
    <xf numFmtId="176" fontId="1" fillId="34" borderId="121" xfId="0" applyNumberFormat="1" applyFont="1" applyFill="1" applyBorder="1" applyAlignment="1">
      <alignment horizontal="center" vertical="center"/>
    </xf>
    <xf numFmtId="176" fontId="1" fillId="8" borderId="122" xfId="0" applyNumberFormat="1" applyFont="1" applyFill="1" applyBorder="1" applyAlignment="1">
      <alignment horizontal="center" vertical="center"/>
    </xf>
    <xf numFmtId="176" fontId="1" fillId="8" borderId="123" xfId="0" applyNumberFormat="1" applyFont="1" applyFill="1" applyBorder="1" applyAlignment="1">
      <alignment horizontal="center" vertical="center"/>
    </xf>
    <xf numFmtId="176" fontId="1" fillId="33" borderId="124" xfId="0" applyNumberFormat="1" applyFont="1" applyFill="1" applyBorder="1" applyAlignment="1">
      <alignment horizontal="center" vertical="center"/>
    </xf>
    <xf numFmtId="176" fontId="1" fillId="35" borderId="107" xfId="0" applyNumberFormat="1" applyFont="1" applyFill="1" applyBorder="1" applyAlignment="1">
      <alignment horizontal="center" vertical="center"/>
    </xf>
    <xf numFmtId="176" fontId="1" fillId="0" borderId="83" xfId="0" quotePrefix="1" applyNumberFormat="1" applyFont="1" applyBorder="1" applyAlignment="1">
      <alignment horizontal="center" vertical="center"/>
    </xf>
    <xf numFmtId="176" fontId="1" fillId="0" borderId="95" xfId="0" quotePrefix="1" applyNumberFormat="1" applyFont="1" applyBorder="1" applyAlignment="1">
      <alignment horizontal="center" vertical="center"/>
    </xf>
    <xf numFmtId="176" fontId="1" fillId="0" borderId="128" xfId="0" quotePrefix="1" applyNumberFormat="1" applyFont="1" applyBorder="1" applyAlignment="1">
      <alignment horizontal="center" vertical="center"/>
    </xf>
    <xf numFmtId="176" fontId="1" fillId="0" borderId="21" xfId="0" quotePrefix="1" applyNumberFormat="1" applyFont="1" applyBorder="1" applyAlignment="1">
      <alignment horizontal="center" vertical="center"/>
    </xf>
    <xf numFmtId="176" fontId="1" fillId="0" borderId="90" xfId="0" quotePrefix="1" applyNumberFormat="1" applyFont="1" applyBorder="1" applyAlignment="1">
      <alignment horizontal="center" vertical="center"/>
    </xf>
    <xf numFmtId="176" fontId="1" fillId="0" borderId="130" xfId="0" quotePrefix="1" applyNumberFormat="1" applyFont="1" applyBorder="1" applyAlignment="1">
      <alignment horizontal="center" vertical="center"/>
    </xf>
    <xf numFmtId="176" fontId="1" fillId="2" borderId="83" xfId="0" quotePrefix="1" applyNumberFormat="1" applyFont="1" applyFill="1" applyBorder="1" applyAlignment="1">
      <alignment horizontal="center" vertical="center"/>
    </xf>
    <xf numFmtId="176" fontId="1" fillId="2" borderId="126" xfId="0" quotePrefix="1" applyNumberFormat="1" applyFont="1" applyFill="1" applyBorder="1" applyAlignment="1">
      <alignment horizontal="center" vertical="center"/>
    </xf>
    <xf numFmtId="0" fontId="6" fillId="26" borderId="104" xfId="0" applyFont="1" applyFill="1" applyBorder="1" applyAlignment="1">
      <alignment horizontal="center" vertical="center"/>
    </xf>
    <xf numFmtId="0" fontId="1" fillId="36" borderId="96" xfId="0" applyFont="1" applyFill="1" applyBorder="1" applyAlignment="1">
      <alignment horizontal="center" vertical="center"/>
    </xf>
    <xf numFmtId="0" fontId="1" fillId="36" borderId="105" xfId="0" applyFont="1" applyFill="1" applyBorder="1" applyAlignment="1">
      <alignment horizontal="center" vertical="center"/>
    </xf>
    <xf numFmtId="0" fontId="1" fillId="36" borderId="24" xfId="0" applyFont="1" applyFill="1" applyBorder="1" applyAlignment="1">
      <alignment horizontal="center" vertical="center"/>
    </xf>
    <xf numFmtId="176" fontId="1" fillId="0" borderId="41" xfId="0" quotePrefix="1" applyNumberFormat="1" applyFont="1" applyBorder="1" applyAlignment="1">
      <alignment horizontal="center" vertical="center"/>
    </xf>
    <xf numFmtId="0" fontId="1" fillId="36" borderId="103" xfId="0" applyFont="1" applyFill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126" xfId="0" quotePrefix="1" applyNumberFormat="1" applyFont="1" applyBorder="1" applyAlignment="1">
      <alignment horizontal="center" vertical="center"/>
    </xf>
    <xf numFmtId="176" fontId="1" fillId="0" borderId="118" xfId="0" quotePrefix="1" applyNumberFormat="1" applyFont="1" applyBorder="1" applyAlignment="1">
      <alignment horizontal="center" vertical="center"/>
    </xf>
    <xf numFmtId="176" fontId="1" fillId="0" borderId="67" xfId="0" applyNumberFormat="1" applyFont="1" applyBorder="1" applyAlignment="1">
      <alignment horizontal="center" vertical="center"/>
    </xf>
    <xf numFmtId="176" fontId="1" fillId="0" borderId="129" xfId="0" quotePrefix="1" applyNumberFormat="1" applyFont="1" applyBorder="1" applyAlignment="1">
      <alignment horizontal="center" vertical="center"/>
    </xf>
    <xf numFmtId="176" fontId="1" fillId="0" borderId="94" xfId="0" applyNumberFormat="1" applyFont="1" applyBorder="1" applyAlignment="1">
      <alignment horizontal="center" vertical="center"/>
    </xf>
    <xf numFmtId="176" fontId="1" fillId="0" borderId="95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85" xfId="0" applyNumberFormat="1" applyFont="1" applyBorder="1" applyAlignment="1">
      <alignment horizontal="center" vertical="center"/>
    </xf>
    <xf numFmtId="176" fontId="1" fillId="0" borderId="5" xfId="0" quotePrefix="1" applyNumberFormat="1" applyFont="1" applyBorder="1" applyAlignment="1">
      <alignment horizontal="center" vertical="center"/>
    </xf>
    <xf numFmtId="176" fontId="1" fillId="0" borderId="127" xfId="0" quotePrefix="1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0" borderId="8" xfId="0" quotePrefix="1" applyNumberFormat="1" applyFont="1" applyBorder="1" applyAlignment="1">
      <alignment horizontal="center" vertical="center"/>
    </xf>
    <xf numFmtId="176" fontId="1" fillId="0" borderId="86" xfId="0" quotePrefix="1" applyNumberFormat="1" applyFont="1" applyBorder="1" applyAlignment="1">
      <alignment horizontal="center" vertical="center"/>
    </xf>
    <xf numFmtId="176" fontId="1" fillId="0" borderId="88" xfId="0" applyNumberFormat="1" applyFont="1" applyBorder="1" applyAlignment="1">
      <alignment horizontal="center" vertical="center"/>
    </xf>
    <xf numFmtId="176" fontId="1" fillId="0" borderId="89" xfId="0" applyNumberFormat="1" applyFont="1" applyBorder="1" applyAlignment="1">
      <alignment horizontal="center" vertical="center"/>
    </xf>
    <xf numFmtId="176" fontId="1" fillId="0" borderId="87" xfId="0" quotePrefix="1" applyNumberFormat="1" applyFont="1" applyBorder="1" applyAlignment="1">
      <alignment horizontal="center" vertical="center"/>
    </xf>
    <xf numFmtId="176" fontId="1" fillId="0" borderId="99" xfId="0" quotePrefix="1" applyNumberFormat="1" applyFont="1" applyBorder="1" applyAlignment="1">
      <alignment horizontal="center" vertical="center"/>
    </xf>
    <xf numFmtId="176" fontId="1" fillId="0" borderId="137" xfId="0" applyNumberFormat="1" applyFont="1" applyBorder="1" applyAlignment="1">
      <alignment horizontal="center" vertical="center"/>
    </xf>
    <xf numFmtId="176" fontId="1" fillId="0" borderId="34" xfId="0" quotePrefix="1" applyNumberFormat="1" applyFont="1" applyBorder="1" applyAlignment="1">
      <alignment horizontal="center" vertical="center"/>
    </xf>
    <xf numFmtId="176" fontId="1" fillId="0" borderId="138" xfId="0" quotePrefix="1" applyNumberFormat="1" applyFont="1" applyBorder="1" applyAlignment="1">
      <alignment horizontal="center" vertical="center"/>
    </xf>
    <xf numFmtId="176" fontId="1" fillId="2" borderId="8" xfId="0" quotePrefix="1" applyNumberFormat="1" applyFont="1" applyFill="1" applyBorder="1" applyAlignment="1">
      <alignment horizontal="center" vertical="center"/>
    </xf>
    <xf numFmtId="176" fontId="1" fillId="37" borderId="8" xfId="0" applyNumberFormat="1" applyFont="1" applyFill="1" applyBorder="1" applyAlignment="1">
      <alignment horizontal="center" vertical="center"/>
    </xf>
    <xf numFmtId="176" fontId="1" fillId="37" borderId="126" xfId="0" quotePrefix="1" applyNumberFormat="1" applyFont="1" applyFill="1" applyBorder="1" applyAlignment="1">
      <alignment horizontal="center" vertical="center"/>
    </xf>
    <xf numFmtId="176" fontId="1" fillId="37" borderId="83" xfId="0" quotePrefix="1" applyNumberFormat="1" applyFont="1" applyFill="1" applyBorder="1" applyAlignment="1">
      <alignment horizontal="center" vertical="center"/>
    </xf>
    <xf numFmtId="176" fontId="1" fillId="0" borderId="31" xfId="0" applyNumberFormat="1" applyFont="1" applyBorder="1" applyAlignment="1">
      <alignment horizontal="center" vertical="center"/>
    </xf>
    <xf numFmtId="176" fontId="1" fillId="0" borderId="131" xfId="0" quotePrefix="1" applyNumberFormat="1" applyFont="1" applyBorder="1" applyAlignment="1">
      <alignment horizontal="center" vertical="center"/>
    </xf>
    <xf numFmtId="176" fontId="1" fillId="0" borderId="82" xfId="0" quotePrefix="1" applyNumberFormat="1" applyFont="1" applyBorder="1" applyAlignment="1">
      <alignment horizontal="center" vertical="center"/>
    </xf>
    <xf numFmtId="176" fontId="1" fillId="0" borderId="33" xfId="0" applyNumberFormat="1" applyFont="1" applyBorder="1" applyAlignment="1">
      <alignment horizontal="center" vertical="center"/>
    </xf>
    <xf numFmtId="176" fontId="1" fillId="0" borderId="82" xfId="0" applyNumberFormat="1" applyFont="1" applyBorder="1" applyAlignment="1">
      <alignment horizontal="center" vertical="center"/>
    </xf>
    <xf numFmtId="176" fontId="1" fillId="0" borderId="83" xfId="0" applyNumberFormat="1" applyFont="1" applyBorder="1" applyAlignment="1">
      <alignment horizontal="center" vertical="center"/>
    </xf>
    <xf numFmtId="176" fontId="1" fillId="0" borderId="90" xfId="0" applyNumberFormat="1" applyFont="1" applyBorder="1" applyAlignment="1">
      <alignment horizontal="center" vertical="center"/>
    </xf>
    <xf numFmtId="176" fontId="1" fillId="0" borderId="87" xfId="0" applyNumberFormat="1" applyFont="1" applyBorder="1" applyAlignment="1">
      <alignment horizontal="center" vertical="center"/>
    </xf>
    <xf numFmtId="176" fontId="1" fillId="37" borderId="8" xfId="0" quotePrefix="1" applyNumberFormat="1" applyFont="1" applyFill="1" applyBorder="1" applyAlignment="1">
      <alignment horizontal="center" vertical="center"/>
    </xf>
    <xf numFmtId="176" fontId="1" fillId="37" borderId="130" xfId="0" quotePrefix="1" applyNumberFormat="1" applyFont="1" applyFill="1" applyBorder="1" applyAlignment="1">
      <alignment horizontal="center" vertical="center"/>
    </xf>
    <xf numFmtId="176" fontId="1" fillId="37" borderId="90" xfId="0" quotePrefix="1" applyNumberFormat="1" applyFont="1" applyFill="1" applyBorder="1" applyAlignment="1">
      <alignment horizontal="center" vertical="center"/>
    </xf>
    <xf numFmtId="176" fontId="1" fillId="37" borderId="87" xfId="0" quotePrefix="1" applyNumberFormat="1" applyFont="1" applyFill="1" applyBorder="1" applyAlignment="1">
      <alignment horizontal="center" vertical="center"/>
    </xf>
    <xf numFmtId="176" fontId="1" fillId="37" borderId="88" xfId="0" applyNumberFormat="1" applyFont="1" applyFill="1" applyBorder="1" applyAlignment="1">
      <alignment horizontal="center" vertical="center"/>
    </xf>
    <xf numFmtId="176" fontId="1" fillId="37" borderId="128" xfId="0" quotePrefix="1" applyNumberFormat="1" applyFont="1" applyFill="1" applyBorder="1" applyAlignment="1">
      <alignment horizontal="center" vertical="center"/>
    </xf>
    <xf numFmtId="176" fontId="1" fillId="37" borderId="95" xfId="0" quotePrefix="1" applyNumberFormat="1" applyFont="1" applyFill="1" applyBorder="1" applyAlignment="1">
      <alignment horizontal="center" vertical="center"/>
    </xf>
    <xf numFmtId="176" fontId="1" fillId="37" borderId="92" xfId="0" quotePrefix="1" applyNumberFormat="1" applyFont="1" applyFill="1" applyBorder="1" applyAlignment="1">
      <alignment horizontal="center" vertical="center"/>
    </xf>
    <xf numFmtId="176" fontId="1" fillId="37" borderId="93" xfId="0" applyNumberFormat="1" applyFont="1" applyFill="1" applyBorder="1" applyAlignment="1">
      <alignment horizontal="center" vertical="center"/>
    </xf>
    <xf numFmtId="176" fontId="1" fillId="37" borderId="66" xfId="0" applyNumberFormat="1" applyFont="1" applyFill="1" applyBorder="1" applyAlignment="1">
      <alignment horizontal="center" vertical="center"/>
    </xf>
    <xf numFmtId="176" fontId="1" fillId="37" borderId="67" xfId="0" applyNumberFormat="1" applyFont="1" applyFill="1" applyBorder="1" applyAlignment="1">
      <alignment horizontal="center" vertical="center"/>
    </xf>
    <xf numFmtId="176" fontId="1" fillId="37" borderId="21" xfId="0" applyNumberFormat="1" applyFont="1" applyFill="1" applyBorder="1" applyAlignment="1">
      <alignment horizontal="center" vertical="center"/>
    </xf>
    <xf numFmtId="176" fontId="1" fillId="37" borderId="65" xfId="0" applyNumberFormat="1" applyFont="1" applyFill="1" applyBorder="1" applyAlignment="1">
      <alignment horizontal="center" vertical="center"/>
    </xf>
    <xf numFmtId="176" fontId="1" fillId="37" borderId="129" xfId="0" quotePrefix="1" applyNumberFormat="1" applyFont="1" applyFill="1" applyBorder="1" applyAlignment="1">
      <alignment horizontal="center" vertical="center"/>
    </xf>
    <xf numFmtId="176" fontId="1" fillId="37" borderId="21" xfId="0" quotePrefix="1" applyNumberFormat="1" applyFont="1" applyFill="1" applyBorder="1" applyAlignment="1">
      <alignment horizontal="center" vertical="center"/>
    </xf>
    <xf numFmtId="176" fontId="1" fillId="37" borderId="65" xfId="0" quotePrefix="1" applyNumberFormat="1" applyFont="1" applyFill="1" applyBorder="1" applyAlignment="1">
      <alignment horizontal="center" vertical="center"/>
    </xf>
    <xf numFmtId="176" fontId="1" fillId="37" borderId="94" xfId="0" applyNumberFormat="1" applyFont="1" applyFill="1" applyBorder="1" applyAlignment="1">
      <alignment horizontal="center" vertical="center"/>
    </xf>
    <xf numFmtId="176" fontId="1" fillId="37" borderId="95" xfId="0" applyNumberFormat="1" applyFont="1" applyFill="1" applyBorder="1" applyAlignment="1">
      <alignment horizontal="center" vertical="center"/>
    </xf>
    <xf numFmtId="176" fontId="1" fillId="37" borderId="92" xfId="0" applyNumberFormat="1" applyFont="1" applyFill="1" applyBorder="1" applyAlignment="1">
      <alignment horizontal="center" vertical="center"/>
    </xf>
    <xf numFmtId="176" fontId="1" fillId="37" borderId="85" xfId="0" applyNumberFormat="1" applyFont="1" applyFill="1" applyBorder="1" applyAlignment="1">
      <alignment horizontal="center" vertical="center"/>
    </xf>
    <xf numFmtId="176" fontId="1" fillId="37" borderId="5" xfId="0" quotePrefix="1" applyNumberFormat="1" applyFont="1" applyFill="1" applyBorder="1" applyAlignment="1">
      <alignment horizontal="center" vertical="center"/>
    </xf>
    <xf numFmtId="176" fontId="1" fillId="37" borderId="127" xfId="0" quotePrefix="1" applyNumberFormat="1" applyFont="1" applyFill="1" applyBorder="1" applyAlignment="1">
      <alignment horizontal="center" vertical="center"/>
    </xf>
    <xf numFmtId="176" fontId="1" fillId="37" borderId="85" xfId="0" quotePrefix="1" applyNumberFormat="1" applyFont="1" applyFill="1" applyBorder="1" applyAlignment="1">
      <alignment horizontal="center" vertical="center"/>
    </xf>
    <xf numFmtId="176" fontId="1" fillId="37" borderId="1" xfId="0" applyNumberFormat="1" applyFont="1" applyFill="1" applyBorder="1" applyAlignment="1">
      <alignment horizontal="center" vertical="center"/>
    </xf>
    <xf numFmtId="176" fontId="1" fillId="37" borderId="10" xfId="0" applyNumberFormat="1" applyFont="1" applyFill="1" applyBorder="1" applyAlignment="1">
      <alignment horizontal="center" vertical="center"/>
    </xf>
    <xf numFmtId="176" fontId="1" fillId="37" borderId="34" xfId="0" quotePrefix="1" applyNumberFormat="1" applyFont="1" applyFill="1" applyBorder="1" applyAlignment="1">
      <alignment horizontal="center" vertical="center"/>
    </xf>
    <xf numFmtId="176" fontId="1" fillId="37" borderId="137" xfId="0" applyNumberFormat="1" applyFont="1" applyFill="1" applyBorder="1" applyAlignment="1">
      <alignment horizontal="center" vertical="center"/>
    </xf>
    <xf numFmtId="176" fontId="1" fillId="37" borderId="89" xfId="0" applyNumberFormat="1" applyFont="1" applyFill="1" applyBorder="1" applyAlignment="1">
      <alignment horizontal="center" vertical="center"/>
    </xf>
    <xf numFmtId="176" fontId="1" fillId="0" borderId="116" xfId="0" applyNumberFormat="1" applyFont="1" applyBorder="1" applyAlignment="1">
      <alignment horizontal="center" vertical="center"/>
    </xf>
    <xf numFmtId="176" fontId="1" fillId="0" borderId="143" xfId="0" quotePrefix="1" applyNumberFormat="1" applyFont="1" applyBorder="1" applyAlignment="1">
      <alignment horizontal="center" vertical="center"/>
    </xf>
    <xf numFmtId="176" fontId="1" fillId="0" borderId="144" xfId="0" quotePrefix="1" applyNumberFormat="1" applyFont="1" applyBorder="1" applyAlignment="1">
      <alignment horizontal="center" vertical="center"/>
    </xf>
    <xf numFmtId="176" fontId="1" fillId="0" borderId="117" xfId="0" applyNumberFormat="1" applyFont="1" applyBorder="1" applyAlignment="1">
      <alignment horizontal="center" vertical="center"/>
    </xf>
    <xf numFmtId="176" fontId="1" fillId="0" borderId="145" xfId="0" quotePrefix="1" applyNumberFormat="1" applyFont="1" applyBorder="1" applyAlignment="1">
      <alignment horizontal="center" vertical="center"/>
    </xf>
    <xf numFmtId="176" fontId="1" fillId="0" borderId="146" xfId="0" quotePrefix="1" applyNumberFormat="1" applyFont="1" applyBorder="1" applyAlignment="1">
      <alignment horizontal="center" vertical="center"/>
    </xf>
    <xf numFmtId="176" fontId="1" fillId="0" borderId="147" xfId="0" quotePrefix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76" fontId="1" fillId="37" borderId="118" xfId="0" quotePrefix="1" applyNumberFormat="1" applyFont="1" applyFill="1" applyBorder="1" applyAlignment="1">
      <alignment horizontal="center" vertical="center"/>
    </xf>
    <xf numFmtId="176" fontId="1" fillId="37" borderId="86" xfId="0" quotePrefix="1" applyNumberFormat="1" applyFont="1" applyFill="1" applyBorder="1" applyAlignment="1">
      <alignment horizontal="center" vertical="center"/>
    </xf>
    <xf numFmtId="0" fontId="0" fillId="0" borderId="149" xfId="0" applyBorder="1" applyAlignment="1">
      <alignment vertical="center"/>
    </xf>
    <xf numFmtId="176" fontId="1" fillId="32" borderId="86" xfId="0" applyNumberFormat="1" applyFont="1" applyFill="1" applyBorder="1" applyAlignment="1">
      <alignment horizontal="center" vertical="center"/>
    </xf>
    <xf numFmtId="176" fontId="1" fillId="32" borderId="91" xfId="0" applyNumberFormat="1" applyFont="1" applyFill="1" applyBorder="1" applyAlignment="1">
      <alignment horizontal="center" vertical="center"/>
    </xf>
    <xf numFmtId="176" fontId="1" fillId="32" borderId="118" xfId="0" applyNumberFormat="1" applyFont="1" applyFill="1" applyBorder="1" applyAlignment="1">
      <alignment horizontal="center" vertical="center"/>
    </xf>
    <xf numFmtId="176" fontId="1" fillId="32" borderId="119" xfId="0" applyNumberFormat="1" applyFont="1" applyFill="1" applyBorder="1" applyAlignment="1">
      <alignment horizontal="center" vertical="center"/>
    </xf>
    <xf numFmtId="176" fontId="1" fillId="32" borderId="117" xfId="0" applyNumberFormat="1" applyFont="1" applyFill="1" applyBorder="1" applyAlignment="1">
      <alignment horizontal="center" vertical="center"/>
    </xf>
    <xf numFmtId="176" fontId="1" fillId="32" borderId="99" xfId="0" applyNumberFormat="1" applyFont="1" applyFill="1" applyBorder="1" applyAlignment="1">
      <alignment horizontal="center" vertical="center"/>
    </xf>
    <xf numFmtId="176" fontId="1" fillId="32" borderId="94" xfId="0" applyNumberFormat="1" applyFont="1" applyFill="1" applyBorder="1" applyAlignment="1">
      <alignment horizontal="center" vertical="center"/>
    </xf>
    <xf numFmtId="176" fontId="1" fillId="32" borderId="92" xfId="0" applyNumberFormat="1" applyFont="1" applyFill="1" applyBorder="1" applyAlignment="1">
      <alignment horizontal="center" vertical="center"/>
    </xf>
    <xf numFmtId="176" fontId="1" fillId="32" borderId="128" xfId="0" quotePrefix="1" applyNumberFormat="1" applyFont="1" applyFill="1" applyBorder="1" applyAlignment="1">
      <alignment horizontal="center" vertical="center"/>
    </xf>
    <xf numFmtId="176" fontId="1" fillId="32" borderId="95" xfId="0" quotePrefix="1" applyNumberFormat="1" applyFont="1" applyFill="1" applyBorder="1" applyAlignment="1">
      <alignment horizontal="center" vertical="center"/>
    </xf>
    <xf numFmtId="176" fontId="1" fillId="32" borderId="1" xfId="0" applyNumberFormat="1" applyFont="1" applyFill="1" applyBorder="1" applyAlignment="1">
      <alignment horizontal="center" vertical="center"/>
    </xf>
    <xf numFmtId="176" fontId="1" fillId="32" borderId="85" xfId="0" applyNumberFormat="1" applyFont="1" applyFill="1" applyBorder="1" applyAlignment="1">
      <alignment horizontal="center" vertical="center"/>
    </xf>
    <xf numFmtId="176" fontId="1" fillId="32" borderId="5" xfId="0" quotePrefix="1" applyNumberFormat="1" applyFont="1" applyFill="1" applyBorder="1" applyAlignment="1">
      <alignment horizontal="center" vertical="center"/>
    </xf>
    <xf numFmtId="176" fontId="1" fillId="32" borderId="127" xfId="0" quotePrefix="1" applyNumberFormat="1" applyFont="1" applyFill="1" applyBorder="1" applyAlignment="1">
      <alignment horizontal="center" vertical="center"/>
    </xf>
    <xf numFmtId="176" fontId="1" fillId="32" borderId="85" xfId="0" quotePrefix="1" applyNumberFormat="1" applyFont="1" applyFill="1" applyBorder="1" applyAlignment="1">
      <alignment horizontal="center" vertical="center"/>
    </xf>
    <xf numFmtId="176" fontId="1" fillId="32" borderId="10" xfId="0" applyNumberFormat="1" applyFont="1" applyFill="1" applyBorder="1" applyAlignment="1">
      <alignment horizontal="center" vertical="center"/>
    </xf>
    <xf numFmtId="176" fontId="1" fillId="32" borderId="8" xfId="0" quotePrefix="1" applyNumberFormat="1" applyFont="1" applyFill="1" applyBorder="1" applyAlignment="1">
      <alignment horizontal="center" vertical="center"/>
    </xf>
    <xf numFmtId="176" fontId="1" fillId="32" borderId="126" xfId="0" quotePrefix="1" applyNumberFormat="1" applyFont="1" applyFill="1" applyBorder="1" applyAlignment="1">
      <alignment horizontal="center" vertical="center"/>
    </xf>
    <xf numFmtId="176" fontId="1" fillId="32" borderId="83" xfId="0" quotePrefix="1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center"/>
    </xf>
    <xf numFmtId="176" fontId="1" fillId="0" borderId="68" xfId="0" quotePrefix="1" applyNumberFormat="1" applyFont="1" applyBorder="1" applyAlignment="1">
      <alignment horizontal="center" vertical="center"/>
    </xf>
    <xf numFmtId="176" fontId="1" fillId="32" borderId="89" xfId="0" applyNumberFormat="1" applyFont="1" applyFill="1" applyBorder="1" applyAlignment="1">
      <alignment horizontal="center" vertical="center"/>
    </xf>
    <xf numFmtId="176" fontId="1" fillId="32" borderId="87" xfId="0" quotePrefix="1" applyNumberFormat="1" applyFont="1" applyFill="1" applyBorder="1" applyAlignment="1">
      <alignment horizontal="center" vertical="center"/>
    </xf>
    <xf numFmtId="176" fontId="1" fillId="32" borderId="130" xfId="0" quotePrefix="1" applyNumberFormat="1" applyFont="1" applyFill="1" applyBorder="1" applyAlignment="1">
      <alignment horizontal="center" vertical="center"/>
    </xf>
    <xf numFmtId="176" fontId="1" fillId="32" borderId="90" xfId="0" quotePrefix="1" applyNumberFormat="1" applyFont="1" applyFill="1" applyBorder="1" applyAlignment="1">
      <alignment horizontal="center" vertical="center"/>
    </xf>
    <xf numFmtId="176" fontId="1" fillId="0" borderId="31" xfId="0" quotePrefix="1" applyNumberFormat="1" applyFont="1" applyBorder="1" applyAlignment="1">
      <alignment horizontal="center" vertical="center"/>
    </xf>
    <xf numFmtId="176" fontId="1" fillId="32" borderId="83" xfId="0" applyNumberFormat="1" applyFont="1" applyFill="1" applyBorder="1" applyAlignment="1">
      <alignment horizontal="center" vertical="center"/>
    </xf>
    <xf numFmtId="176" fontId="1" fillId="32" borderId="8" xfId="0" applyNumberFormat="1" applyFont="1" applyFill="1" applyBorder="1" applyAlignment="1">
      <alignment horizontal="center" vertical="center"/>
    </xf>
    <xf numFmtId="176" fontId="1" fillId="0" borderId="148" xfId="0" quotePrefix="1" applyNumberFormat="1" applyFont="1" applyBorder="1" applyAlignment="1">
      <alignment horizontal="center" vertical="center"/>
    </xf>
    <xf numFmtId="20" fontId="1" fillId="0" borderId="141" xfId="0" quotePrefix="1" applyNumberFormat="1" applyFont="1" applyBorder="1" applyAlignment="1">
      <alignment horizontal="center" vertical="center"/>
    </xf>
    <xf numFmtId="20" fontId="1" fillId="0" borderId="136" xfId="0" quotePrefix="1" applyNumberFormat="1" applyFont="1" applyBorder="1" applyAlignment="1">
      <alignment horizontal="center" vertical="center"/>
    </xf>
    <xf numFmtId="176" fontId="1" fillId="0" borderId="91" xfId="0" applyNumberFormat="1" applyFont="1" applyBorder="1" applyAlignment="1">
      <alignment horizontal="center" vertical="center"/>
    </xf>
    <xf numFmtId="20" fontId="1" fillId="0" borderId="108" xfId="0" quotePrefix="1" applyNumberFormat="1" applyFont="1" applyBorder="1" applyAlignment="1">
      <alignment horizontal="center" vertical="center"/>
    </xf>
    <xf numFmtId="176" fontId="1" fillId="0" borderId="61" xfId="0" quotePrefix="1" applyNumberFormat="1" applyFont="1" applyBorder="1" applyAlignment="1">
      <alignment horizontal="center" vertical="center"/>
    </xf>
    <xf numFmtId="176" fontId="1" fillId="8" borderId="57" xfId="0" applyNumberFormat="1" applyFont="1" applyFill="1" applyBorder="1" applyAlignment="1">
      <alignment horizontal="center" vertical="center"/>
    </xf>
    <xf numFmtId="176" fontId="1" fillId="37" borderId="114" xfId="0" applyNumberFormat="1" applyFont="1" applyFill="1" applyBorder="1" applyAlignment="1">
      <alignment horizontal="center" vertical="center"/>
    </xf>
    <xf numFmtId="176" fontId="1" fillId="37" borderId="5" xfId="0" applyNumberFormat="1" applyFont="1" applyFill="1" applyBorder="1" applyAlignment="1">
      <alignment horizontal="center" vertical="center"/>
    </xf>
    <xf numFmtId="176" fontId="1" fillId="37" borderId="110" xfId="0" applyNumberFormat="1" applyFont="1" applyFill="1" applyBorder="1" applyAlignment="1">
      <alignment horizontal="center" vertical="center"/>
    </xf>
    <xf numFmtId="176" fontId="1" fillId="37" borderId="83" xfId="0" applyNumberFormat="1" applyFont="1" applyFill="1" applyBorder="1" applyAlignment="1">
      <alignment horizontal="center" vertical="center"/>
    </xf>
    <xf numFmtId="0" fontId="1" fillId="11" borderId="102" xfId="0" applyFont="1" applyFill="1" applyBorder="1" applyAlignment="1">
      <alignment horizontal="center" vertical="center"/>
    </xf>
    <xf numFmtId="0" fontId="1" fillId="11" borderId="103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176" fontId="1" fillId="32" borderId="110" xfId="0" applyNumberFormat="1" applyFont="1" applyFill="1" applyBorder="1" applyAlignment="1">
      <alignment horizontal="center" vertical="center"/>
    </xf>
    <xf numFmtId="176" fontId="1" fillId="32" borderId="111" xfId="0" applyNumberFormat="1" applyFont="1" applyFill="1" applyBorder="1" applyAlignment="1">
      <alignment horizontal="center" vertical="center"/>
    </xf>
    <xf numFmtId="176" fontId="1" fillId="32" borderId="90" xfId="0" applyNumberFormat="1" applyFont="1" applyFill="1" applyBorder="1" applyAlignment="1">
      <alignment horizontal="center" vertical="center"/>
    </xf>
    <xf numFmtId="176" fontId="1" fillId="32" borderId="112" xfId="0" applyNumberFormat="1" applyFont="1" applyFill="1" applyBorder="1" applyAlignment="1">
      <alignment horizontal="center" vertical="center"/>
    </xf>
    <xf numFmtId="0" fontId="6" fillId="38" borderId="104" xfId="0" applyFont="1" applyFill="1" applyBorder="1" applyAlignment="1">
      <alignment horizontal="center" vertical="center"/>
    </xf>
    <xf numFmtId="0" fontId="1" fillId="13" borderId="96" xfId="0" applyFont="1" applyFill="1" applyBorder="1" applyAlignment="1">
      <alignment horizontal="center" vertical="center"/>
    </xf>
    <xf numFmtId="0" fontId="6" fillId="39" borderId="96" xfId="0" applyFont="1" applyFill="1" applyBorder="1" applyAlignment="1">
      <alignment horizontal="center" vertical="center"/>
    </xf>
    <xf numFmtId="176" fontId="1" fillId="40" borderId="65" xfId="0" applyNumberFormat="1" applyFont="1" applyFill="1" applyBorder="1" applyAlignment="1">
      <alignment horizontal="center" vertical="center"/>
    </xf>
    <xf numFmtId="176" fontId="1" fillId="40" borderId="147" xfId="0" quotePrefix="1" applyNumberFormat="1" applyFont="1" applyFill="1" applyBorder="1" applyAlignment="1">
      <alignment horizontal="center" vertical="center"/>
    </xf>
    <xf numFmtId="176" fontId="1" fillId="40" borderId="92" xfId="0" applyNumberFormat="1" applyFont="1" applyFill="1" applyBorder="1" applyAlignment="1">
      <alignment horizontal="center" vertical="center"/>
    </xf>
    <xf numFmtId="176" fontId="1" fillId="40" borderId="146" xfId="0" quotePrefix="1" applyNumberFormat="1" applyFont="1" applyFill="1" applyBorder="1" applyAlignment="1">
      <alignment horizontal="center" vertical="center"/>
    </xf>
    <xf numFmtId="176" fontId="1" fillId="28" borderId="153" xfId="0" quotePrefix="1" applyNumberFormat="1" applyFont="1" applyFill="1" applyBorder="1" applyAlignment="1">
      <alignment horizontal="center" vertical="center"/>
    </xf>
    <xf numFmtId="176" fontId="1" fillId="40" borderId="128" xfId="0" applyNumberFormat="1" applyFont="1" applyFill="1" applyBorder="1" applyAlignment="1">
      <alignment horizontal="center" vertical="center"/>
    </xf>
    <xf numFmtId="176" fontId="1" fillId="0" borderId="138" xfId="0" applyNumberFormat="1" applyFont="1" applyBorder="1" applyAlignment="1">
      <alignment horizontal="center" vertical="center"/>
    </xf>
    <xf numFmtId="20" fontId="1" fillId="0" borderId="149" xfId="0" quotePrefix="1" applyNumberFormat="1" applyFont="1" applyBorder="1" applyAlignment="1">
      <alignment horizontal="center" vertical="center"/>
    </xf>
    <xf numFmtId="176" fontId="1" fillId="2" borderId="155" xfId="0" quotePrefix="1" applyNumberFormat="1" applyFont="1" applyFill="1" applyBorder="1" applyAlignment="1">
      <alignment horizontal="center" vertical="center"/>
    </xf>
    <xf numFmtId="176" fontId="1" fillId="2" borderId="156" xfId="0" quotePrefix="1" applyNumberFormat="1" applyFont="1" applyFill="1" applyBorder="1" applyAlignment="1">
      <alignment horizontal="center" vertical="center"/>
    </xf>
    <xf numFmtId="176" fontId="1" fillId="12" borderId="156" xfId="0" quotePrefix="1" applyNumberFormat="1" applyFont="1" applyFill="1" applyBorder="1" applyAlignment="1">
      <alignment horizontal="center" vertical="center"/>
    </xf>
    <xf numFmtId="176" fontId="1" fillId="12" borderId="157" xfId="0" quotePrefix="1" applyNumberFormat="1" applyFont="1" applyFill="1" applyBorder="1" applyAlignment="1">
      <alignment horizontal="center" vertical="center"/>
    </xf>
    <xf numFmtId="176" fontId="1" fillId="12" borderId="149" xfId="0" quotePrefix="1" applyNumberFormat="1" applyFont="1" applyFill="1" applyBorder="1" applyAlignment="1">
      <alignment horizontal="center" vertical="center"/>
    </xf>
    <xf numFmtId="176" fontId="1" fillId="25" borderId="149" xfId="0" quotePrefix="1" applyNumberFormat="1" applyFont="1" applyFill="1" applyBorder="1" applyAlignment="1">
      <alignment horizontal="center" vertical="center"/>
    </xf>
    <xf numFmtId="176" fontId="1" fillId="0" borderId="154" xfId="0" quotePrefix="1" applyNumberFormat="1" applyFont="1" applyBorder="1" applyAlignment="1">
      <alignment horizontal="center" vertical="center"/>
    </xf>
    <xf numFmtId="176" fontId="1" fillId="0" borderId="149" xfId="0" quotePrefix="1" applyNumberFormat="1" applyFont="1" applyBorder="1" applyAlignment="1">
      <alignment horizontal="center" vertical="center"/>
    </xf>
    <xf numFmtId="176" fontId="1" fillId="0" borderId="158" xfId="0" quotePrefix="1" applyNumberFormat="1" applyFont="1" applyBorder="1" applyAlignment="1">
      <alignment horizontal="center" vertical="center"/>
    </xf>
    <xf numFmtId="176" fontId="1" fillId="0" borderId="128" xfId="0" quotePrefix="1" applyNumberFormat="1" applyFont="1" applyBorder="1" applyAlignment="1">
      <alignment vertical="center"/>
    </xf>
    <xf numFmtId="176" fontId="1" fillId="8" borderId="160" xfId="0" applyNumberFormat="1" applyFont="1" applyFill="1" applyBorder="1" applyAlignment="1">
      <alignment vertical="center"/>
    </xf>
    <xf numFmtId="176" fontId="1" fillId="0" borderId="129" xfId="0" applyNumberFormat="1" applyFont="1" applyBorder="1" applyAlignment="1">
      <alignment horizontal="center" vertical="center"/>
    </xf>
    <xf numFmtId="176" fontId="1" fillId="37" borderId="159" xfId="0" quotePrefix="1" applyNumberFormat="1" applyFont="1" applyFill="1" applyBorder="1" applyAlignment="1">
      <alignment vertical="center"/>
    </xf>
    <xf numFmtId="176" fontId="1" fillId="37" borderId="126" xfId="0" quotePrefix="1" applyNumberFormat="1" applyFont="1" applyFill="1" applyBorder="1" applyAlignment="1">
      <alignment vertical="center"/>
    </xf>
    <xf numFmtId="176" fontId="1" fillId="32" borderId="126" xfId="0" quotePrefix="1" applyNumberFormat="1" applyFont="1" applyFill="1" applyBorder="1" applyAlignment="1">
      <alignment vertical="center"/>
    </xf>
    <xf numFmtId="176" fontId="1" fillId="32" borderId="130" xfId="0" quotePrefix="1" applyNumberFormat="1" applyFont="1" applyFill="1" applyBorder="1" applyAlignment="1">
      <alignment vertical="center"/>
    </xf>
    <xf numFmtId="176" fontId="1" fillId="32" borderId="128" xfId="0" quotePrefix="1" applyNumberFormat="1" applyFont="1" applyFill="1" applyBorder="1" applyAlignment="1">
      <alignment vertical="center"/>
    </xf>
    <xf numFmtId="176" fontId="1" fillId="8" borderId="161" xfId="0" applyNumberFormat="1" applyFont="1" applyFill="1" applyBorder="1" applyAlignment="1">
      <alignment horizontal="center" vertical="center"/>
    </xf>
    <xf numFmtId="0" fontId="1" fillId="41" borderId="54" xfId="0" applyFont="1" applyFill="1" applyBorder="1" applyAlignment="1">
      <alignment horizontal="center" vertical="center"/>
    </xf>
    <xf numFmtId="176" fontId="1" fillId="41" borderId="55" xfId="0" applyNumberFormat="1" applyFont="1" applyFill="1" applyBorder="1" applyAlignment="1">
      <alignment horizontal="center" vertical="center"/>
    </xf>
    <xf numFmtId="0" fontId="1" fillId="42" borderId="29" xfId="0" applyFont="1" applyFill="1" applyBorder="1" applyAlignment="1">
      <alignment horizontal="center" vertical="center"/>
    </xf>
    <xf numFmtId="176" fontId="1" fillId="42" borderId="59" xfId="0" applyNumberFormat="1" applyFont="1" applyFill="1" applyBorder="1" applyAlignment="1">
      <alignment horizontal="center" vertical="center"/>
    </xf>
    <xf numFmtId="0" fontId="1" fillId="42" borderId="48" xfId="0" applyFont="1" applyFill="1" applyBorder="1" applyAlignment="1">
      <alignment horizontal="center" vertical="center"/>
    </xf>
    <xf numFmtId="176" fontId="1" fillId="42" borderId="23" xfId="0" applyNumberFormat="1" applyFont="1" applyFill="1" applyBorder="1" applyAlignment="1">
      <alignment horizontal="center" vertical="center"/>
    </xf>
    <xf numFmtId="0" fontId="1" fillId="42" borderId="60" xfId="0" applyFont="1" applyFill="1" applyBorder="1" applyAlignment="1">
      <alignment horizontal="center" vertical="center"/>
    </xf>
    <xf numFmtId="176" fontId="1" fillId="42" borderId="55" xfId="0" applyNumberFormat="1" applyFont="1" applyFill="1" applyBorder="1" applyAlignment="1">
      <alignment horizontal="center" vertical="center"/>
    </xf>
    <xf numFmtId="0" fontId="2" fillId="43" borderId="38" xfId="0" applyFont="1" applyFill="1" applyBorder="1" applyAlignment="1">
      <alignment horizontal="center" vertical="center"/>
    </xf>
    <xf numFmtId="0" fontId="2" fillId="43" borderId="27" xfId="0" applyFont="1" applyFill="1" applyBorder="1" applyAlignment="1">
      <alignment horizontal="center" vertical="center"/>
    </xf>
    <xf numFmtId="0" fontId="6" fillId="10" borderId="8" xfId="0" quotePrefix="1" applyFont="1" applyFill="1" applyBorder="1" applyAlignment="1">
      <alignment horizontal="center" vertical="center"/>
    </xf>
    <xf numFmtId="20" fontId="1" fillId="10" borderId="8" xfId="0" quotePrefix="1" applyNumberFormat="1" applyFont="1" applyFill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20" fontId="1" fillId="0" borderId="47" xfId="0" quotePrefix="1" applyNumberFormat="1" applyFont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176" fontId="1" fillId="44" borderId="23" xfId="0" applyNumberFormat="1" applyFont="1" applyFill="1" applyBorder="1" applyAlignment="1">
      <alignment horizontal="center" vertical="center"/>
    </xf>
    <xf numFmtId="176" fontId="1" fillId="19" borderId="165" xfId="0" applyNumberFormat="1" applyFont="1" applyFill="1" applyBorder="1" applyAlignment="1">
      <alignment horizontal="center" vertical="center"/>
    </xf>
    <xf numFmtId="176" fontId="1" fillId="38" borderId="105" xfId="0" applyNumberFormat="1" applyFont="1" applyFill="1" applyBorder="1" applyAlignment="1">
      <alignment horizontal="center" vertical="center"/>
    </xf>
    <xf numFmtId="176" fontId="1" fillId="18" borderId="165" xfId="0" applyNumberFormat="1" applyFont="1" applyFill="1" applyBorder="1" applyAlignment="1">
      <alignment horizontal="center" vertical="center"/>
    </xf>
    <xf numFmtId="176" fontId="1" fillId="11" borderId="105" xfId="0" applyNumberFormat="1" applyFont="1" applyFill="1" applyBorder="1" applyAlignment="1">
      <alignment horizontal="center" vertical="center"/>
    </xf>
    <xf numFmtId="176" fontId="3" fillId="17" borderId="23" xfId="0" applyNumberFormat="1" applyFont="1" applyFill="1" applyBorder="1" applyAlignment="1">
      <alignment horizontal="center" vertical="center"/>
    </xf>
    <xf numFmtId="0" fontId="1" fillId="3" borderId="167" xfId="0" applyFont="1" applyFill="1" applyBorder="1" applyAlignment="1">
      <alignment horizontal="center" vertical="center"/>
    </xf>
    <xf numFmtId="0" fontId="3" fillId="2" borderId="87" xfId="0" quotePrefix="1" applyFont="1" applyFill="1" applyBorder="1" applyAlignment="1">
      <alignment horizontal="center" vertical="center"/>
    </xf>
    <xf numFmtId="0" fontId="1" fillId="2" borderId="87" xfId="0" quotePrefix="1" applyFont="1" applyFill="1" applyBorder="1" applyAlignment="1">
      <alignment horizontal="center" vertical="center"/>
    </xf>
    <xf numFmtId="176" fontId="1" fillId="17" borderId="168" xfId="0" applyNumberFormat="1" applyFont="1" applyFill="1" applyBorder="1" applyAlignment="1">
      <alignment horizontal="center" vertical="center"/>
    </xf>
    <xf numFmtId="176" fontId="1" fillId="3" borderId="168" xfId="0" applyNumberFormat="1" applyFont="1" applyFill="1" applyBorder="1" applyAlignment="1">
      <alignment horizontal="center" vertical="center"/>
    </xf>
    <xf numFmtId="0" fontId="6" fillId="11" borderId="169" xfId="0" applyFont="1" applyFill="1" applyBorder="1" applyAlignment="1">
      <alignment horizontal="center" vertical="center"/>
    </xf>
    <xf numFmtId="20" fontId="1" fillId="12" borderId="92" xfId="0" quotePrefix="1" applyNumberFormat="1" applyFont="1" applyFill="1" applyBorder="1" applyAlignment="1">
      <alignment horizontal="center" vertical="center"/>
    </xf>
    <xf numFmtId="0" fontId="1" fillId="12" borderId="92" xfId="0" quotePrefix="1" applyFont="1" applyFill="1" applyBorder="1" applyAlignment="1">
      <alignment horizontal="center" vertical="center"/>
    </xf>
    <xf numFmtId="176" fontId="1" fillId="12" borderId="93" xfId="0" applyNumberFormat="1" applyFont="1" applyFill="1" applyBorder="1" applyAlignment="1">
      <alignment horizontal="center" vertical="center"/>
    </xf>
    <xf numFmtId="176" fontId="1" fillId="12" borderId="94" xfId="0" applyNumberFormat="1" applyFont="1" applyFill="1" applyBorder="1" applyAlignment="1">
      <alignment horizontal="center" vertical="center"/>
    </xf>
    <xf numFmtId="176" fontId="1" fillId="16" borderId="170" xfId="0" applyNumberFormat="1" applyFont="1" applyFill="1" applyBorder="1" applyAlignment="1">
      <alignment horizontal="center" vertical="center"/>
    </xf>
    <xf numFmtId="176" fontId="1" fillId="11" borderId="171" xfId="0" applyNumberFormat="1" applyFont="1" applyFill="1" applyBorder="1" applyAlignment="1">
      <alignment horizontal="center" vertical="center"/>
    </xf>
    <xf numFmtId="0" fontId="1" fillId="4" borderId="167" xfId="0" applyFont="1" applyFill="1" applyBorder="1" applyAlignment="1">
      <alignment horizontal="center" vertical="center"/>
    </xf>
    <xf numFmtId="0" fontId="1" fillId="5" borderId="87" xfId="0" quotePrefix="1" applyFont="1" applyFill="1" applyBorder="1" applyAlignment="1">
      <alignment horizontal="center" vertical="center"/>
    </xf>
    <xf numFmtId="176" fontId="1" fillId="5" borderId="88" xfId="0" applyNumberFormat="1" applyFont="1" applyFill="1" applyBorder="1" applyAlignment="1">
      <alignment horizontal="center" vertical="center"/>
    </xf>
    <xf numFmtId="176" fontId="1" fillId="5" borderId="89" xfId="0" applyNumberFormat="1" applyFont="1" applyFill="1" applyBorder="1" applyAlignment="1">
      <alignment horizontal="center" vertical="center"/>
    </xf>
    <xf numFmtId="176" fontId="1" fillId="18" borderId="166" xfId="0" applyNumberFormat="1" applyFont="1" applyFill="1" applyBorder="1" applyAlignment="1">
      <alignment horizontal="center" vertical="center"/>
    </xf>
    <xf numFmtId="176" fontId="1" fillId="11" borderId="104" xfId="0" applyNumberFormat="1" applyFont="1" applyFill="1" applyBorder="1" applyAlignment="1">
      <alignment horizontal="center" vertical="center"/>
    </xf>
    <xf numFmtId="0" fontId="1" fillId="13" borderId="172" xfId="0" applyFont="1" applyFill="1" applyBorder="1" applyAlignment="1">
      <alignment horizontal="center" vertical="center"/>
    </xf>
    <xf numFmtId="0" fontId="1" fillId="10" borderId="173" xfId="0" quotePrefix="1" applyFont="1" applyFill="1" applyBorder="1" applyAlignment="1">
      <alignment horizontal="center" vertical="center"/>
    </xf>
    <xf numFmtId="176" fontId="1" fillId="10" borderId="174" xfId="0" applyNumberFormat="1" applyFont="1" applyFill="1" applyBorder="1" applyAlignment="1">
      <alignment horizontal="center" vertical="center"/>
    </xf>
    <xf numFmtId="176" fontId="1" fillId="10" borderId="175" xfId="0" applyNumberFormat="1" applyFont="1" applyFill="1" applyBorder="1" applyAlignment="1">
      <alignment horizontal="center" vertical="center"/>
    </xf>
    <xf numFmtId="176" fontId="1" fillId="19" borderId="176" xfId="0" applyNumberFormat="1" applyFont="1" applyFill="1" applyBorder="1" applyAlignment="1">
      <alignment horizontal="center" vertical="center"/>
    </xf>
    <xf numFmtId="176" fontId="1" fillId="38" borderId="171" xfId="0" applyNumberFormat="1" applyFont="1" applyFill="1" applyBorder="1" applyAlignment="1">
      <alignment horizontal="center" vertical="center"/>
    </xf>
    <xf numFmtId="0" fontId="1" fillId="13" borderId="177" xfId="0" applyFont="1" applyFill="1" applyBorder="1" applyAlignment="1">
      <alignment horizontal="center" vertical="center"/>
    </xf>
    <xf numFmtId="0" fontId="1" fillId="10" borderId="87" xfId="0" quotePrefix="1" applyFont="1" applyFill="1" applyBorder="1" applyAlignment="1">
      <alignment horizontal="center" vertical="center"/>
    </xf>
    <xf numFmtId="176" fontId="1" fillId="10" borderId="88" xfId="0" applyNumberFormat="1" applyFont="1" applyFill="1" applyBorder="1" applyAlignment="1">
      <alignment horizontal="center" vertical="center"/>
    </xf>
    <xf numFmtId="176" fontId="1" fillId="10" borderId="89" xfId="0" applyNumberFormat="1" applyFont="1" applyFill="1" applyBorder="1" applyAlignment="1">
      <alignment horizontal="center" vertical="center"/>
    </xf>
    <xf numFmtId="176" fontId="3" fillId="19" borderId="166" xfId="0" applyNumberFormat="1" applyFont="1" applyFill="1" applyBorder="1" applyAlignment="1">
      <alignment horizontal="center" vertical="center"/>
    </xf>
    <xf numFmtId="176" fontId="1" fillId="38" borderId="104" xfId="0" applyNumberFormat="1" applyFont="1" applyFill="1" applyBorder="1" applyAlignment="1">
      <alignment horizontal="center" vertical="center"/>
    </xf>
    <xf numFmtId="176" fontId="6" fillId="10" borderId="9" xfId="0" applyNumberFormat="1" applyFont="1" applyFill="1" applyBorder="1" applyAlignment="1">
      <alignment horizontal="center" vertical="center"/>
    </xf>
    <xf numFmtId="0" fontId="1" fillId="41" borderId="180" xfId="0" applyFont="1" applyFill="1" applyBorder="1" applyAlignment="1">
      <alignment horizontal="center" vertical="center"/>
    </xf>
    <xf numFmtId="176" fontId="1" fillId="41" borderId="181" xfId="0" applyNumberFormat="1" applyFont="1" applyFill="1" applyBorder="1" applyAlignment="1">
      <alignment horizontal="center" vertical="center"/>
    </xf>
    <xf numFmtId="0" fontId="1" fillId="45" borderId="29" xfId="0" applyFont="1" applyFill="1" applyBorder="1" applyAlignment="1">
      <alignment horizontal="center" vertical="center"/>
    </xf>
    <xf numFmtId="0" fontId="1" fillId="45" borderId="48" xfId="0" applyFont="1" applyFill="1" applyBorder="1" applyAlignment="1">
      <alignment horizontal="center" vertical="center"/>
    </xf>
    <xf numFmtId="176" fontId="1" fillId="37" borderId="59" xfId="0" applyNumberFormat="1" applyFont="1" applyFill="1" applyBorder="1" applyAlignment="1">
      <alignment horizontal="center" vertical="center"/>
    </xf>
    <xf numFmtId="176" fontId="1" fillId="37" borderId="23" xfId="0" applyNumberFormat="1" applyFont="1" applyFill="1" applyBorder="1" applyAlignment="1">
      <alignment horizontal="center" vertical="center"/>
    </xf>
    <xf numFmtId="0" fontId="1" fillId="46" borderId="48" xfId="0" applyFont="1" applyFill="1" applyBorder="1" applyAlignment="1">
      <alignment horizontal="center" vertical="center"/>
    </xf>
    <xf numFmtId="176" fontId="1" fillId="32" borderId="23" xfId="0" applyNumberFormat="1" applyFont="1" applyFill="1" applyBorder="1" applyAlignment="1">
      <alignment horizontal="center" vertical="center"/>
    </xf>
    <xf numFmtId="0" fontId="1" fillId="47" borderId="48" xfId="0" applyFont="1" applyFill="1" applyBorder="1" applyAlignment="1">
      <alignment horizontal="center" vertical="center"/>
    </xf>
    <xf numFmtId="176" fontId="1" fillId="31" borderId="23" xfId="0" applyNumberFormat="1" applyFont="1" applyFill="1" applyBorder="1" applyAlignment="1">
      <alignment horizontal="center" vertical="center"/>
    </xf>
    <xf numFmtId="0" fontId="1" fillId="48" borderId="178" xfId="0" applyFont="1" applyFill="1" applyBorder="1" applyAlignment="1">
      <alignment horizontal="center" vertical="center"/>
    </xf>
    <xf numFmtId="176" fontId="1" fillId="28" borderId="179" xfId="0" applyNumberFormat="1" applyFont="1" applyFill="1" applyBorder="1" applyAlignment="1">
      <alignment horizontal="center" vertical="center"/>
    </xf>
    <xf numFmtId="176" fontId="1" fillId="45" borderId="59" xfId="0" applyNumberFormat="1" applyFont="1" applyFill="1" applyBorder="1" applyAlignment="1">
      <alignment horizontal="center" vertical="center"/>
    </xf>
    <xf numFmtId="176" fontId="1" fillId="45" borderId="23" xfId="0" applyNumberFormat="1" applyFont="1" applyFill="1" applyBorder="1" applyAlignment="1">
      <alignment horizontal="center" vertical="center"/>
    </xf>
    <xf numFmtId="176" fontId="1" fillId="46" borderId="23" xfId="0" applyNumberFormat="1" applyFont="1" applyFill="1" applyBorder="1" applyAlignment="1">
      <alignment horizontal="center" vertical="center"/>
    </xf>
    <xf numFmtId="176" fontId="1" fillId="47" borderId="23" xfId="0" applyNumberFormat="1" applyFont="1" applyFill="1" applyBorder="1" applyAlignment="1">
      <alignment horizontal="center" vertical="center"/>
    </xf>
    <xf numFmtId="176" fontId="1" fillId="48" borderId="23" xfId="0" applyNumberFormat="1" applyFont="1" applyFill="1" applyBorder="1" applyAlignment="1">
      <alignment horizontal="center" vertical="center"/>
    </xf>
    <xf numFmtId="176" fontId="1" fillId="37" borderId="184" xfId="0" applyNumberFormat="1" applyFont="1" applyFill="1" applyBorder="1" applyAlignment="1">
      <alignment horizontal="center" vertical="center"/>
    </xf>
    <xf numFmtId="176" fontId="1" fillId="37" borderId="185" xfId="0" applyNumberFormat="1" applyFont="1" applyFill="1" applyBorder="1" applyAlignment="1">
      <alignment horizontal="center" vertical="center"/>
    </xf>
    <xf numFmtId="176" fontId="1" fillId="32" borderId="185" xfId="0" applyNumberFormat="1" applyFont="1" applyFill="1" applyBorder="1" applyAlignment="1">
      <alignment horizontal="center" vertical="center"/>
    </xf>
    <xf numFmtId="176" fontId="1" fillId="31" borderId="185" xfId="0" applyNumberFormat="1" applyFont="1" applyFill="1" applyBorder="1" applyAlignment="1">
      <alignment horizontal="center" vertical="center"/>
    </xf>
    <xf numFmtId="176" fontId="1" fillId="28" borderId="186" xfId="0" applyNumberFormat="1" applyFont="1" applyFill="1" applyBorder="1" applyAlignment="1">
      <alignment horizontal="center" vertical="center"/>
    </xf>
    <xf numFmtId="176" fontId="1" fillId="28" borderId="183" xfId="0" applyNumberFormat="1" applyFont="1" applyFill="1" applyBorder="1" applyAlignment="1">
      <alignment horizontal="center" vertical="center"/>
    </xf>
    <xf numFmtId="176" fontId="1" fillId="37" borderId="82" xfId="0" applyNumberFormat="1" applyFont="1" applyFill="1" applyBorder="1" applyAlignment="1">
      <alignment horizontal="center" vertical="center"/>
    </xf>
    <xf numFmtId="176" fontId="1" fillId="31" borderId="85" xfId="0" applyNumberFormat="1" applyFont="1" applyFill="1" applyBorder="1" applyAlignment="1">
      <alignment horizontal="center" vertical="center"/>
    </xf>
    <xf numFmtId="176" fontId="1" fillId="28" borderId="90" xfId="0" applyNumberFormat="1" applyFont="1" applyFill="1" applyBorder="1" applyAlignment="1">
      <alignment horizontal="center" vertical="center"/>
    </xf>
    <xf numFmtId="176" fontId="1" fillId="28" borderId="76" xfId="0" applyNumberFormat="1" applyFont="1" applyFill="1" applyBorder="1" applyAlignment="1">
      <alignment horizontal="center" vertical="center"/>
    </xf>
    <xf numFmtId="176" fontId="1" fillId="37" borderId="109" xfId="0" applyNumberFormat="1" applyFont="1" applyFill="1" applyBorder="1" applyAlignment="1">
      <alignment horizontal="center" vertical="center"/>
    </xf>
    <xf numFmtId="176" fontId="1" fillId="32" borderId="114" xfId="0" applyNumberFormat="1" applyFont="1" applyFill="1" applyBorder="1" applyAlignment="1">
      <alignment horizontal="center" vertical="center"/>
    </xf>
    <xf numFmtId="176" fontId="1" fillId="31" borderId="114" xfId="0" applyNumberFormat="1" applyFont="1" applyFill="1" applyBorder="1" applyAlignment="1">
      <alignment horizontal="center" vertical="center"/>
    </xf>
    <xf numFmtId="176" fontId="1" fillId="28" borderId="111" xfId="0" applyNumberFormat="1" applyFont="1" applyFill="1" applyBorder="1" applyAlignment="1">
      <alignment horizontal="center" vertical="center"/>
    </xf>
    <xf numFmtId="176" fontId="1" fillId="28" borderId="0" xfId="0" applyNumberFormat="1" applyFont="1" applyFill="1" applyAlignment="1">
      <alignment horizontal="center" vertical="center"/>
    </xf>
    <xf numFmtId="176" fontId="1" fillId="37" borderId="190" xfId="0" applyNumberFormat="1" applyFont="1" applyFill="1" applyBorder="1" applyAlignment="1">
      <alignment horizontal="center" vertical="center"/>
    </xf>
    <xf numFmtId="176" fontId="1" fillId="37" borderId="191" xfId="0" applyNumberFormat="1" applyFont="1" applyFill="1" applyBorder="1" applyAlignment="1">
      <alignment horizontal="center" vertical="center"/>
    </xf>
    <xf numFmtId="176" fontId="1" fillId="32" borderId="191" xfId="0" applyNumberFormat="1" applyFont="1" applyFill="1" applyBorder="1" applyAlignment="1">
      <alignment horizontal="center" vertical="center"/>
    </xf>
    <xf numFmtId="176" fontId="1" fillId="31" borderId="191" xfId="0" applyNumberFormat="1" applyFont="1" applyFill="1" applyBorder="1" applyAlignment="1">
      <alignment horizontal="center" vertical="center"/>
    </xf>
    <xf numFmtId="176" fontId="1" fillId="28" borderId="192" xfId="0" applyNumberFormat="1" applyFont="1" applyFill="1" applyBorder="1" applyAlignment="1">
      <alignment horizontal="center" vertical="center"/>
    </xf>
    <xf numFmtId="176" fontId="1" fillId="28" borderId="189" xfId="0" applyNumberFormat="1" applyFont="1" applyFill="1" applyBorder="1" applyAlignment="1">
      <alignment horizontal="center" vertical="center"/>
    </xf>
    <xf numFmtId="0" fontId="1" fillId="41" borderId="76" xfId="0" applyFont="1" applyFill="1" applyBorder="1" applyAlignment="1">
      <alignment horizontal="center" vertical="center"/>
    </xf>
    <xf numFmtId="0" fontId="1" fillId="41" borderId="0" xfId="0" applyFont="1" applyFill="1" applyAlignment="1">
      <alignment horizontal="center" vertical="center"/>
    </xf>
    <xf numFmtId="0" fontId="1" fillId="41" borderId="193" xfId="0" applyFont="1" applyFill="1" applyBorder="1" applyAlignment="1">
      <alignment horizontal="center" vertical="center"/>
    </xf>
    <xf numFmtId="176" fontId="1" fillId="37" borderId="194" xfId="0" applyNumberFormat="1" applyFont="1" applyFill="1" applyBorder="1" applyAlignment="1">
      <alignment horizontal="center" vertical="center"/>
    </xf>
    <xf numFmtId="176" fontId="1" fillId="37" borderId="195" xfId="0" applyNumberFormat="1" applyFont="1" applyFill="1" applyBorder="1" applyAlignment="1">
      <alignment horizontal="center" vertical="center"/>
    </xf>
    <xf numFmtId="176" fontId="1" fillId="32" borderId="195" xfId="0" applyNumberFormat="1" applyFont="1" applyFill="1" applyBorder="1" applyAlignment="1">
      <alignment horizontal="center" vertical="center"/>
    </xf>
    <xf numFmtId="176" fontId="1" fillId="31" borderId="195" xfId="0" applyNumberFormat="1" applyFont="1" applyFill="1" applyBorder="1" applyAlignment="1">
      <alignment horizontal="center" vertical="center"/>
    </xf>
    <xf numFmtId="176" fontId="1" fillId="28" borderId="196" xfId="0" applyNumberFormat="1" applyFont="1" applyFill="1" applyBorder="1" applyAlignment="1">
      <alignment horizontal="center" vertical="center"/>
    </xf>
    <xf numFmtId="176" fontId="1" fillId="28" borderId="193" xfId="0" applyNumberFormat="1" applyFont="1" applyFill="1" applyBorder="1" applyAlignment="1">
      <alignment horizontal="center" vertical="center"/>
    </xf>
    <xf numFmtId="176" fontId="1" fillId="41" borderId="84" xfId="0" applyNumberFormat="1" applyFont="1" applyFill="1" applyBorder="1" applyAlignment="1">
      <alignment horizontal="center" vertical="center"/>
    </xf>
    <xf numFmtId="176" fontId="1" fillId="41" borderId="108" xfId="0" applyNumberFormat="1" applyFont="1" applyFill="1" applyBorder="1" applyAlignment="1">
      <alignment horizontal="center" vertical="center"/>
    </xf>
    <xf numFmtId="176" fontId="1" fillId="41" borderId="46" xfId="0" applyNumberFormat="1" applyFont="1" applyFill="1" applyBorder="1" applyAlignment="1">
      <alignment horizontal="center" vertical="center"/>
    </xf>
    <xf numFmtId="0" fontId="2" fillId="41" borderId="37" xfId="0" applyFont="1" applyFill="1" applyBorder="1" applyAlignment="1">
      <alignment horizontal="center" vertical="center"/>
    </xf>
    <xf numFmtId="0" fontId="16" fillId="41" borderId="188" xfId="0" applyFont="1" applyFill="1" applyBorder="1" applyAlignment="1">
      <alignment horizontal="center" vertical="center"/>
    </xf>
    <xf numFmtId="0" fontId="1" fillId="41" borderId="209" xfId="0" applyFont="1" applyFill="1" applyBorder="1" applyAlignment="1">
      <alignment horizontal="center" vertical="center"/>
    </xf>
    <xf numFmtId="176" fontId="1" fillId="41" borderId="210" xfId="0" applyNumberFormat="1" applyFont="1" applyFill="1" applyBorder="1" applyAlignment="1">
      <alignment horizontal="center" vertical="center"/>
    </xf>
    <xf numFmtId="176" fontId="1" fillId="41" borderId="211" xfId="0" applyNumberFormat="1" applyFont="1" applyFill="1" applyBorder="1" applyAlignment="1">
      <alignment horizontal="center" vertical="center"/>
    </xf>
    <xf numFmtId="176" fontId="1" fillId="41" borderId="212" xfId="0" applyNumberFormat="1" applyFont="1" applyFill="1" applyBorder="1" applyAlignment="1">
      <alignment horizontal="center" vertical="center"/>
    </xf>
    <xf numFmtId="176" fontId="1" fillId="41" borderId="201" xfId="0" applyNumberFormat="1" applyFont="1" applyFill="1" applyBorder="1" applyAlignment="1">
      <alignment horizontal="center" vertical="center"/>
    </xf>
    <xf numFmtId="0" fontId="2" fillId="41" borderId="213" xfId="0" applyFont="1" applyFill="1" applyBorder="1" applyAlignment="1">
      <alignment horizontal="center" vertical="center"/>
    </xf>
    <xf numFmtId="0" fontId="16" fillId="41" borderId="214" xfId="0" applyFont="1" applyFill="1" applyBorder="1" applyAlignment="1">
      <alignment horizontal="center" vertical="center"/>
    </xf>
    <xf numFmtId="176" fontId="1" fillId="37" borderId="215" xfId="0" applyNumberFormat="1" applyFont="1" applyFill="1" applyBorder="1" applyAlignment="1">
      <alignment horizontal="center" vertical="center"/>
    </xf>
    <xf numFmtId="176" fontId="1" fillId="32" borderId="215" xfId="0" applyNumberFormat="1" applyFont="1" applyFill="1" applyBorder="1" applyAlignment="1">
      <alignment horizontal="center" vertical="center"/>
    </xf>
    <xf numFmtId="176" fontId="1" fillId="31" borderId="215" xfId="0" applyNumberFormat="1" applyFont="1" applyFill="1" applyBorder="1" applyAlignment="1">
      <alignment horizontal="center" vertical="center"/>
    </xf>
    <xf numFmtId="176" fontId="1" fillId="41" borderId="216" xfId="0" applyNumberFormat="1" applyFont="1" applyFill="1" applyBorder="1" applyAlignment="1">
      <alignment horizontal="center" vertical="center"/>
    </xf>
    <xf numFmtId="0" fontId="16" fillId="41" borderId="217" xfId="0" applyFont="1" applyFill="1" applyBorder="1" applyAlignment="1">
      <alignment horizontal="center" vertical="center"/>
    </xf>
    <xf numFmtId="176" fontId="1" fillId="41" borderId="220" xfId="0" applyNumberFormat="1" applyFont="1" applyFill="1" applyBorder="1" applyAlignment="1">
      <alignment horizontal="center" vertical="center"/>
    </xf>
    <xf numFmtId="176" fontId="1" fillId="37" borderId="221" xfId="0" applyNumberFormat="1" applyFont="1" applyFill="1" applyBorder="1" applyAlignment="1">
      <alignment horizontal="center" vertical="center"/>
    </xf>
    <xf numFmtId="0" fontId="1" fillId="48" borderId="48" xfId="0" applyFont="1" applyFill="1" applyBorder="1" applyAlignment="1">
      <alignment horizontal="center" vertical="center"/>
    </xf>
    <xf numFmtId="176" fontId="1" fillId="28" borderId="85" xfId="0" applyNumberFormat="1" applyFont="1" applyFill="1" applyBorder="1" applyAlignment="1">
      <alignment horizontal="center" vertical="center"/>
    </xf>
    <xf numFmtId="176" fontId="1" fillId="28" borderId="114" xfId="0" applyNumberFormat="1" applyFont="1" applyFill="1" applyBorder="1" applyAlignment="1">
      <alignment horizontal="center" vertical="center"/>
    </xf>
    <xf numFmtId="176" fontId="1" fillId="28" borderId="215" xfId="0" applyNumberFormat="1" applyFont="1" applyFill="1" applyBorder="1" applyAlignment="1">
      <alignment horizontal="center" vertical="center"/>
    </xf>
    <xf numFmtId="176" fontId="1" fillId="28" borderId="185" xfId="0" applyNumberFormat="1" applyFont="1" applyFill="1" applyBorder="1" applyAlignment="1">
      <alignment horizontal="center" vertical="center"/>
    </xf>
    <xf numFmtId="176" fontId="17" fillId="37" borderId="222" xfId="0" applyNumberFormat="1" applyFont="1" applyFill="1" applyBorder="1" applyAlignment="1">
      <alignment horizontal="center" vertical="center"/>
    </xf>
    <xf numFmtId="176" fontId="17" fillId="37" borderId="185" xfId="0" applyNumberFormat="1" applyFont="1" applyFill="1" applyBorder="1" applyAlignment="1">
      <alignment horizontal="center" vertical="center"/>
    </xf>
    <xf numFmtId="176" fontId="1" fillId="42" borderId="143" xfId="0" applyNumberFormat="1" applyFont="1" applyFill="1" applyBorder="1" applyAlignment="1">
      <alignment horizontal="center" vertical="center"/>
    </xf>
    <xf numFmtId="176" fontId="1" fillId="42" borderId="148" xfId="0" applyNumberFormat="1" applyFont="1" applyFill="1" applyBorder="1" applyAlignment="1">
      <alignment horizontal="center" vertical="center"/>
    </xf>
    <xf numFmtId="176" fontId="1" fillId="42" borderId="68" xfId="0" applyNumberFormat="1" applyFont="1" applyFill="1" applyBorder="1" applyAlignment="1">
      <alignment horizontal="center" vertical="center"/>
    </xf>
    <xf numFmtId="176" fontId="1" fillId="41" borderId="68" xfId="0" applyNumberFormat="1" applyFont="1" applyFill="1" applyBorder="1" applyAlignment="1">
      <alignment horizontal="center" vertical="center"/>
    </xf>
    <xf numFmtId="176" fontId="1" fillId="42" borderId="184" xfId="0" applyNumberFormat="1" applyFont="1" applyFill="1" applyBorder="1" applyAlignment="1">
      <alignment horizontal="center" vertical="center"/>
    </xf>
    <xf numFmtId="176" fontId="1" fillId="42" borderId="185" xfId="0" applyNumberFormat="1" applyFont="1" applyFill="1" applyBorder="1" applyAlignment="1">
      <alignment horizontal="center" vertical="center"/>
    </xf>
    <xf numFmtId="176" fontId="1" fillId="42" borderId="201" xfId="0" applyNumberFormat="1" applyFont="1" applyFill="1" applyBorder="1" applyAlignment="1">
      <alignment horizontal="center" vertical="center"/>
    </xf>
    <xf numFmtId="176" fontId="1" fillId="42" borderId="82" xfId="0" applyNumberFormat="1" applyFont="1" applyFill="1" applyBorder="1" applyAlignment="1">
      <alignment horizontal="center" vertical="center"/>
    </xf>
    <xf numFmtId="176" fontId="1" fillId="42" borderId="85" xfId="0" applyNumberFormat="1" applyFont="1" applyFill="1" applyBorder="1" applyAlignment="1">
      <alignment horizontal="center" vertical="center"/>
    </xf>
    <xf numFmtId="176" fontId="1" fillId="42" borderId="41" xfId="0" applyNumberFormat="1" applyFont="1" applyFill="1" applyBorder="1" applyAlignment="1">
      <alignment horizontal="center" vertical="center"/>
    </xf>
    <xf numFmtId="176" fontId="1" fillId="41" borderId="41" xfId="0" applyNumberFormat="1" applyFont="1" applyFill="1" applyBorder="1" applyAlignment="1">
      <alignment horizontal="center" vertical="center"/>
    </xf>
    <xf numFmtId="176" fontId="1" fillId="42" borderId="101" xfId="0" applyNumberFormat="1" applyFont="1" applyFill="1" applyBorder="1" applyAlignment="1">
      <alignment horizontal="center" vertical="center"/>
    </xf>
    <xf numFmtId="176" fontId="1" fillId="42" borderId="105" xfId="0" applyNumberFormat="1" applyFont="1" applyFill="1" applyBorder="1" applyAlignment="1">
      <alignment horizontal="center" vertical="center"/>
    </xf>
    <xf numFmtId="176" fontId="1" fillId="42" borderId="24" xfId="0" applyNumberFormat="1" applyFont="1" applyFill="1" applyBorder="1" applyAlignment="1">
      <alignment horizontal="center" vertical="center"/>
    </xf>
    <xf numFmtId="176" fontId="1" fillId="41" borderId="230" xfId="0" applyNumberFormat="1" applyFont="1" applyFill="1" applyBorder="1" applyAlignment="1">
      <alignment horizontal="center" vertical="center"/>
    </xf>
    <xf numFmtId="176" fontId="1" fillId="41" borderId="140" xfId="0" applyNumberFormat="1" applyFont="1" applyFill="1" applyBorder="1" applyAlignment="1">
      <alignment horizontal="center" vertical="center"/>
    </xf>
    <xf numFmtId="0" fontId="1" fillId="45" borderId="224" xfId="0" applyFont="1" applyFill="1" applyBorder="1" applyAlignment="1">
      <alignment horizontal="center" vertical="center"/>
    </xf>
    <xf numFmtId="0" fontId="1" fillId="45" borderId="225" xfId="0" applyFont="1" applyFill="1" applyBorder="1" applyAlignment="1">
      <alignment horizontal="center" vertical="center"/>
    </xf>
    <xf numFmtId="176" fontId="1" fillId="45" borderId="143" xfId="0" applyNumberFormat="1" applyFont="1" applyFill="1" applyBorder="1" applyAlignment="1">
      <alignment horizontal="center" vertical="center"/>
    </xf>
    <xf numFmtId="176" fontId="1" fillId="45" borderId="148" xfId="0" applyNumberFormat="1" applyFont="1" applyFill="1" applyBorder="1" applyAlignment="1">
      <alignment horizontal="center" vertical="center"/>
    </xf>
    <xf numFmtId="176" fontId="1" fillId="37" borderId="228" xfId="0" applyNumberFormat="1" applyFont="1" applyFill="1" applyBorder="1" applyAlignment="1">
      <alignment horizontal="center" vertical="center"/>
    </xf>
    <xf numFmtId="176" fontId="1" fillId="37" borderId="155" xfId="0" applyNumberFormat="1" applyFont="1" applyFill="1" applyBorder="1" applyAlignment="1">
      <alignment horizontal="center" vertical="center"/>
    </xf>
    <xf numFmtId="176" fontId="1" fillId="37" borderId="229" xfId="0" applyNumberFormat="1" applyFont="1" applyFill="1" applyBorder="1" applyAlignment="1">
      <alignment horizontal="center" vertical="center"/>
    </xf>
    <xf numFmtId="0" fontId="1" fillId="46" borderId="225" xfId="0" applyFont="1" applyFill="1" applyBorder="1" applyAlignment="1">
      <alignment horizontal="center" vertical="center"/>
    </xf>
    <xf numFmtId="176" fontId="1" fillId="46" borderId="148" xfId="0" applyNumberFormat="1" applyFont="1" applyFill="1" applyBorder="1" applyAlignment="1">
      <alignment horizontal="center" vertical="center"/>
    </xf>
    <xf numFmtId="176" fontId="1" fillId="32" borderId="155" xfId="0" applyNumberFormat="1" applyFont="1" applyFill="1" applyBorder="1" applyAlignment="1">
      <alignment horizontal="center" vertical="center"/>
    </xf>
    <xf numFmtId="176" fontId="1" fillId="32" borderId="229" xfId="0" applyNumberFormat="1" applyFont="1" applyFill="1" applyBorder="1" applyAlignment="1">
      <alignment horizontal="center" vertical="center"/>
    </xf>
    <xf numFmtId="0" fontId="1" fillId="47" borderId="225" xfId="0" applyFont="1" applyFill="1" applyBorder="1" applyAlignment="1">
      <alignment horizontal="center" vertical="center"/>
    </xf>
    <xf numFmtId="0" fontId="1" fillId="47" borderId="232" xfId="0" applyFont="1" applyFill="1" applyBorder="1" applyAlignment="1">
      <alignment horizontal="center" vertical="center"/>
    </xf>
    <xf numFmtId="176" fontId="1" fillId="47" borderId="148" xfId="0" applyNumberFormat="1" applyFont="1" applyFill="1" applyBorder="1" applyAlignment="1">
      <alignment horizontal="center" vertical="center"/>
    </xf>
    <xf numFmtId="176" fontId="1" fillId="47" borderId="68" xfId="0" applyNumberFormat="1" applyFont="1" applyFill="1" applyBorder="1" applyAlignment="1">
      <alignment horizontal="center" vertical="center"/>
    </xf>
    <xf numFmtId="176" fontId="1" fillId="31" borderId="155" xfId="0" applyNumberFormat="1" applyFont="1" applyFill="1" applyBorder="1" applyAlignment="1">
      <alignment horizontal="center" vertical="center"/>
    </xf>
    <xf numFmtId="176" fontId="1" fillId="31" borderId="229" xfId="0" applyNumberFormat="1" applyFont="1" applyFill="1" applyBorder="1" applyAlignment="1">
      <alignment horizontal="center" vertical="center"/>
    </xf>
    <xf numFmtId="176" fontId="1" fillId="31" borderId="41" xfId="0" applyNumberFormat="1" applyFont="1" applyFill="1" applyBorder="1" applyAlignment="1">
      <alignment horizontal="center" vertical="center"/>
    </xf>
    <xf numFmtId="176" fontId="1" fillId="31" borderId="140" xfId="0" applyNumberFormat="1" applyFont="1" applyFill="1" applyBorder="1" applyAlignment="1">
      <alignment horizontal="center" vertical="center"/>
    </xf>
    <xf numFmtId="0" fontId="1" fillId="41" borderId="41" xfId="0" applyFont="1" applyFill="1" applyBorder="1" applyAlignment="1">
      <alignment horizontal="center" vertical="center"/>
    </xf>
    <xf numFmtId="0" fontId="1" fillId="41" borderId="140" xfId="0" applyFont="1" applyFill="1" applyBorder="1" applyAlignment="1">
      <alignment horizontal="center" vertical="center"/>
    </xf>
    <xf numFmtId="176" fontId="18" fillId="37" borderId="227" xfId="0" applyNumberFormat="1" applyFont="1" applyFill="1" applyBorder="1" applyAlignment="1">
      <alignment horizontal="center" vertical="center"/>
    </xf>
    <xf numFmtId="176" fontId="18" fillId="37" borderId="155" xfId="0" applyNumberFormat="1" applyFont="1" applyFill="1" applyBorder="1" applyAlignment="1">
      <alignment horizontal="center" vertical="center"/>
    </xf>
    <xf numFmtId="176" fontId="18" fillId="31" borderId="230" xfId="0" applyNumberFormat="1" applyFont="1" applyFill="1" applyBorder="1" applyAlignment="1">
      <alignment horizontal="center" vertical="center"/>
    </xf>
    <xf numFmtId="0" fontId="1" fillId="34" borderId="180" xfId="0" applyFont="1" applyFill="1" applyBorder="1" applyAlignment="1">
      <alignment horizontal="center" vertical="center"/>
    </xf>
    <xf numFmtId="176" fontId="1" fillId="37" borderId="237" xfId="0" applyNumberFormat="1" applyFont="1" applyFill="1" applyBorder="1" applyAlignment="1">
      <alignment horizontal="center" vertical="center"/>
    </xf>
    <xf numFmtId="176" fontId="1" fillId="37" borderId="165" xfId="0" applyNumberFormat="1" applyFont="1" applyFill="1" applyBorder="1" applyAlignment="1">
      <alignment horizontal="center" vertical="center"/>
    </xf>
    <xf numFmtId="176" fontId="1" fillId="32" borderId="165" xfId="0" applyNumberFormat="1" applyFont="1" applyFill="1" applyBorder="1" applyAlignment="1">
      <alignment horizontal="center" vertical="center"/>
    </xf>
    <xf numFmtId="176" fontId="1" fillId="31" borderId="165" xfId="0" applyNumberFormat="1" applyFont="1" applyFill="1" applyBorder="1" applyAlignment="1">
      <alignment horizontal="center" vertical="center"/>
    </xf>
    <xf numFmtId="176" fontId="1" fillId="37" borderId="143" xfId="0" applyNumberFormat="1" applyFont="1" applyFill="1" applyBorder="1" applyAlignment="1">
      <alignment horizontal="center" vertical="center"/>
    </xf>
    <xf numFmtId="176" fontId="1" fillId="37" borderId="148" xfId="0" applyNumberFormat="1" applyFont="1" applyFill="1" applyBorder="1" applyAlignment="1">
      <alignment horizontal="center" vertical="center"/>
    </xf>
    <xf numFmtId="176" fontId="1" fillId="41" borderId="234" xfId="0" applyNumberFormat="1" applyFont="1" applyFill="1" applyBorder="1" applyAlignment="1">
      <alignment horizontal="center" vertical="center"/>
    </xf>
    <xf numFmtId="176" fontId="1" fillId="41" borderId="139" xfId="0" applyNumberFormat="1" applyFont="1" applyFill="1" applyBorder="1" applyAlignment="1">
      <alignment vertical="center"/>
    </xf>
    <xf numFmtId="176" fontId="1" fillId="28" borderId="165" xfId="0" applyNumberFormat="1" applyFont="1" applyFill="1" applyBorder="1" applyAlignment="1">
      <alignment horizontal="center" vertical="center"/>
    </xf>
    <xf numFmtId="176" fontId="1" fillId="28" borderId="229" xfId="0" applyNumberFormat="1" applyFont="1" applyFill="1" applyBorder="1" applyAlignment="1">
      <alignment horizontal="center" vertical="center"/>
    </xf>
    <xf numFmtId="176" fontId="1" fillId="41" borderId="236" xfId="0" applyNumberFormat="1" applyFont="1" applyFill="1" applyBorder="1" applyAlignment="1">
      <alignment vertical="center"/>
    </xf>
    <xf numFmtId="176" fontId="1" fillId="41" borderId="235" xfId="0" applyNumberFormat="1" applyFont="1" applyFill="1" applyBorder="1" applyAlignment="1">
      <alignment vertical="center"/>
    </xf>
    <xf numFmtId="176" fontId="1" fillId="41" borderId="95" xfId="0" applyNumberFormat="1" applyFont="1" applyFill="1" applyBorder="1" applyAlignment="1">
      <alignment vertical="center"/>
    </xf>
    <xf numFmtId="176" fontId="1" fillId="41" borderId="42" xfId="0" applyNumberFormat="1" applyFont="1" applyFill="1" applyBorder="1" applyAlignment="1">
      <alignment horizontal="center" vertical="center"/>
    </xf>
    <xf numFmtId="0" fontId="1" fillId="9" borderId="56" xfId="0" applyFont="1" applyFill="1" applyBorder="1" applyAlignment="1">
      <alignment horizontal="center" vertical="center"/>
    </xf>
    <xf numFmtId="0" fontId="1" fillId="9" borderId="57" xfId="0" applyFont="1" applyFill="1" applyBorder="1" applyAlignment="1">
      <alignment horizontal="center" vertical="center"/>
    </xf>
    <xf numFmtId="0" fontId="1" fillId="9" borderId="58" xfId="0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2" fillId="0" borderId="38" xfId="0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2" fillId="0" borderId="39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20" fontId="2" fillId="0" borderId="3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2" fillId="0" borderId="98" xfId="0" applyFont="1" applyBorder="1" applyAlignment="1">
      <alignment horizontal="center" vertical="center"/>
    </xf>
    <xf numFmtId="20" fontId="1" fillId="0" borderId="81" xfId="0" quotePrefix="1" applyNumberFormat="1" applyFont="1" applyBorder="1" applyAlignment="1">
      <alignment horizontal="center" vertical="center"/>
    </xf>
    <xf numFmtId="20" fontId="1" fillId="0" borderId="80" xfId="0" quotePrefix="1" applyNumberFormat="1" applyFont="1" applyBorder="1" applyAlignment="1">
      <alignment horizontal="center" vertical="center"/>
    </xf>
    <xf numFmtId="20" fontId="1" fillId="0" borderId="139" xfId="0" quotePrefix="1" applyNumberFormat="1" applyFont="1" applyBorder="1" applyAlignment="1">
      <alignment horizontal="center" vertical="center"/>
    </xf>
    <xf numFmtId="20" fontId="1" fillId="0" borderId="140" xfId="0" quotePrefix="1" applyNumberFormat="1" applyFont="1" applyBorder="1" applyAlignment="1">
      <alignment horizontal="center" vertical="center"/>
    </xf>
    <xf numFmtId="20" fontId="1" fillId="0" borderId="78" xfId="0" quotePrefix="1" applyNumberFormat="1" applyFont="1" applyBorder="1" applyAlignment="1">
      <alignment horizontal="center" vertical="center"/>
    </xf>
    <xf numFmtId="20" fontId="1" fillId="0" borderId="41" xfId="0" applyNumberFormat="1" applyFont="1" applyBorder="1" applyAlignment="1">
      <alignment horizontal="center" vertical="center"/>
    </xf>
    <xf numFmtId="20" fontId="1" fillId="0" borderId="141" xfId="0" quotePrefix="1" applyNumberFormat="1" applyFont="1" applyBorder="1" applyAlignment="1">
      <alignment horizontal="center" vertical="center"/>
    </xf>
    <xf numFmtId="20" fontId="1" fillId="0" borderId="34" xfId="0" quotePrefix="1" applyNumberFormat="1" applyFont="1" applyBorder="1" applyAlignment="1">
      <alignment horizontal="center" vertical="center"/>
    </xf>
    <xf numFmtId="20" fontId="1" fillId="0" borderId="133" xfId="0" quotePrefix="1" applyNumberFormat="1" applyFont="1" applyBorder="1" applyAlignment="1">
      <alignment horizontal="center" vertical="center"/>
    </xf>
    <xf numFmtId="20" fontId="1" fillId="0" borderId="125" xfId="0" applyNumberFormat="1" applyFont="1" applyBorder="1" applyAlignment="1">
      <alignment horizontal="center" vertical="center"/>
    </xf>
    <xf numFmtId="20" fontId="1" fillId="0" borderId="134" xfId="0" quotePrefix="1" applyNumberFormat="1" applyFont="1" applyBorder="1" applyAlignment="1">
      <alignment horizontal="center" vertical="center"/>
    </xf>
    <xf numFmtId="20" fontId="1" fillId="0" borderId="35" xfId="0" quotePrefix="1" applyNumberFormat="1" applyFont="1" applyBorder="1" applyAlignment="1">
      <alignment horizontal="center" vertical="center"/>
    </xf>
    <xf numFmtId="20" fontId="1" fillId="0" borderId="135" xfId="0" quotePrefix="1" applyNumberFormat="1" applyFont="1" applyBorder="1" applyAlignment="1">
      <alignment horizontal="center" vertical="center"/>
    </xf>
    <xf numFmtId="20" fontId="1" fillId="0" borderId="132" xfId="0" quotePrefix="1" applyNumberFormat="1" applyFont="1" applyBorder="1" applyAlignment="1">
      <alignment horizontal="center" vertical="center"/>
    </xf>
    <xf numFmtId="20" fontId="1" fillId="0" borderId="125" xfId="0" quotePrefix="1" applyNumberFormat="1" applyFont="1" applyBorder="1" applyAlignment="1">
      <alignment horizontal="center" vertical="center"/>
    </xf>
    <xf numFmtId="20" fontId="1" fillId="0" borderId="142" xfId="0" quotePrefix="1" applyNumberFormat="1" applyFont="1" applyBorder="1" applyAlignment="1">
      <alignment horizontal="center" vertical="center"/>
    </xf>
    <xf numFmtId="20" fontId="1" fillId="0" borderId="137" xfId="0" quotePrefix="1" applyNumberFormat="1" applyFont="1" applyBorder="1" applyAlignment="1">
      <alignment horizontal="center" vertical="center"/>
    </xf>
    <xf numFmtId="20" fontId="1" fillId="0" borderId="136" xfId="0" quotePrefix="1" applyNumberFormat="1" applyFont="1" applyBorder="1" applyAlignment="1">
      <alignment horizontal="center" vertical="center"/>
    </xf>
    <xf numFmtId="20" fontId="1" fillId="0" borderId="99" xfId="0" quotePrefix="1" applyNumberFormat="1" applyFont="1" applyBorder="1" applyAlignment="1">
      <alignment horizontal="center" vertical="center"/>
    </xf>
    <xf numFmtId="176" fontId="1" fillId="0" borderId="137" xfId="0" applyNumberFormat="1" applyFont="1" applyBorder="1" applyAlignment="1">
      <alignment horizontal="center" vertical="center"/>
    </xf>
    <xf numFmtId="176" fontId="1" fillId="0" borderId="150" xfId="0" applyNumberFormat="1" applyFont="1" applyBorder="1" applyAlignment="1">
      <alignment horizontal="center" vertical="center"/>
    </xf>
    <xf numFmtId="176" fontId="1" fillId="0" borderId="151" xfId="0" applyNumberFormat="1" applyFont="1" applyBorder="1" applyAlignment="1">
      <alignment horizontal="center" vertical="center"/>
    </xf>
    <xf numFmtId="0" fontId="2" fillId="0" borderId="152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20" fontId="1" fillId="0" borderId="112" xfId="0" quotePrefix="1" applyNumberFormat="1" applyFont="1" applyBorder="1" applyAlignment="1">
      <alignment horizontal="center" vertical="center"/>
    </xf>
    <xf numFmtId="20" fontId="1" fillId="0" borderId="146" xfId="0" quotePrefix="1" applyNumberFormat="1" applyFont="1" applyBorder="1" applyAlignment="1">
      <alignment horizontal="center" vertical="center"/>
    </xf>
    <xf numFmtId="0" fontId="2" fillId="41" borderId="37" xfId="0" applyFont="1" applyFill="1" applyBorder="1" applyAlignment="1">
      <alignment horizontal="center" vertical="center"/>
    </xf>
    <xf numFmtId="0" fontId="1" fillId="41" borderId="26" xfId="0" applyFont="1" applyFill="1" applyBorder="1" applyAlignment="1">
      <alignment vertical="center"/>
    </xf>
    <xf numFmtId="0" fontId="2" fillId="0" borderId="164" xfId="0" applyFont="1" applyBorder="1" applyAlignment="1">
      <alignment horizontal="center" vertical="center"/>
    </xf>
    <xf numFmtId="0" fontId="1" fillId="0" borderId="162" xfId="0" applyFont="1" applyBorder="1" applyAlignment="1">
      <alignment horizontal="center" vertical="center"/>
    </xf>
    <xf numFmtId="0" fontId="1" fillId="0" borderId="150" xfId="0" applyFont="1" applyBorder="1" applyAlignment="1">
      <alignment horizontal="center" vertical="center"/>
    </xf>
    <xf numFmtId="0" fontId="1" fillId="0" borderId="163" xfId="0" applyFont="1" applyBorder="1" applyAlignment="1">
      <alignment horizontal="center" vertical="center"/>
    </xf>
    <xf numFmtId="176" fontId="1" fillId="41" borderId="205" xfId="0" applyNumberFormat="1" applyFont="1" applyFill="1" applyBorder="1" applyAlignment="1">
      <alignment horizontal="center" vertical="center"/>
    </xf>
    <xf numFmtId="176" fontId="1" fillId="41" borderId="55" xfId="0" applyNumberFormat="1" applyFont="1" applyFill="1" applyBorder="1" applyAlignment="1">
      <alignment horizontal="center" vertical="center"/>
    </xf>
    <xf numFmtId="176" fontId="1" fillId="41" borderId="206" xfId="0" applyNumberFormat="1" applyFont="1" applyFill="1" applyBorder="1" applyAlignment="1">
      <alignment horizontal="center" vertical="center"/>
    </xf>
    <xf numFmtId="176" fontId="1" fillId="41" borderId="207" xfId="0" applyNumberFormat="1" applyFont="1" applyFill="1" applyBorder="1" applyAlignment="1">
      <alignment horizontal="center" vertical="center"/>
    </xf>
    <xf numFmtId="176" fontId="1" fillId="41" borderId="208" xfId="0" applyNumberFormat="1" applyFont="1" applyFill="1" applyBorder="1" applyAlignment="1">
      <alignment horizontal="center" vertical="center"/>
    </xf>
    <xf numFmtId="176" fontId="1" fillId="41" borderId="198" xfId="0" applyNumberFormat="1" applyFont="1" applyFill="1" applyBorder="1" applyAlignment="1">
      <alignment horizontal="center" vertical="center"/>
    </xf>
    <xf numFmtId="0" fontId="2" fillId="41" borderId="164" xfId="0" applyFont="1" applyFill="1" applyBorder="1" applyAlignment="1">
      <alignment horizontal="center" vertical="center"/>
    </xf>
    <xf numFmtId="0" fontId="16" fillId="41" borderId="197" xfId="0" applyFont="1" applyFill="1" applyBorder="1" applyAlignment="1">
      <alignment horizontal="center" vertical="center"/>
    </xf>
    <xf numFmtId="0" fontId="16" fillId="41" borderId="198" xfId="0" applyFont="1" applyFill="1" applyBorder="1" applyAlignment="1">
      <alignment horizontal="center" vertical="center"/>
    </xf>
    <xf numFmtId="0" fontId="1" fillId="41" borderId="202" xfId="0" applyFont="1" applyFill="1" applyBorder="1" applyAlignment="1">
      <alignment horizontal="center" vertical="center"/>
    </xf>
    <xf numFmtId="0" fontId="1" fillId="41" borderId="203" xfId="0" applyFont="1" applyFill="1" applyBorder="1" applyAlignment="1">
      <alignment horizontal="center" vertical="center"/>
    </xf>
    <xf numFmtId="176" fontId="1" fillId="41" borderId="200" xfId="0" applyNumberFormat="1" applyFont="1" applyFill="1" applyBorder="1" applyAlignment="1">
      <alignment horizontal="center" vertical="center"/>
    </xf>
    <xf numFmtId="176" fontId="1" fillId="41" borderId="201" xfId="0" applyNumberFormat="1" applyFont="1" applyFill="1" applyBorder="1" applyAlignment="1">
      <alignment horizontal="center" vertical="center"/>
    </xf>
    <xf numFmtId="176" fontId="1" fillId="41" borderId="204" xfId="0" applyNumberFormat="1" applyFont="1" applyFill="1" applyBorder="1" applyAlignment="1">
      <alignment horizontal="center" vertical="center"/>
    </xf>
    <xf numFmtId="176" fontId="1" fillId="41" borderId="164" xfId="0" applyNumberFormat="1" applyFont="1" applyFill="1" applyBorder="1" applyAlignment="1">
      <alignment horizontal="center" vertical="center"/>
    </xf>
    <xf numFmtId="0" fontId="2" fillId="41" borderId="182" xfId="0" applyFont="1" applyFill="1" applyBorder="1" applyAlignment="1">
      <alignment horizontal="center" vertical="center"/>
    </xf>
    <xf numFmtId="0" fontId="1" fillId="41" borderId="183" xfId="0" applyFont="1" applyFill="1" applyBorder="1" applyAlignment="1">
      <alignment vertical="center"/>
    </xf>
    <xf numFmtId="0" fontId="16" fillId="41" borderId="187" xfId="0" applyFont="1" applyFill="1" applyBorder="1" applyAlignment="1">
      <alignment horizontal="center" vertical="center"/>
    </xf>
    <xf numFmtId="0" fontId="16" fillId="41" borderId="188" xfId="0" applyFont="1" applyFill="1" applyBorder="1" applyAlignment="1">
      <alignment horizontal="center" vertical="center"/>
    </xf>
    <xf numFmtId="0" fontId="16" fillId="41" borderId="199" xfId="0" applyFont="1" applyFill="1" applyBorder="1" applyAlignment="1">
      <alignment horizontal="center" vertical="center"/>
    </xf>
    <xf numFmtId="176" fontId="1" fillId="45" borderId="205" xfId="0" applyNumberFormat="1" applyFont="1" applyFill="1" applyBorder="1" applyAlignment="1">
      <alignment horizontal="center" vertical="center"/>
    </xf>
    <xf numFmtId="176" fontId="1" fillId="45" borderId="23" xfId="0" applyNumberFormat="1" applyFont="1" applyFill="1" applyBorder="1" applyAlignment="1">
      <alignment horizontal="center" vertical="center"/>
    </xf>
    <xf numFmtId="0" fontId="16" fillId="41" borderId="218" xfId="0" applyFont="1" applyFill="1" applyBorder="1" applyAlignment="1">
      <alignment horizontal="center" vertical="center"/>
    </xf>
    <xf numFmtId="0" fontId="16" fillId="41" borderId="219" xfId="0" applyFont="1" applyFill="1" applyBorder="1" applyAlignment="1">
      <alignment horizontal="center" vertical="center"/>
    </xf>
    <xf numFmtId="0" fontId="1" fillId="45" borderId="202" xfId="0" applyFont="1" applyFill="1" applyBorder="1" applyAlignment="1">
      <alignment horizontal="center" vertical="center"/>
    </xf>
    <xf numFmtId="0" fontId="1" fillId="45" borderId="30" xfId="0" applyFont="1" applyFill="1" applyBorder="1" applyAlignment="1">
      <alignment horizontal="center" vertical="center"/>
    </xf>
    <xf numFmtId="176" fontId="1" fillId="37" borderId="200" xfId="0" applyNumberFormat="1" applyFont="1" applyFill="1" applyBorder="1" applyAlignment="1">
      <alignment horizontal="center" vertical="center"/>
    </xf>
    <xf numFmtId="176" fontId="1" fillId="37" borderId="185" xfId="0" applyNumberFormat="1" applyFont="1" applyFill="1" applyBorder="1" applyAlignment="1">
      <alignment horizontal="center" vertical="center"/>
    </xf>
    <xf numFmtId="176" fontId="1" fillId="37" borderId="208" xfId="0" applyNumberFormat="1" applyFont="1" applyFill="1" applyBorder="1" applyAlignment="1">
      <alignment horizontal="center" vertical="center"/>
    </xf>
    <xf numFmtId="176" fontId="1" fillId="37" borderId="191" xfId="0" applyNumberFormat="1" applyFont="1" applyFill="1" applyBorder="1" applyAlignment="1">
      <alignment horizontal="center" vertical="center"/>
    </xf>
    <xf numFmtId="176" fontId="1" fillId="37" borderId="78" xfId="0" applyNumberFormat="1" applyFont="1" applyFill="1" applyBorder="1" applyAlignment="1">
      <alignment horizontal="center" vertical="center"/>
    </xf>
    <xf numFmtId="176" fontId="1" fillId="37" borderId="85" xfId="0" applyNumberFormat="1" applyFont="1" applyFill="1" applyBorder="1" applyAlignment="1">
      <alignment horizontal="center" vertical="center"/>
    </xf>
    <xf numFmtId="0" fontId="16" fillId="41" borderId="217" xfId="0" applyFont="1" applyFill="1" applyBorder="1" applyAlignment="1">
      <alignment horizontal="center" vertical="center"/>
    </xf>
    <xf numFmtId="0" fontId="1" fillId="41" borderId="76" xfId="0" applyFont="1" applyFill="1" applyBorder="1" applyAlignment="1">
      <alignment vertical="center"/>
    </xf>
    <xf numFmtId="0" fontId="2" fillId="41" borderId="197" xfId="0" applyFont="1" applyFill="1" applyBorder="1" applyAlignment="1">
      <alignment horizontal="center" vertical="center"/>
    </xf>
    <xf numFmtId="0" fontId="2" fillId="41" borderId="198" xfId="0" applyFont="1" applyFill="1" applyBorder="1" applyAlignment="1">
      <alignment horizontal="center" vertical="center"/>
    </xf>
    <xf numFmtId="0" fontId="2" fillId="41" borderId="45" xfId="0" applyFont="1" applyFill="1" applyBorder="1" applyAlignment="1">
      <alignment horizontal="center" vertical="center"/>
    </xf>
    <xf numFmtId="0" fontId="2" fillId="41" borderId="24" xfId="0" applyFont="1" applyFill="1" applyBorder="1" applyAlignment="1">
      <alignment horizontal="center" vertical="center"/>
    </xf>
    <xf numFmtId="0" fontId="2" fillId="41" borderId="231" xfId="0" applyFont="1" applyFill="1" applyBorder="1" applyAlignment="1">
      <alignment horizontal="center" vertical="center"/>
    </xf>
    <xf numFmtId="0" fontId="2" fillId="41" borderId="203" xfId="0" applyFont="1" applyFill="1" applyBorder="1" applyAlignment="1">
      <alignment horizontal="center" vertical="center"/>
    </xf>
    <xf numFmtId="0" fontId="1" fillId="34" borderId="180" xfId="0" applyFont="1" applyFill="1" applyBorder="1" applyAlignment="1">
      <alignment horizontal="center" vertical="center"/>
    </xf>
    <xf numFmtId="0" fontId="1" fillId="34" borderId="211" xfId="0" applyFont="1" applyFill="1" applyBorder="1" applyAlignment="1">
      <alignment horizontal="center" vertical="center"/>
    </xf>
    <xf numFmtId="0" fontId="1" fillId="34" borderId="234" xfId="0" applyFont="1" applyFill="1" applyBorder="1" applyAlignment="1">
      <alignment horizontal="center" vertical="center"/>
    </xf>
    <xf numFmtId="0" fontId="2" fillId="41" borderId="223" xfId="0" applyFont="1" applyFill="1" applyBorder="1" applyAlignment="1">
      <alignment horizontal="center" vertical="center"/>
    </xf>
    <xf numFmtId="0" fontId="1" fillId="41" borderId="223" xfId="0" applyFont="1" applyFill="1" applyBorder="1" applyAlignment="1">
      <alignment vertical="center"/>
    </xf>
    <xf numFmtId="0" fontId="2" fillId="41" borderId="226" xfId="0" applyFont="1" applyFill="1" applyBorder="1" applyAlignment="1">
      <alignment horizontal="center" vertical="center"/>
    </xf>
    <xf numFmtId="0" fontId="1" fillId="41" borderId="226" xfId="0" applyFont="1" applyFill="1" applyBorder="1" applyAlignment="1">
      <alignment vertical="center"/>
    </xf>
    <xf numFmtId="0" fontId="16" fillId="41" borderId="76" xfId="0" applyFont="1" applyFill="1" applyBorder="1" applyAlignment="1">
      <alignment horizontal="center" vertical="center"/>
    </xf>
    <xf numFmtId="0" fontId="2" fillId="41" borderId="233" xfId="0" applyFont="1" applyFill="1" applyBorder="1" applyAlignment="1">
      <alignment horizontal="center" vertical="center"/>
    </xf>
    <xf numFmtId="0" fontId="2" fillId="41" borderId="113" xfId="0" applyFont="1" applyFill="1" applyBorder="1" applyAlignment="1">
      <alignment horizontal="center" vertical="center"/>
    </xf>
    <xf numFmtId="0" fontId="2" fillId="41" borderId="147" xfId="0" applyFont="1" applyFill="1" applyBorder="1" applyAlignment="1">
      <alignment horizontal="center" vertical="center"/>
    </xf>
    <xf numFmtId="176" fontId="1" fillId="41" borderId="240" xfId="0" applyNumberFormat="1" applyFont="1" applyFill="1" applyBorder="1" applyAlignment="1">
      <alignment horizontal="center" vertical="center"/>
    </xf>
    <xf numFmtId="176" fontId="1" fillId="41" borderId="226" xfId="0" applyNumberFormat="1" applyFont="1" applyFill="1" applyBorder="1" applyAlignment="1">
      <alignment horizontal="center" vertical="center"/>
    </xf>
    <xf numFmtId="176" fontId="1" fillId="41" borderId="230" xfId="0" applyNumberFormat="1" applyFont="1" applyFill="1" applyBorder="1" applyAlignment="1">
      <alignment horizontal="center" vertical="center"/>
    </xf>
    <xf numFmtId="0" fontId="1" fillId="41" borderId="45" xfId="0" applyFont="1" applyFill="1" applyBorder="1" applyAlignment="1">
      <alignment horizontal="center" vertical="center"/>
    </xf>
    <xf numFmtId="0" fontId="1" fillId="41" borderId="25" xfId="0" applyFont="1" applyFill="1" applyBorder="1" applyAlignment="1">
      <alignment horizontal="center" vertical="center"/>
    </xf>
    <xf numFmtId="0" fontId="1" fillId="41" borderId="24" xfId="0" applyFont="1" applyFill="1" applyBorder="1" applyAlignment="1">
      <alignment horizontal="center" vertical="center"/>
    </xf>
    <xf numFmtId="176" fontId="1" fillId="41" borderId="45" xfId="0" applyNumberFormat="1" applyFont="1" applyFill="1" applyBorder="1" applyAlignment="1">
      <alignment horizontal="center" vertical="center"/>
    </xf>
    <xf numFmtId="176" fontId="1" fillId="41" borderId="25" xfId="0" applyNumberFormat="1" applyFont="1" applyFill="1" applyBorder="1" applyAlignment="1">
      <alignment horizontal="center" vertical="center"/>
    </xf>
    <xf numFmtId="176" fontId="1" fillId="41" borderId="24" xfId="0" applyNumberFormat="1" applyFont="1" applyFill="1" applyBorder="1" applyAlignment="1">
      <alignment horizontal="center" vertical="center"/>
    </xf>
    <xf numFmtId="176" fontId="1" fillId="41" borderId="78" xfId="0" applyNumberFormat="1" applyFont="1" applyFill="1" applyBorder="1" applyAlignment="1">
      <alignment horizontal="center" vertical="center"/>
    </xf>
    <xf numFmtId="176" fontId="1" fillId="41" borderId="76" xfId="0" applyNumberFormat="1" applyFont="1" applyFill="1" applyBorder="1" applyAlignment="1">
      <alignment horizontal="center" vertical="center"/>
    </xf>
    <xf numFmtId="176" fontId="1" fillId="41" borderId="41" xfId="0" applyNumberFormat="1" applyFont="1" applyFill="1" applyBorder="1" applyAlignment="1">
      <alignment horizontal="center" vertical="center"/>
    </xf>
    <xf numFmtId="0" fontId="2" fillId="41" borderId="97" xfId="0" applyFont="1" applyFill="1" applyBorder="1" applyAlignment="1">
      <alignment horizontal="center" vertical="center"/>
    </xf>
    <xf numFmtId="0" fontId="1" fillId="41" borderId="41" xfId="0" applyFont="1" applyFill="1" applyBorder="1" applyAlignment="1">
      <alignment vertical="center"/>
    </xf>
    <xf numFmtId="0" fontId="16" fillId="41" borderId="239" xfId="0" applyFont="1" applyFill="1" applyBorder="1" applyAlignment="1">
      <alignment horizontal="center" vertical="center"/>
    </xf>
    <xf numFmtId="0" fontId="16" fillId="41" borderId="44" xfId="0" applyFont="1" applyFill="1" applyBorder="1" applyAlignment="1">
      <alignment horizontal="center" vertical="center"/>
    </xf>
    <xf numFmtId="0" fontId="2" fillId="41" borderId="214" xfId="0" applyFont="1" applyFill="1" applyBorder="1" applyAlignment="1">
      <alignment horizontal="center" vertical="center"/>
    </xf>
    <xf numFmtId="0" fontId="1" fillId="41" borderId="238" xfId="0" applyFont="1" applyFill="1" applyBorder="1" applyAlignment="1">
      <alignment vertical="center"/>
    </xf>
    <xf numFmtId="0" fontId="1" fillId="41" borderId="0" xfId="0" applyFont="1" applyFill="1" applyBorder="1" applyAlignment="1">
      <alignment vertical="center"/>
    </xf>
    <xf numFmtId="176" fontId="1" fillId="28" borderId="191" xfId="0" applyNumberFormat="1" applyFont="1" applyFill="1" applyBorder="1" applyAlignment="1">
      <alignment horizontal="center" vertical="center"/>
    </xf>
    <xf numFmtId="0" fontId="2" fillId="41" borderId="241" xfId="0" applyFont="1" applyFill="1" applyBorder="1" applyAlignment="1">
      <alignment horizontal="center" vertical="center"/>
    </xf>
    <xf numFmtId="0" fontId="1" fillId="41" borderId="193" xfId="0" applyFont="1" applyFill="1" applyBorder="1" applyAlignment="1">
      <alignment vertical="center"/>
    </xf>
    <xf numFmtId="176" fontId="1" fillId="28" borderId="195" xfId="0" applyNumberFormat="1" applyFont="1" applyFill="1" applyBorder="1" applyAlignment="1">
      <alignment horizontal="center" vertical="center"/>
    </xf>
    <xf numFmtId="176" fontId="1" fillId="41" borderId="242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left/>
        <right/>
        <top style="medium">
          <color rgb="FF315F97"/>
        </top>
        <bottom style="medium">
          <color rgb="FF315F97"/>
        </bottom>
        <vertical/>
        <horizontal/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9FBA7"/>
      <color rgb="FFFFCC99"/>
      <color rgb="FFE4E4E4"/>
      <color rgb="FFFCFBD5"/>
      <color rgb="FFF9DBA5"/>
      <color rgb="FFF7C5B7"/>
      <color rgb="FFFCECD0"/>
      <color rgb="FFEABCDC"/>
      <color rgb="FFF4D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0000FF"/>
      </a:folHlink>
    </a:clrScheme>
    <a:fontScheme name="Sheets">
      <a:majorFont>
        <a:latin typeface="hnc_go_b_hint_gs"/>
        <a:ea typeface="hnc_go_b_hint_gs"/>
        <a:cs typeface="hnc_go_b_hint_gs"/>
      </a:majorFont>
      <a:minorFont>
        <a:latin typeface="hnc_go_b_hint_gs"/>
        <a:ea typeface="hnc_go_b_hint_gs"/>
        <a:cs typeface="hnc_go_b_hint_g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8CE3-9E25-4557-AF0A-E69D9ED96F7D}">
  <dimension ref="D4:N34"/>
  <sheetViews>
    <sheetView topLeftCell="A2" workbookViewId="0">
      <selection activeCell="D5" sqref="D5:N30"/>
    </sheetView>
  </sheetViews>
  <sheetFormatPr defaultRowHeight="13.5"/>
  <cols>
    <col min="7" max="7" width="9.5" bestFit="1" customWidth="1"/>
  </cols>
  <sheetData>
    <row r="4" spans="4:14" ht="14.25" thickBot="1"/>
    <row r="5" spans="4:14" ht="16.5">
      <c r="D5" s="564" t="s">
        <v>0</v>
      </c>
      <c r="E5" s="566" t="s">
        <v>45</v>
      </c>
      <c r="F5" s="566" t="s">
        <v>6</v>
      </c>
      <c r="G5" s="568" t="s">
        <v>1</v>
      </c>
      <c r="H5" s="570" t="s">
        <v>5</v>
      </c>
      <c r="I5" s="571" t="s">
        <v>2</v>
      </c>
      <c r="J5" s="572"/>
      <c r="K5" s="572"/>
      <c r="L5" s="573"/>
      <c r="M5" s="564" t="s">
        <v>16</v>
      </c>
      <c r="N5" s="564" t="s">
        <v>3</v>
      </c>
    </row>
    <row r="6" spans="4:14" ht="17.25" thickBot="1">
      <c r="D6" s="565"/>
      <c r="E6" s="567"/>
      <c r="F6" s="567"/>
      <c r="G6" s="569"/>
      <c r="H6" s="569"/>
      <c r="I6" s="69">
        <v>0.79999999999999993</v>
      </c>
      <c r="J6" s="70" t="s">
        <v>42</v>
      </c>
      <c r="K6" s="70" t="s">
        <v>43</v>
      </c>
      <c r="L6" s="70" t="s">
        <v>44</v>
      </c>
      <c r="M6" s="565"/>
      <c r="N6" s="565"/>
    </row>
    <row r="7" spans="4:14" ht="16.5">
      <c r="D7" s="76" t="s">
        <v>11</v>
      </c>
      <c r="E7" s="77" t="s">
        <v>46</v>
      </c>
      <c r="F7" s="77" t="s">
        <v>30</v>
      </c>
      <c r="G7" s="78">
        <v>0</v>
      </c>
      <c r="H7" s="78">
        <v>8800</v>
      </c>
      <c r="I7" s="78">
        <v>1000</v>
      </c>
      <c r="J7" s="78">
        <v>5000</v>
      </c>
      <c r="K7" s="78">
        <v>1600</v>
      </c>
      <c r="L7" s="85">
        <v>3600</v>
      </c>
      <c r="M7" s="87">
        <v>-19800</v>
      </c>
      <c r="N7" s="79">
        <f t="shared" ref="N7:N28" si="0">SUM(H7:M7)</f>
        <v>200</v>
      </c>
    </row>
    <row r="8" spans="4:14" ht="16.5">
      <c r="D8" s="15" t="s">
        <v>9</v>
      </c>
      <c r="E8" s="3" t="s">
        <v>46</v>
      </c>
      <c r="F8" s="3" t="s">
        <v>30</v>
      </c>
      <c r="G8" s="4">
        <v>0</v>
      </c>
      <c r="H8" s="4">
        <v>8800</v>
      </c>
      <c r="I8" s="4">
        <v>1000</v>
      </c>
      <c r="J8" s="4">
        <v>5000</v>
      </c>
      <c r="K8" s="4">
        <v>1600</v>
      </c>
      <c r="L8" s="5">
        <v>3600</v>
      </c>
      <c r="M8" s="88"/>
      <c r="N8" s="80">
        <f t="shared" si="0"/>
        <v>20000</v>
      </c>
    </row>
    <row r="9" spans="4:14" ht="16.5">
      <c r="D9" s="15" t="s">
        <v>17</v>
      </c>
      <c r="E9" s="3" t="s">
        <v>46</v>
      </c>
      <c r="F9" s="3" t="s">
        <v>30</v>
      </c>
      <c r="G9" s="4">
        <v>0</v>
      </c>
      <c r="H9" s="4">
        <v>8800</v>
      </c>
      <c r="I9" s="4">
        <v>1000</v>
      </c>
      <c r="J9" s="4">
        <v>5000</v>
      </c>
      <c r="K9" s="4">
        <v>1600</v>
      </c>
      <c r="L9" s="5">
        <v>3600</v>
      </c>
      <c r="M9" s="88"/>
      <c r="N9" s="80">
        <f t="shared" si="0"/>
        <v>20000</v>
      </c>
    </row>
    <row r="10" spans="4:14" ht="16.5">
      <c r="D10" s="15" t="s">
        <v>18</v>
      </c>
      <c r="E10" s="3" t="s">
        <v>46</v>
      </c>
      <c r="F10" s="3" t="s">
        <v>30</v>
      </c>
      <c r="G10" s="4">
        <v>0</v>
      </c>
      <c r="H10" s="4">
        <v>8800</v>
      </c>
      <c r="I10" s="4">
        <v>1000</v>
      </c>
      <c r="J10" s="4">
        <v>5000</v>
      </c>
      <c r="K10" s="4">
        <v>1600</v>
      </c>
      <c r="L10" s="5">
        <v>3600</v>
      </c>
      <c r="M10" s="88"/>
      <c r="N10" s="80">
        <f t="shared" si="0"/>
        <v>20000</v>
      </c>
    </row>
    <row r="11" spans="4:14" ht="16.5">
      <c r="D11" s="15" t="s">
        <v>12</v>
      </c>
      <c r="E11" s="3" t="s">
        <v>46</v>
      </c>
      <c r="F11" s="3" t="s">
        <v>30</v>
      </c>
      <c r="G11" s="4">
        <v>0</v>
      </c>
      <c r="H11" s="4">
        <v>8800</v>
      </c>
      <c r="I11" s="4">
        <v>1000</v>
      </c>
      <c r="J11" s="4">
        <v>5000</v>
      </c>
      <c r="K11" s="4">
        <v>1600</v>
      </c>
      <c r="L11" s="5">
        <v>3600</v>
      </c>
      <c r="M11" s="88"/>
      <c r="N11" s="80">
        <f t="shared" si="0"/>
        <v>20000</v>
      </c>
    </row>
    <row r="12" spans="4:14" ht="17.25" thickBot="1">
      <c r="D12" s="81" t="s">
        <v>24</v>
      </c>
      <c r="E12" s="82" t="s">
        <v>46</v>
      </c>
      <c r="F12" s="82" t="s">
        <v>30</v>
      </c>
      <c r="G12" s="83">
        <v>0</v>
      </c>
      <c r="H12" s="83">
        <v>8800</v>
      </c>
      <c r="I12" s="83">
        <v>1000</v>
      </c>
      <c r="J12" s="83">
        <v>5000</v>
      </c>
      <c r="K12" s="83">
        <v>1600</v>
      </c>
      <c r="L12" s="86">
        <v>3400</v>
      </c>
      <c r="M12" s="89"/>
      <c r="N12" s="84">
        <f t="shared" si="0"/>
        <v>19800</v>
      </c>
    </row>
    <row r="13" spans="4:14" ht="16.5">
      <c r="D13" s="71" t="s">
        <v>13</v>
      </c>
      <c r="E13" s="72" t="s">
        <v>46</v>
      </c>
      <c r="F13" s="72" t="s">
        <v>48</v>
      </c>
      <c r="G13" s="73">
        <v>0</v>
      </c>
      <c r="H13" s="73">
        <v>8800</v>
      </c>
      <c r="I13" s="73">
        <v>1000</v>
      </c>
      <c r="J13" s="73">
        <v>5000</v>
      </c>
      <c r="K13" s="73">
        <v>1600</v>
      </c>
      <c r="L13" s="74"/>
      <c r="M13" s="90">
        <v>-21400</v>
      </c>
      <c r="N13" s="75">
        <f t="shared" si="0"/>
        <v>-5000</v>
      </c>
    </row>
    <row r="14" spans="4:14" ht="16.5">
      <c r="D14" s="68" t="s">
        <v>7</v>
      </c>
      <c r="E14" s="6" t="s">
        <v>46</v>
      </c>
      <c r="F14" s="6" t="s">
        <v>31</v>
      </c>
      <c r="G14" s="7">
        <v>0</v>
      </c>
      <c r="H14" s="7">
        <v>9000</v>
      </c>
      <c r="I14" s="7">
        <v>1000</v>
      </c>
      <c r="J14" s="7">
        <v>5000</v>
      </c>
      <c r="K14" s="7">
        <v>1600</v>
      </c>
      <c r="L14" s="8"/>
      <c r="M14" s="91">
        <v>-20900</v>
      </c>
      <c r="N14" s="62">
        <f t="shared" si="0"/>
        <v>-4300</v>
      </c>
    </row>
    <row r="15" spans="4:14" ht="16.5">
      <c r="D15" s="61" t="s">
        <v>19</v>
      </c>
      <c r="E15" s="9" t="s">
        <v>46</v>
      </c>
      <c r="F15" s="9" t="s">
        <v>31</v>
      </c>
      <c r="G15" s="10">
        <v>0</v>
      </c>
      <c r="H15" s="10">
        <v>8800</v>
      </c>
      <c r="I15" s="10">
        <v>1000</v>
      </c>
      <c r="J15" s="10">
        <v>5000</v>
      </c>
      <c r="K15" s="10">
        <v>1600</v>
      </c>
      <c r="L15" s="11"/>
      <c r="M15" s="91"/>
      <c r="N15" s="62">
        <f t="shared" si="0"/>
        <v>16400</v>
      </c>
    </row>
    <row r="16" spans="4:14" ht="16.5">
      <c r="D16" s="61" t="s">
        <v>23</v>
      </c>
      <c r="E16" s="9" t="s">
        <v>46</v>
      </c>
      <c r="F16" s="9" t="s">
        <v>32</v>
      </c>
      <c r="G16" s="10">
        <v>0</v>
      </c>
      <c r="H16" s="10">
        <v>8800</v>
      </c>
      <c r="I16" s="10">
        <v>1000</v>
      </c>
      <c r="J16" s="10">
        <v>5000</v>
      </c>
      <c r="K16" s="10">
        <v>1600</v>
      </c>
      <c r="L16" s="11"/>
      <c r="M16" s="91"/>
      <c r="N16" s="62">
        <f t="shared" si="0"/>
        <v>16400</v>
      </c>
    </row>
    <row r="17" spans="4:14" ht="17.25" thickBot="1">
      <c r="D17" s="63" t="s">
        <v>20</v>
      </c>
      <c r="E17" s="64" t="s">
        <v>46</v>
      </c>
      <c r="F17" s="64" t="s">
        <v>33</v>
      </c>
      <c r="G17" s="65">
        <v>0</v>
      </c>
      <c r="H17" s="65">
        <v>8800</v>
      </c>
      <c r="I17" s="65">
        <v>1000</v>
      </c>
      <c r="J17" s="65">
        <v>5000</v>
      </c>
      <c r="K17" s="65">
        <v>1600</v>
      </c>
      <c r="L17" s="66"/>
      <c r="M17" s="92">
        <v>-294250</v>
      </c>
      <c r="N17" s="67">
        <f t="shared" si="0"/>
        <v>-277850</v>
      </c>
    </row>
    <row r="18" spans="4:14" ht="16.5">
      <c r="D18" s="57" t="s">
        <v>27</v>
      </c>
      <c r="E18" s="58" t="s">
        <v>46</v>
      </c>
      <c r="F18" s="58" t="s">
        <v>35</v>
      </c>
      <c r="G18" s="59">
        <v>0</v>
      </c>
      <c r="H18" s="59">
        <v>8800</v>
      </c>
      <c r="I18" s="59">
        <v>900</v>
      </c>
      <c r="J18" s="59">
        <v>5000</v>
      </c>
      <c r="K18" s="59">
        <v>900</v>
      </c>
      <c r="L18" s="60"/>
      <c r="M18" s="93"/>
      <c r="N18" s="40">
        <f t="shared" si="0"/>
        <v>15600</v>
      </c>
    </row>
    <row r="19" spans="4:14" ht="16.5">
      <c r="D19" s="30" t="s">
        <v>10</v>
      </c>
      <c r="E19" s="35" t="s">
        <v>47</v>
      </c>
      <c r="F19" s="32" t="s">
        <v>35</v>
      </c>
      <c r="G19" s="33">
        <v>0</v>
      </c>
      <c r="H19" s="36">
        <v>0</v>
      </c>
      <c r="I19" s="33">
        <v>900</v>
      </c>
      <c r="J19" s="33">
        <v>5000</v>
      </c>
      <c r="K19" s="33">
        <v>900</v>
      </c>
      <c r="L19" s="34"/>
      <c r="M19" s="93"/>
      <c r="N19" s="40">
        <f t="shared" si="0"/>
        <v>6800</v>
      </c>
    </row>
    <row r="20" spans="4:14" ht="16.5">
      <c r="D20" s="29" t="s">
        <v>21</v>
      </c>
      <c r="E20" s="32" t="s">
        <v>46</v>
      </c>
      <c r="F20" s="32" t="s">
        <v>34</v>
      </c>
      <c r="G20" s="33">
        <v>0</v>
      </c>
      <c r="H20" s="33">
        <v>8800</v>
      </c>
      <c r="I20" s="33">
        <v>900</v>
      </c>
      <c r="J20" s="33">
        <v>5000</v>
      </c>
      <c r="K20" s="33">
        <v>400</v>
      </c>
      <c r="L20" s="34"/>
      <c r="M20" s="93"/>
      <c r="N20" s="40">
        <f t="shared" si="0"/>
        <v>15100</v>
      </c>
    </row>
    <row r="21" spans="4:14" ht="17.25" thickBot="1">
      <c r="D21" s="31" t="s">
        <v>22</v>
      </c>
      <c r="E21" s="37" t="s">
        <v>46</v>
      </c>
      <c r="F21" s="37" t="s">
        <v>41</v>
      </c>
      <c r="G21" s="38">
        <v>0</v>
      </c>
      <c r="H21" s="38">
        <v>8800</v>
      </c>
      <c r="I21" s="38">
        <v>900</v>
      </c>
      <c r="J21" s="38">
        <v>5000</v>
      </c>
      <c r="K21" s="38"/>
      <c r="L21" s="39"/>
      <c r="M21" s="94"/>
      <c r="N21" s="41">
        <f t="shared" si="0"/>
        <v>14700</v>
      </c>
    </row>
    <row r="22" spans="4:14" ht="16.5">
      <c r="D22" s="42" t="s">
        <v>8</v>
      </c>
      <c r="E22" s="45" t="s">
        <v>46</v>
      </c>
      <c r="F22" s="45" t="s">
        <v>37</v>
      </c>
      <c r="G22" s="46">
        <v>0</v>
      </c>
      <c r="H22" s="46">
        <v>8800</v>
      </c>
      <c r="I22" s="46">
        <v>900</v>
      </c>
      <c r="J22" s="46">
        <v>5000</v>
      </c>
      <c r="K22" s="46"/>
      <c r="L22" s="47"/>
      <c r="M22" s="95"/>
      <c r="N22" s="55">
        <f t="shared" si="0"/>
        <v>14700</v>
      </c>
    </row>
    <row r="23" spans="4:14" ht="16.5">
      <c r="D23" s="43" t="s">
        <v>25</v>
      </c>
      <c r="E23" s="48" t="s">
        <v>46</v>
      </c>
      <c r="F23" s="48" t="s">
        <v>36</v>
      </c>
      <c r="G23" s="49">
        <v>0</v>
      </c>
      <c r="H23" s="49">
        <v>8800</v>
      </c>
      <c r="I23" s="49">
        <v>900</v>
      </c>
      <c r="J23" s="49">
        <v>5000</v>
      </c>
      <c r="K23" s="49"/>
      <c r="L23" s="50"/>
      <c r="M23" s="95"/>
      <c r="N23" s="55">
        <f t="shared" si="0"/>
        <v>14700</v>
      </c>
    </row>
    <row r="24" spans="4:14" ht="16.5">
      <c r="D24" s="43" t="s">
        <v>26</v>
      </c>
      <c r="E24" s="48" t="s">
        <v>46</v>
      </c>
      <c r="F24" s="48" t="s">
        <v>38</v>
      </c>
      <c r="G24" s="49">
        <v>0</v>
      </c>
      <c r="H24" s="49">
        <v>8800</v>
      </c>
      <c r="I24" s="49">
        <v>900</v>
      </c>
      <c r="J24" s="49">
        <v>5000</v>
      </c>
      <c r="K24" s="49"/>
      <c r="L24" s="50"/>
      <c r="M24" s="95"/>
      <c r="N24" s="55">
        <f t="shared" si="0"/>
        <v>14700</v>
      </c>
    </row>
    <row r="25" spans="4:14" ht="16.5">
      <c r="D25" s="43" t="s">
        <v>28</v>
      </c>
      <c r="E25" s="48" t="s">
        <v>46</v>
      </c>
      <c r="F25" s="48" t="s">
        <v>39</v>
      </c>
      <c r="G25" s="49">
        <v>0</v>
      </c>
      <c r="H25" s="49">
        <v>8800</v>
      </c>
      <c r="I25" s="49">
        <v>900</v>
      </c>
      <c r="J25" s="49">
        <v>5000</v>
      </c>
      <c r="K25" s="49"/>
      <c r="L25" s="50"/>
      <c r="M25" s="95"/>
      <c r="N25" s="55">
        <f t="shared" si="0"/>
        <v>14700</v>
      </c>
    </row>
    <row r="26" spans="4:14" ht="17.25" thickBot="1">
      <c r="D26" s="44" t="s">
        <v>29</v>
      </c>
      <c r="E26" s="51" t="s">
        <v>46</v>
      </c>
      <c r="F26" s="51" t="s">
        <v>39</v>
      </c>
      <c r="G26" s="52">
        <v>0</v>
      </c>
      <c r="H26" s="53">
        <v>8800</v>
      </c>
      <c r="I26" s="53">
        <v>900</v>
      </c>
      <c r="J26" s="53">
        <v>5000</v>
      </c>
      <c r="K26" s="53"/>
      <c r="L26" s="54"/>
      <c r="M26" s="96"/>
      <c r="N26" s="56">
        <f t="shared" si="0"/>
        <v>14700</v>
      </c>
    </row>
    <row r="27" spans="4:14" ht="16.5">
      <c r="D27" s="12" t="s">
        <v>14</v>
      </c>
      <c r="E27" s="16" t="s">
        <v>46</v>
      </c>
      <c r="F27" s="16" t="s">
        <v>40</v>
      </c>
      <c r="G27" s="13">
        <v>0</v>
      </c>
      <c r="H27" s="13">
        <v>8800</v>
      </c>
      <c r="I27" s="13">
        <v>900</v>
      </c>
      <c r="J27" s="13">
        <v>5000</v>
      </c>
      <c r="K27" s="13"/>
      <c r="L27" s="1"/>
      <c r="M27" s="97"/>
      <c r="N27" s="14">
        <f t="shared" si="0"/>
        <v>14700</v>
      </c>
    </row>
    <row r="28" spans="4:14" ht="17.25" thickBot="1">
      <c r="D28" s="18" t="s">
        <v>15</v>
      </c>
      <c r="E28" s="19" t="s">
        <v>46</v>
      </c>
      <c r="F28" s="19" t="s">
        <v>40</v>
      </c>
      <c r="G28" s="20">
        <v>0</v>
      </c>
      <c r="H28" s="20">
        <v>8800</v>
      </c>
      <c r="I28" s="20">
        <v>900</v>
      </c>
      <c r="J28" s="20">
        <v>5000</v>
      </c>
      <c r="K28" s="20"/>
      <c r="L28" s="21"/>
      <c r="M28" s="98"/>
      <c r="N28" s="22">
        <f t="shared" si="0"/>
        <v>14700</v>
      </c>
    </row>
    <row r="29" spans="4:14" ht="17.25" thickBot="1">
      <c r="D29" s="558" t="s">
        <v>4</v>
      </c>
      <c r="E29" s="559"/>
      <c r="F29" s="560"/>
      <c r="G29" s="23">
        <v>250000</v>
      </c>
      <c r="H29" s="23">
        <v>0</v>
      </c>
      <c r="I29" s="23">
        <v>0</v>
      </c>
      <c r="J29" s="23">
        <v>0</v>
      </c>
      <c r="K29" s="23">
        <v>0</v>
      </c>
      <c r="L29" s="24">
        <v>0</v>
      </c>
      <c r="M29" s="25"/>
      <c r="N29" s="25">
        <f>SUM(G29:M29)</f>
        <v>250000</v>
      </c>
    </row>
    <row r="30" spans="4:14" ht="18" thickTop="1" thickBot="1">
      <c r="D30" s="561" t="s">
        <v>3</v>
      </c>
      <c r="E30" s="562"/>
      <c r="F30" s="563"/>
      <c r="G30" s="27">
        <v>250000</v>
      </c>
      <c r="H30" s="27">
        <v>185000</v>
      </c>
      <c r="I30" s="27">
        <v>20900</v>
      </c>
      <c r="J30" s="27">
        <v>109250</v>
      </c>
      <c r="K30" s="27">
        <v>19800</v>
      </c>
      <c r="L30" s="27">
        <v>21400</v>
      </c>
      <c r="M30" s="28">
        <f>SUM(G30:L30)</f>
        <v>606350</v>
      </c>
      <c r="N30" s="28">
        <f>SUM(H30:M30)</f>
        <v>962700</v>
      </c>
    </row>
    <row r="34" spans="8:14">
      <c r="H34" s="17"/>
      <c r="I34" s="17"/>
      <c r="J34" s="17"/>
      <c r="K34" s="17"/>
      <c r="L34" s="17"/>
      <c r="M34" s="17"/>
      <c r="N34" s="17"/>
    </row>
  </sheetData>
  <mergeCells count="10">
    <mergeCell ref="D29:F29"/>
    <mergeCell ref="D30:F30"/>
    <mergeCell ref="M5:M6"/>
    <mergeCell ref="N5:N6"/>
    <mergeCell ref="D5:D6"/>
    <mergeCell ref="E5:E6"/>
    <mergeCell ref="G5:G6"/>
    <mergeCell ref="H5:H6"/>
    <mergeCell ref="I5:L5"/>
    <mergeCell ref="F5:F6"/>
  </mergeCells>
  <phoneticPr fontId="4" type="noConversion"/>
  <pageMargins left="0.7" right="0.7" top="0.75" bottom="0.75" header="0.3" footer="0.3"/>
  <ignoredErrors>
    <ignoredError sqref="N7 N8:N28" formulaRange="1"/>
    <ignoredError sqref="N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7524-38B8-477D-9357-BBF67ABEAA23}">
  <dimension ref="B3:C22"/>
  <sheetViews>
    <sheetView workbookViewId="0">
      <selection activeCell="B4" sqref="B4:C14"/>
    </sheetView>
  </sheetViews>
  <sheetFormatPr defaultRowHeight="13.5"/>
  <cols>
    <col min="3" max="3" width="9.5" bestFit="1" customWidth="1"/>
  </cols>
  <sheetData>
    <row r="3" spans="2:3" ht="14.25" thickBot="1"/>
    <row r="4" spans="2:3">
      <c r="B4" s="564" t="s">
        <v>0</v>
      </c>
      <c r="C4" s="564" t="s">
        <v>87</v>
      </c>
    </row>
    <row r="5" spans="2:3" ht="14.25" thickBot="1">
      <c r="B5" s="565"/>
      <c r="C5" s="565"/>
    </row>
    <row r="6" spans="2:3" ht="16.5">
      <c r="B6" s="76" t="s">
        <v>11</v>
      </c>
      <c r="C6" s="79">
        <v>38000</v>
      </c>
    </row>
    <row r="7" spans="2:3" ht="16.5">
      <c r="B7" s="15" t="s">
        <v>9</v>
      </c>
      <c r="C7" s="80">
        <v>38000</v>
      </c>
    </row>
    <row r="8" spans="2:3" ht="16.5">
      <c r="B8" s="15" t="s">
        <v>15</v>
      </c>
      <c r="C8" s="80">
        <v>38000</v>
      </c>
    </row>
    <row r="9" spans="2:3" ht="16.5">
      <c r="B9" s="15" t="s">
        <v>12</v>
      </c>
      <c r="C9" s="80">
        <v>35000</v>
      </c>
    </row>
    <row r="10" spans="2:3" ht="16.5">
      <c r="B10" s="15" t="s">
        <v>7</v>
      </c>
      <c r="C10" s="80">
        <v>32850</v>
      </c>
    </row>
    <row r="11" spans="2:3" ht="16.5">
      <c r="B11" s="15" t="s">
        <v>24</v>
      </c>
      <c r="C11" s="80">
        <v>30000</v>
      </c>
    </row>
    <row r="12" spans="2:3" ht="16.5">
      <c r="B12" s="15" t="s">
        <v>18</v>
      </c>
      <c r="C12" s="80">
        <v>30000</v>
      </c>
    </row>
    <row r="13" spans="2:3" ht="17.25" thickBot="1">
      <c r="B13" s="81" t="s">
        <v>14</v>
      </c>
      <c r="C13" s="84">
        <v>26000</v>
      </c>
    </row>
    <row r="14" spans="2:3" ht="17.25" thickBot="1">
      <c r="B14" s="26" t="s">
        <v>3</v>
      </c>
      <c r="C14" s="28">
        <v>267850</v>
      </c>
    </row>
    <row r="22" spans="3:3">
      <c r="C22" s="135"/>
    </row>
  </sheetData>
  <mergeCells count="2">
    <mergeCell ref="C4:C5"/>
    <mergeCell ref="B4:B5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16D6-3CD6-4830-B9E8-B8B203C8138F}">
  <dimension ref="C2:H24"/>
  <sheetViews>
    <sheetView zoomScale="115" zoomScaleNormal="115" workbookViewId="0">
      <selection activeCell="G14" sqref="G14"/>
    </sheetView>
  </sheetViews>
  <sheetFormatPr defaultRowHeight="16.5"/>
  <cols>
    <col min="1" max="3" width="9" style="2"/>
    <col min="4" max="4" width="27.25" style="2" bestFit="1" customWidth="1"/>
    <col min="5" max="5" width="12.75" style="2" bestFit="1" customWidth="1"/>
    <col min="6" max="6" width="10.5" style="2" bestFit="1" customWidth="1"/>
    <col min="7" max="7" width="11.625" style="2" bestFit="1" customWidth="1"/>
    <col min="8" max="8" width="12.75" style="2" bestFit="1" customWidth="1"/>
    <col min="9" max="16384" width="9" style="2"/>
  </cols>
  <sheetData>
    <row r="2" spans="3:8" ht="17.25" thickBot="1"/>
    <row r="3" spans="3:8">
      <c r="C3" s="577" t="s">
        <v>86</v>
      </c>
      <c r="D3" s="577" t="s">
        <v>85</v>
      </c>
      <c r="E3" s="574" t="s">
        <v>84</v>
      </c>
      <c r="F3" s="580" t="s">
        <v>83</v>
      </c>
      <c r="G3" s="575" t="s">
        <v>82</v>
      </c>
      <c r="H3" s="576"/>
    </row>
    <row r="4" spans="3:8" ht="17.25" thickBot="1">
      <c r="C4" s="578"/>
      <c r="D4" s="579"/>
      <c r="E4" s="561"/>
      <c r="F4" s="581"/>
      <c r="G4" s="100" t="s">
        <v>81</v>
      </c>
      <c r="H4" s="101" t="s">
        <v>80</v>
      </c>
    </row>
    <row r="5" spans="3:8">
      <c r="C5" s="578"/>
      <c r="D5" s="99" t="s">
        <v>79</v>
      </c>
      <c r="E5" s="102">
        <v>35000</v>
      </c>
      <c r="F5" s="103">
        <v>10000</v>
      </c>
      <c r="G5" s="104">
        <f>E5-F5</f>
        <v>25000</v>
      </c>
      <c r="H5" s="105">
        <f>E5-F5</f>
        <v>25000</v>
      </c>
    </row>
    <row r="6" spans="3:8">
      <c r="C6" s="578"/>
      <c r="D6" s="106" t="s">
        <v>78</v>
      </c>
      <c r="E6" s="102">
        <v>30000</v>
      </c>
      <c r="F6" s="103">
        <v>10000</v>
      </c>
      <c r="G6" s="104">
        <f>E6-F6</f>
        <v>20000</v>
      </c>
      <c r="H6" s="105">
        <f>E6-F6</f>
        <v>20000</v>
      </c>
    </row>
    <row r="7" spans="3:8">
      <c r="C7" s="578"/>
      <c r="D7" s="107" t="s">
        <v>77</v>
      </c>
      <c r="E7" s="108">
        <v>35000</v>
      </c>
      <c r="F7" s="109">
        <v>10000</v>
      </c>
      <c r="G7" s="110">
        <f>E7-F7</f>
        <v>25000</v>
      </c>
      <c r="H7" s="105" t="s">
        <v>75</v>
      </c>
    </row>
    <row r="8" spans="3:8">
      <c r="C8" s="578"/>
      <c r="D8" s="111" t="s">
        <v>76</v>
      </c>
      <c r="E8" s="108">
        <v>6000</v>
      </c>
      <c r="F8" s="110" t="s">
        <v>75</v>
      </c>
      <c r="G8" s="110">
        <f>E8</f>
        <v>6000</v>
      </c>
      <c r="H8" s="112">
        <f>E8</f>
        <v>6000</v>
      </c>
    </row>
    <row r="9" spans="3:8" ht="17.25" thickBot="1">
      <c r="C9" s="578"/>
      <c r="D9" s="113" t="s">
        <v>74</v>
      </c>
      <c r="E9" s="114">
        <v>14000</v>
      </c>
      <c r="F9" s="115">
        <v>5000</v>
      </c>
      <c r="G9" s="116">
        <f>E9-F9</f>
        <v>9000</v>
      </c>
      <c r="H9" s="117">
        <v>4500</v>
      </c>
    </row>
    <row r="10" spans="3:8" ht="18" thickTop="1" thickBot="1">
      <c r="C10" s="579"/>
      <c r="D10" s="26" t="s">
        <v>73</v>
      </c>
      <c r="E10" s="118">
        <f>SUM(E5:E9)</f>
        <v>120000</v>
      </c>
      <c r="F10" s="119">
        <f>SUM(F5:F9)</f>
        <v>35000</v>
      </c>
      <c r="G10" s="119">
        <f>SUM(G5:G9)</f>
        <v>85000</v>
      </c>
      <c r="H10" s="120">
        <f>SUM(H5:H9)</f>
        <v>55500</v>
      </c>
    </row>
    <row r="11" spans="3:8" ht="17.25" thickBot="1"/>
    <row r="12" spans="3:8">
      <c r="C12" s="577" t="s">
        <v>72</v>
      </c>
      <c r="D12" s="121" t="s">
        <v>71</v>
      </c>
      <c r="E12" s="122" t="s">
        <v>70</v>
      </c>
    </row>
    <row r="13" spans="3:8">
      <c r="C13" s="578"/>
      <c r="D13" s="123" t="s">
        <v>69</v>
      </c>
      <c r="E13" s="124" t="s">
        <v>68</v>
      </c>
    </row>
    <row r="14" spans="3:8">
      <c r="C14" s="578"/>
      <c r="D14" s="123" t="s">
        <v>54</v>
      </c>
      <c r="E14" s="125" t="s">
        <v>67</v>
      </c>
    </row>
    <row r="15" spans="3:8">
      <c r="C15" s="578"/>
      <c r="D15" s="123" t="s">
        <v>66</v>
      </c>
      <c r="E15" s="126">
        <v>0.41666666666666669</v>
      </c>
    </row>
    <row r="16" spans="3:8">
      <c r="C16" s="578"/>
      <c r="D16" s="123" t="s">
        <v>65</v>
      </c>
      <c r="E16" s="126" t="s">
        <v>64</v>
      </c>
    </row>
    <row r="17" spans="3:5">
      <c r="C17" s="578"/>
      <c r="D17" s="123" t="s">
        <v>63</v>
      </c>
      <c r="E17" s="126" t="s">
        <v>62</v>
      </c>
    </row>
    <row r="18" spans="3:5">
      <c r="C18" s="578"/>
      <c r="D18" s="127" t="s">
        <v>58</v>
      </c>
      <c r="E18" s="128" t="s">
        <v>61</v>
      </c>
    </row>
    <row r="19" spans="3:5">
      <c r="C19" s="578"/>
      <c r="D19" s="129" t="s">
        <v>60</v>
      </c>
      <c r="E19" s="130" t="s">
        <v>59</v>
      </c>
    </row>
    <row r="20" spans="3:5">
      <c r="C20" s="578"/>
      <c r="D20" s="127" t="s">
        <v>58</v>
      </c>
      <c r="E20" s="131" t="s">
        <v>57</v>
      </c>
    </row>
    <row r="21" spans="3:5">
      <c r="C21" s="578"/>
      <c r="D21" s="123" t="s">
        <v>56</v>
      </c>
      <c r="E21" s="126" t="s">
        <v>55</v>
      </c>
    </row>
    <row r="22" spans="3:5">
      <c r="C22" s="578"/>
      <c r="D22" s="123" t="s">
        <v>54</v>
      </c>
      <c r="E22" s="126" t="s">
        <v>53</v>
      </c>
    </row>
    <row r="23" spans="3:5">
      <c r="C23" s="578"/>
      <c r="D23" s="129" t="s">
        <v>52</v>
      </c>
      <c r="E23" s="130" t="s">
        <v>51</v>
      </c>
    </row>
    <row r="24" spans="3:5" ht="17.25" thickBot="1">
      <c r="C24" s="579"/>
      <c r="D24" s="132" t="s">
        <v>50</v>
      </c>
      <c r="E24" s="133" t="s">
        <v>49</v>
      </c>
    </row>
  </sheetData>
  <mergeCells count="6">
    <mergeCell ref="E3:E4"/>
    <mergeCell ref="G3:H3"/>
    <mergeCell ref="C12:C24"/>
    <mergeCell ref="C3:C10"/>
    <mergeCell ref="D3:D4"/>
    <mergeCell ref="F3:F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9160-55EC-4D46-BA4F-FD50CAD19294}">
  <dimension ref="B4:K27"/>
  <sheetViews>
    <sheetView workbookViewId="0">
      <selection activeCell="N15" sqref="N15"/>
    </sheetView>
  </sheetViews>
  <sheetFormatPr defaultRowHeight="16.5"/>
  <cols>
    <col min="1" max="2" width="9" style="2"/>
    <col min="3" max="9" width="11" style="2" customWidth="1"/>
    <col min="10" max="10" width="9.125" style="2" bestFit="1" customWidth="1"/>
    <col min="11" max="11" width="9.875" style="2" bestFit="1" customWidth="1"/>
    <col min="12" max="16384" width="9" style="2"/>
  </cols>
  <sheetData>
    <row r="4" spans="2:11" ht="17.25" thickBot="1"/>
    <row r="5" spans="2:11" ht="13.5" customHeight="1">
      <c r="B5" s="582" t="s">
        <v>0</v>
      </c>
      <c r="C5" s="155" t="s">
        <v>92</v>
      </c>
      <c r="D5" s="584" t="s">
        <v>93</v>
      </c>
      <c r="E5" s="585"/>
      <c r="F5" s="157" t="s">
        <v>94</v>
      </c>
      <c r="G5" s="156" t="s">
        <v>95</v>
      </c>
      <c r="H5" s="156" t="s">
        <v>95</v>
      </c>
      <c r="I5" s="183">
        <v>0.45833333333333331</v>
      </c>
      <c r="J5" s="577" t="s">
        <v>16</v>
      </c>
      <c r="K5" s="577" t="s">
        <v>102</v>
      </c>
    </row>
    <row r="6" spans="2:11" ht="14.25" customHeight="1" thickBot="1">
      <c r="B6" s="583"/>
      <c r="C6" s="151" t="s">
        <v>101</v>
      </c>
      <c r="D6" s="152" t="s">
        <v>91</v>
      </c>
      <c r="E6" s="152" t="s">
        <v>99</v>
      </c>
      <c r="F6" s="153" t="s">
        <v>97</v>
      </c>
      <c r="G6" s="154" t="s">
        <v>96</v>
      </c>
      <c r="H6" s="154" t="s">
        <v>98</v>
      </c>
      <c r="I6" s="184" t="s">
        <v>100</v>
      </c>
      <c r="J6" s="579"/>
      <c r="K6" s="578"/>
    </row>
    <row r="7" spans="2:11">
      <c r="B7" s="172" t="s">
        <v>7</v>
      </c>
      <c r="C7" s="203">
        <v>13600</v>
      </c>
      <c r="D7" s="78">
        <v>25000</v>
      </c>
      <c r="E7" s="78"/>
      <c r="F7" s="85">
        <v>20000</v>
      </c>
      <c r="G7" s="138">
        <v>25000</v>
      </c>
      <c r="H7" s="136">
        <v>10230</v>
      </c>
      <c r="I7" s="187">
        <v>8000</v>
      </c>
      <c r="J7" s="199"/>
      <c r="K7" s="199">
        <f t="shared" ref="K7:K21" si="0">SUM(C7:J7)</f>
        <v>101830</v>
      </c>
    </row>
    <row r="8" spans="2:11">
      <c r="B8" s="173" t="s">
        <v>8</v>
      </c>
      <c r="C8" s="204">
        <v>13300</v>
      </c>
      <c r="D8" s="4">
        <v>25000</v>
      </c>
      <c r="E8" s="4"/>
      <c r="F8" s="5">
        <v>20000</v>
      </c>
      <c r="G8" s="139">
        <v>25000</v>
      </c>
      <c r="H8" s="137">
        <v>10500</v>
      </c>
      <c r="I8" s="188">
        <v>8000</v>
      </c>
      <c r="J8" s="200"/>
      <c r="K8" s="200">
        <f t="shared" si="0"/>
        <v>101800</v>
      </c>
    </row>
    <row r="9" spans="2:11">
      <c r="B9" s="173" t="s">
        <v>88</v>
      </c>
      <c r="C9" s="204">
        <v>13300</v>
      </c>
      <c r="D9" s="4">
        <v>25000</v>
      </c>
      <c r="E9" s="4">
        <v>6000</v>
      </c>
      <c r="F9" s="5">
        <v>20000</v>
      </c>
      <c r="G9" s="139">
        <v>25000</v>
      </c>
      <c r="H9" s="137">
        <v>10500</v>
      </c>
      <c r="I9" s="188">
        <v>8000</v>
      </c>
      <c r="J9" s="200"/>
      <c r="K9" s="200">
        <f t="shared" si="0"/>
        <v>107800</v>
      </c>
    </row>
    <row r="10" spans="2:11">
      <c r="B10" s="173" t="s">
        <v>9</v>
      </c>
      <c r="C10" s="204">
        <v>13300</v>
      </c>
      <c r="D10" s="4">
        <v>25000</v>
      </c>
      <c r="E10" s="4"/>
      <c r="F10" s="5">
        <v>20000</v>
      </c>
      <c r="G10" s="139">
        <v>25000</v>
      </c>
      <c r="H10" s="137">
        <v>10500</v>
      </c>
      <c r="I10" s="189"/>
      <c r="J10" s="200">
        <v>-115230</v>
      </c>
      <c r="K10" s="200">
        <f t="shared" si="0"/>
        <v>-21430</v>
      </c>
    </row>
    <row r="11" spans="2:11">
      <c r="B11" s="173" t="s">
        <v>13</v>
      </c>
      <c r="C11" s="204">
        <v>13300</v>
      </c>
      <c r="D11" s="4">
        <v>25000</v>
      </c>
      <c r="E11" s="4">
        <v>6000</v>
      </c>
      <c r="F11" s="5">
        <v>20000</v>
      </c>
      <c r="G11" s="139">
        <v>25000</v>
      </c>
      <c r="H11" s="137">
        <v>10500</v>
      </c>
      <c r="I11" s="189"/>
      <c r="J11" s="200"/>
      <c r="K11" s="200">
        <f t="shared" si="0"/>
        <v>99800</v>
      </c>
    </row>
    <row r="12" spans="2:11">
      <c r="B12" s="174" t="s">
        <v>24</v>
      </c>
      <c r="C12" s="205">
        <v>13300</v>
      </c>
      <c r="D12" s="142">
        <v>25000</v>
      </c>
      <c r="E12" s="142">
        <v>6000</v>
      </c>
      <c r="F12" s="143">
        <v>20000</v>
      </c>
      <c r="G12" s="144">
        <v>25000</v>
      </c>
      <c r="H12" s="145">
        <v>10500</v>
      </c>
      <c r="I12" s="190"/>
      <c r="J12" s="200"/>
      <c r="K12" s="200">
        <f t="shared" si="0"/>
        <v>99800</v>
      </c>
    </row>
    <row r="13" spans="2:11">
      <c r="B13" s="175" t="s">
        <v>25</v>
      </c>
      <c r="C13" s="206">
        <v>13300</v>
      </c>
      <c r="D13" s="160">
        <v>25000</v>
      </c>
      <c r="E13" s="160">
        <v>6000</v>
      </c>
      <c r="F13" s="161">
        <v>20000</v>
      </c>
      <c r="G13" s="162">
        <v>25000</v>
      </c>
      <c r="H13" s="163">
        <v>10500</v>
      </c>
      <c r="I13" s="191"/>
      <c r="J13" s="200"/>
      <c r="K13" s="200">
        <f t="shared" si="0"/>
        <v>99800</v>
      </c>
    </row>
    <row r="14" spans="2:11">
      <c r="B14" s="176" t="s">
        <v>15</v>
      </c>
      <c r="C14" s="207">
        <v>13300</v>
      </c>
      <c r="D14" s="73">
        <v>25000</v>
      </c>
      <c r="E14" s="73">
        <v>6000</v>
      </c>
      <c r="F14" s="74">
        <v>20000</v>
      </c>
      <c r="G14" s="170">
        <v>0</v>
      </c>
      <c r="H14" s="158"/>
      <c r="I14" s="192"/>
      <c r="J14" s="201"/>
      <c r="K14" s="200">
        <f t="shared" si="0"/>
        <v>64300</v>
      </c>
    </row>
    <row r="15" spans="2:11">
      <c r="B15" s="177" t="s">
        <v>89</v>
      </c>
      <c r="C15" s="207">
        <v>13300</v>
      </c>
      <c r="D15" s="167">
        <v>35000</v>
      </c>
      <c r="E15" s="167"/>
      <c r="F15" s="168">
        <v>30000</v>
      </c>
      <c r="G15" s="171">
        <v>10000</v>
      </c>
      <c r="H15" s="159"/>
      <c r="I15" s="191"/>
      <c r="J15" s="201"/>
      <c r="K15" s="200">
        <f t="shared" si="0"/>
        <v>88300</v>
      </c>
    </row>
    <row r="16" spans="2:11">
      <c r="B16" s="178" t="s">
        <v>90</v>
      </c>
      <c r="C16" s="208"/>
      <c r="D16" s="147"/>
      <c r="E16" s="147"/>
      <c r="F16" s="169">
        <v>20000</v>
      </c>
      <c r="G16" s="146">
        <v>25000</v>
      </c>
      <c r="H16" s="186">
        <v>10500</v>
      </c>
      <c r="I16" s="191"/>
      <c r="J16" s="202"/>
      <c r="K16" s="200">
        <f t="shared" si="0"/>
        <v>55500</v>
      </c>
    </row>
    <row r="17" spans="2:11">
      <c r="B17" s="179" t="s">
        <v>11</v>
      </c>
      <c r="C17" s="209"/>
      <c r="D17" s="148"/>
      <c r="E17" s="148"/>
      <c r="F17" s="164">
        <v>20000</v>
      </c>
      <c r="G17" s="140">
        <v>25000</v>
      </c>
      <c r="H17" s="193">
        <v>10500</v>
      </c>
      <c r="I17" s="194"/>
      <c r="J17" s="200"/>
      <c r="K17" s="200">
        <f t="shared" si="0"/>
        <v>55500</v>
      </c>
    </row>
    <row r="18" spans="2:11">
      <c r="B18" s="180" t="s">
        <v>18</v>
      </c>
      <c r="C18" s="210"/>
      <c r="D18" s="149"/>
      <c r="E18" s="149"/>
      <c r="F18" s="165">
        <v>20000</v>
      </c>
      <c r="G18" s="140">
        <v>25000</v>
      </c>
      <c r="H18" s="195">
        <v>10500</v>
      </c>
      <c r="I18" s="189"/>
      <c r="J18" s="200"/>
      <c r="K18" s="200">
        <f t="shared" si="0"/>
        <v>55500</v>
      </c>
    </row>
    <row r="19" spans="2:11" ht="17.25" thickBot="1">
      <c r="B19" s="181" t="s">
        <v>14</v>
      </c>
      <c r="C19" s="211"/>
      <c r="D19" s="150"/>
      <c r="E19" s="150"/>
      <c r="F19" s="166">
        <v>20000</v>
      </c>
      <c r="G19" s="141">
        <v>25000</v>
      </c>
      <c r="H19" s="196">
        <v>10500</v>
      </c>
      <c r="I19" s="197"/>
      <c r="J19" s="212"/>
      <c r="K19" s="212">
        <f t="shared" si="0"/>
        <v>55500</v>
      </c>
    </row>
    <row r="20" spans="2:11" ht="17.25" thickBot="1">
      <c r="B20" s="182" t="s">
        <v>4</v>
      </c>
      <c r="C20" s="213">
        <v>0</v>
      </c>
      <c r="D20" s="213">
        <v>80000</v>
      </c>
      <c r="E20" s="213">
        <v>6000</v>
      </c>
      <c r="F20" s="213">
        <v>120000</v>
      </c>
      <c r="G20" s="213">
        <v>120000</v>
      </c>
      <c r="H20" s="214">
        <v>0</v>
      </c>
      <c r="I20" s="215">
        <v>0</v>
      </c>
      <c r="J20" s="216"/>
      <c r="K20" s="216">
        <f t="shared" si="0"/>
        <v>326000</v>
      </c>
    </row>
    <row r="21" spans="2:11" ht="18" thickTop="1" thickBot="1">
      <c r="B21" s="134" t="s">
        <v>3</v>
      </c>
      <c r="C21" s="27">
        <f>SUM(C7:C19)-C20</f>
        <v>120000</v>
      </c>
      <c r="D21" s="27">
        <f>SUM(D7:D20)</f>
        <v>315000</v>
      </c>
      <c r="E21" s="27">
        <f t="shared" ref="E21:I21" si="1">SUM(E7:E20)</f>
        <v>36000</v>
      </c>
      <c r="F21" s="27">
        <f t="shared" si="1"/>
        <v>390000</v>
      </c>
      <c r="G21" s="27">
        <f t="shared" si="1"/>
        <v>405000</v>
      </c>
      <c r="H21" s="27">
        <v>115230</v>
      </c>
      <c r="I21" s="27">
        <f t="shared" si="1"/>
        <v>24000</v>
      </c>
      <c r="J21" s="185">
        <f>SUM(J7:J20)</f>
        <v>-115230</v>
      </c>
      <c r="K21" s="185">
        <f t="shared" si="0"/>
        <v>1290000</v>
      </c>
    </row>
    <row r="26" spans="2:11">
      <c r="H26" s="198"/>
    </row>
    <row r="27" spans="2:11">
      <c r="D27" s="198"/>
    </row>
  </sheetData>
  <mergeCells count="4">
    <mergeCell ref="B5:B6"/>
    <mergeCell ref="D5:E5"/>
    <mergeCell ref="J5:J6"/>
    <mergeCell ref="K5:K6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1E3D-3C5A-489B-BBA4-523BEE1815E0}">
  <dimension ref="A5:Y32"/>
  <sheetViews>
    <sheetView zoomScaleNormal="100" workbookViewId="0">
      <selection activeCell="G23" sqref="G23"/>
    </sheetView>
  </sheetViews>
  <sheetFormatPr defaultRowHeight="13.5"/>
  <cols>
    <col min="5" max="21" width="5.875" bestFit="1" customWidth="1"/>
    <col min="22" max="22" width="9.5" bestFit="1" customWidth="1"/>
  </cols>
  <sheetData>
    <row r="5" spans="1:24" ht="14.25" thickBot="1"/>
    <row r="6" spans="1:24" ht="13.5" customHeight="1">
      <c r="D6" s="582"/>
      <c r="E6" s="601">
        <v>0.79166666666666663</v>
      </c>
      <c r="F6" s="592" t="s">
        <v>109</v>
      </c>
      <c r="G6" s="596" t="s">
        <v>110</v>
      </c>
      <c r="H6" s="592" t="s">
        <v>111</v>
      </c>
      <c r="I6" s="596" t="s">
        <v>112</v>
      </c>
      <c r="J6" s="594" t="s">
        <v>113</v>
      </c>
      <c r="K6" s="592" t="s">
        <v>114</v>
      </c>
      <c r="L6" s="588" t="s">
        <v>115</v>
      </c>
      <c r="M6" s="590" t="s">
        <v>39</v>
      </c>
      <c r="N6" s="599" t="s">
        <v>116</v>
      </c>
      <c r="O6" s="601" t="s">
        <v>108</v>
      </c>
      <c r="P6" s="592" t="s">
        <v>117</v>
      </c>
      <c r="Q6" s="596" t="s">
        <v>118</v>
      </c>
      <c r="R6" s="594" t="s">
        <v>41</v>
      </c>
      <c r="S6" s="592" t="s">
        <v>104</v>
      </c>
      <c r="T6" s="588" t="s">
        <v>119</v>
      </c>
      <c r="U6" s="586" t="s">
        <v>103</v>
      </c>
      <c r="V6" s="577" t="s">
        <v>102</v>
      </c>
    </row>
    <row r="7" spans="1:24" ht="14.25" customHeight="1" thickBot="1">
      <c r="D7" s="583"/>
      <c r="E7" s="602"/>
      <c r="F7" s="598"/>
      <c r="G7" s="597"/>
      <c r="H7" s="598"/>
      <c r="I7" s="597"/>
      <c r="J7" s="595"/>
      <c r="K7" s="593"/>
      <c r="L7" s="589"/>
      <c r="M7" s="591"/>
      <c r="N7" s="600"/>
      <c r="O7" s="602"/>
      <c r="P7" s="598"/>
      <c r="Q7" s="597"/>
      <c r="R7" s="595"/>
      <c r="S7" s="593"/>
      <c r="T7" s="589"/>
      <c r="U7" s="587"/>
      <c r="V7" s="579"/>
    </row>
    <row r="8" spans="1:24" ht="16.5">
      <c r="B8">
        <v>6</v>
      </c>
      <c r="D8" s="172" t="s">
        <v>8</v>
      </c>
      <c r="E8" s="203"/>
      <c r="F8" s="78"/>
      <c r="G8" s="78"/>
      <c r="H8" s="85"/>
      <c r="I8" s="138"/>
      <c r="J8" s="136"/>
      <c r="K8" s="257"/>
      <c r="L8" s="258"/>
      <c r="M8" s="328"/>
      <c r="N8" s="259"/>
      <c r="O8" s="292"/>
      <c r="P8" s="259"/>
      <c r="Q8" s="260"/>
      <c r="R8" s="256"/>
      <c r="S8" s="257"/>
      <c r="T8" s="258"/>
      <c r="U8" s="293"/>
      <c r="V8" s="199">
        <f t="shared" ref="V8:V22" si="0">ROUND(X8,-2)</f>
        <v>14300</v>
      </c>
      <c r="W8">
        <f t="shared" ref="W8:W22" si="1">B8*3+A8</f>
        <v>18</v>
      </c>
      <c r="X8">
        <f>Y26*W8</f>
        <v>14305.524861878452</v>
      </c>
    </row>
    <row r="9" spans="1:24" ht="16.5">
      <c r="B9">
        <v>10</v>
      </c>
      <c r="D9" s="173" t="s">
        <v>9</v>
      </c>
      <c r="E9" s="204"/>
      <c r="F9" s="4"/>
      <c r="G9" s="4"/>
      <c r="H9" s="5"/>
      <c r="I9" s="139"/>
      <c r="J9" s="253"/>
      <c r="K9" s="254"/>
      <c r="L9" s="255"/>
      <c r="M9" s="252"/>
      <c r="N9" s="5"/>
      <c r="O9" s="295"/>
      <c r="P9" s="242"/>
      <c r="Q9" s="261"/>
      <c r="R9" s="231"/>
      <c r="S9" s="232"/>
      <c r="T9" s="217"/>
      <c r="U9" s="294"/>
      <c r="V9" s="200">
        <f t="shared" si="0"/>
        <v>23800</v>
      </c>
      <c r="W9">
        <f t="shared" si="1"/>
        <v>30</v>
      </c>
      <c r="X9">
        <f>Y26*W9</f>
        <v>23842.541436464086</v>
      </c>
    </row>
    <row r="10" spans="1:24" ht="16.5">
      <c r="B10">
        <v>10</v>
      </c>
      <c r="D10" s="173" t="s">
        <v>27</v>
      </c>
      <c r="E10" s="204"/>
      <c r="F10" s="4"/>
      <c r="G10" s="4"/>
      <c r="H10" s="5"/>
      <c r="I10" s="139"/>
      <c r="J10" s="137"/>
      <c r="K10" s="224"/>
      <c r="L10" s="223"/>
      <c r="M10" s="252"/>
      <c r="N10" s="5"/>
      <c r="O10" s="295"/>
      <c r="P10" s="242"/>
      <c r="Q10" s="261"/>
      <c r="R10" s="231"/>
      <c r="S10" s="232"/>
      <c r="T10" s="217"/>
      <c r="U10" s="294"/>
      <c r="V10" s="200">
        <f t="shared" si="0"/>
        <v>23800</v>
      </c>
      <c r="W10">
        <f t="shared" si="1"/>
        <v>30</v>
      </c>
      <c r="X10">
        <f>Y26*W10</f>
        <v>23842.541436464086</v>
      </c>
    </row>
    <row r="11" spans="1:24" ht="16.5">
      <c r="A11">
        <v>4</v>
      </c>
      <c r="B11">
        <v>10</v>
      </c>
      <c r="D11" s="173" t="s">
        <v>20</v>
      </c>
      <c r="E11" s="204"/>
      <c r="F11" s="4"/>
      <c r="G11" s="4"/>
      <c r="H11" s="5"/>
      <c r="I11" s="139"/>
      <c r="J11" s="137"/>
      <c r="K11" s="254"/>
      <c r="L11" s="255"/>
      <c r="M11" s="264"/>
      <c r="N11" s="288"/>
      <c r="O11" s="307"/>
      <c r="P11" s="318"/>
      <c r="Q11" s="329"/>
      <c r="R11" s="330"/>
      <c r="S11" s="232"/>
      <c r="T11" s="217"/>
      <c r="U11" s="294"/>
      <c r="V11" s="200">
        <f t="shared" si="0"/>
        <v>27000</v>
      </c>
      <c r="W11">
        <f t="shared" si="1"/>
        <v>34</v>
      </c>
      <c r="X11">
        <f>Y26*W11</f>
        <v>27021.546961325967</v>
      </c>
    </row>
    <row r="12" spans="1:24" ht="16.5">
      <c r="A12">
        <v>1</v>
      </c>
      <c r="B12">
        <v>10</v>
      </c>
      <c r="D12" s="173" t="s">
        <v>11</v>
      </c>
      <c r="E12" s="301"/>
      <c r="F12" s="4"/>
      <c r="G12" s="4"/>
      <c r="H12" s="5"/>
      <c r="I12" s="139"/>
      <c r="J12" s="137"/>
      <c r="K12" s="254"/>
      <c r="L12" s="255"/>
      <c r="M12" s="264"/>
      <c r="N12" s="288"/>
      <c r="O12" s="307"/>
      <c r="P12" s="242"/>
      <c r="Q12" s="261"/>
      <c r="R12" s="231"/>
      <c r="S12" s="232"/>
      <c r="T12" s="217"/>
      <c r="U12" s="294"/>
      <c r="V12" s="200">
        <f t="shared" si="0"/>
        <v>24600</v>
      </c>
      <c r="W12">
        <f t="shared" si="1"/>
        <v>31</v>
      </c>
      <c r="X12">
        <f>Y26*W12</f>
        <v>24637.292817679558</v>
      </c>
    </row>
    <row r="13" spans="1:24" ht="16.5">
      <c r="A13">
        <v>1</v>
      </c>
      <c r="B13">
        <v>10</v>
      </c>
      <c r="D13" s="173" t="s">
        <v>18</v>
      </c>
      <c r="E13" s="300"/>
      <c r="F13" s="268"/>
      <c r="G13" s="142"/>
      <c r="H13" s="143"/>
      <c r="I13" s="144"/>
      <c r="J13" s="145"/>
      <c r="K13" s="265"/>
      <c r="L13" s="266"/>
      <c r="M13" s="267"/>
      <c r="N13" s="291"/>
      <c r="O13" s="303"/>
      <c r="P13" s="246"/>
      <c r="Q13" s="262"/>
      <c r="R13" s="263"/>
      <c r="S13" s="222"/>
      <c r="T13" s="221"/>
      <c r="U13" s="296"/>
      <c r="V13" s="200">
        <f t="shared" si="0"/>
        <v>24600</v>
      </c>
      <c r="W13">
        <f t="shared" si="1"/>
        <v>31</v>
      </c>
      <c r="X13">
        <f>Y26*W13</f>
        <v>24637.292817679558</v>
      </c>
    </row>
    <row r="14" spans="1:24" ht="16.5">
      <c r="B14">
        <v>9</v>
      </c>
      <c r="D14" s="174" t="s">
        <v>19</v>
      </c>
      <c r="E14" s="208"/>
      <c r="F14" s="273"/>
      <c r="G14" s="160"/>
      <c r="H14" s="161"/>
      <c r="I14" s="162"/>
      <c r="J14" s="163"/>
      <c r="K14" s="269"/>
      <c r="L14" s="270"/>
      <c r="M14" s="271"/>
      <c r="N14" s="280"/>
      <c r="O14" s="334"/>
      <c r="P14" s="236"/>
      <c r="Q14" s="237"/>
      <c r="R14" s="159"/>
      <c r="S14" s="219"/>
      <c r="T14" s="218"/>
      <c r="U14" s="297"/>
      <c r="V14" s="200">
        <f t="shared" si="0"/>
        <v>21500</v>
      </c>
      <c r="W14">
        <f t="shared" si="1"/>
        <v>27</v>
      </c>
      <c r="X14">
        <f>Y26*W14</f>
        <v>21458.287292817677</v>
      </c>
    </row>
    <row r="15" spans="1:24" ht="16.5">
      <c r="A15">
        <v>1</v>
      </c>
      <c r="B15">
        <v>9</v>
      </c>
      <c r="D15" s="175" t="s">
        <v>15</v>
      </c>
      <c r="E15" s="302"/>
      <c r="F15" s="322"/>
      <c r="G15" s="273"/>
      <c r="H15" s="274"/>
      <c r="I15" s="275"/>
      <c r="J15" s="276"/>
      <c r="K15" s="277"/>
      <c r="L15" s="278"/>
      <c r="M15" s="279"/>
      <c r="N15" s="274"/>
      <c r="O15" s="305"/>
      <c r="P15" s="234"/>
      <c r="Q15" s="110"/>
      <c r="R15" s="158"/>
      <c r="S15" s="235"/>
      <c r="T15" s="220"/>
      <c r="U15" s="298"/>
      <c r="V15" s="200">
        <f t="shared" si="0"/>
        <v>22300</v>
      </c>
      <c r="W15">
        <f t="shared" si="1"/>
        <v>28</v>
      </c>
      <c r="X15">
        <f>Y26*W15</f>
        <v>22253.038674033149</v>
      </c>
    </row>
    <row r="16" spans="1:24" ht="16.5">
      <c r="A16">
        <v>6</v>
      </c>
      <c r="B16">
        <v>8</v>
      </c>
      <c r="D16" s="225" t="s">
        <v>105</v>
      </c>
      <c r="E16" s="233"/>
      <c r="F16" s="147"/>
      <c r="G16" s="272"/>
      <c r="H16" s="280"/>
      <c r="I16" s="281"/>
      <c r="J16" s="282"/>
      <c r="K16" s="269"/>
      <c r="L16" s="270"/>
      <c r="M16" s="279"/>
      <c r="N16" s="280"/>
      <c r="O16" s="304"/>
      <c r="P16" s="309"/>
      <c r="Q16" s="171"/>
      <c r="R16" s="310"/>
      <c r="S16" s="311"/>
      <c r="T16" s="312"/>
      <c r="U16" s="297"/>
      <c r="V16" s="200">
        <f t="shared" si="0"/>
        <v>23800</v>
      </c>
      <c r="W16">
        <f t="shared" si="1"/>
        <v>30</v>
      </c>
      <c r="X16">
        <f>Y26*W16</f>
        <v>23842.541436464086</v>
      </c>
    </row>
    <row r="17" spans="1:25" ht="16.5">
      <c r="A17">
        <v>6</v>
      </c>
      <c r="B17">
        <v>8</v>
      </c>
      <c r="D17" s="227" t="s">
        <v>106</v>
      </c>
      <c r="E17" s="208"/>
      <c r="F17" s="147"/>
      <c r="G17" s="272"/>
      <c r="H17" s="280"/>
      <c r="I17" s="281"/>
      <c r="J17" s="282"/>
      <c r="K17" s="269"/>
      <c r="L17" s="270"/>
      <c r="M17" s="271"/>
      <c r="N17" s="280"/>
      <c r="O17" s="304"/>
      <c r="P17" s="309"/>
      <c r="Q17" s="171"/>
      <c r="R17" s="310"/>
      <c r="S17" s="311"/>
      <c r="T17" s="312"/>
      <c r="U17" s="297"/>
      <c r="V17" s="200">
        <f t="shared" si="0"/>
        <v>23800</v>
      </c>
      <c r="W17">
        <f t="shared" si="1"/>
        <v>30</v>
      </c>
      <c r="X17">
        <f>Y26*W17</f>
        <v>23842.541436464086</v>
      </c>
    </row>
    <row r="18" spans="1:25" ht="16.5">
      <c r="A18">
        <v>6</v>
      </c>
      <c r="B18">
        <v>6</v>
      </c>
      <c r="D18" s="226" t="s">
        <v>14</v>
      </c>
      <c r="E18" s="209"/>
      <c r="F18" s="148"/>
      <c r="G18" s="148"/>
      <c r="H18" s="238"/>
      <c r="I18" s="283"/>
      <c r="J18" s="284"/>
      <c r="K18" s="285"/>
      <c r="L18" s="286"/>
      <c r="M18" s="284"/>
      <c r="N18" s="287"/>
      <c r="O18" s="306"/>
      <c r="P18" s="313"/>
      <c r="Q18" s="314"/>
      <c r="R18" s="315"/>
      <c r="S18" s="316"/>
      <c r="T18" s="317"/>
      <c r="U18" s="331"/>
      <c r="V18" s="200">
        <f t="shared" si="0"/>
        <v>19100</v>
      </c>
      <c r="W18">
        <f t="shared" si="1"/>
        <v>24</v>
      </c>
      <c r="X18">
        <f>Y26*W18</f>
        <v>19074.033149171271</v>
      </c>
    </row>
    <row r="19" spans="1:25" ht="16.5">
      <c r="A19">
        <v>6</v>
      </c>
      <c r="B19">
        <v>3</v>
      </c>
      <c r="D19" s="226" t="s">
        <v>25</v>
      </c>
      <c r="E19" s="209"/>
      <c r="F19" s="148"/>
      <c r="G19" s="148"/>
      <c r="H19" s="238"/>
      <c r="I19" s="239"/>
      <c r="J19" s="240"/>
      <c r="K19" s="241"/>
      <c r="L19" s="286"/>
      <c r="M19" s="284"/>
      <c r="N19" s="287"/>
      <c r="O19" s="306"/>
      <c r="P19" s="313"/>
      <c r="Q19" s="314"/>
      <c r="R19" s="315"/>
      <c r="S19" s="316"/>
      <c r="T19" s="317"/>
      <c r="U19" s="331"/>
      <c r="V19" s="200">
        <f t="shared" si="0"/>
        <v>11900</v>
      </c>
      <c r="W19">
        <f t="shared" si="1"/>
        <v>15</v>
      </c>
      <c r="X19">
        <f>Y26*W19</f>
        <v>11921.270718232043</v>
      </c>
    </row>
    <row r="20" spans="1:25" ht="16.5">
      <c r="A20">
        <v>6</v>
      </c>
      <c r="B20">
        <v>3</v>
      </c>
      <c r="D20" s="227" t="s">
        <v>107</v>
      </c>
      <c r="E20" s="210"/>
      <c r="F20" s="149"/>
      <c r="G20" s="149"/>
      <c r="H20" s="242"/>
      <c r="I20" s="239"/>
      <c r="J20" s="243"/>
      <c r="K20" s="232"/>
      <c r="L20" s="255"/>
      <c r="M20" s="264"/>
      <c r="N20" s="288"/>
      <c r="O20" s="307"/>
      <c r="P20" s="318"/>
      <c r="Q20" s="314"/>
      <c r="R20" s="319"/>
      <c r="S20" s="320"/>
      <c r="T20" s="321"/>
      <c r="U20" s="294"/>
      <c r="V20" s="200">
        <f t="shared" si="0"/>
        <v>11900</v>
      </c>
      <c r="W20">
        <f t="shared" si="1"/>
        <v>15</v>
      </c>
      <c r="X20">
        <f>Y26*W20</f>
        <v>11921.270718232043</v>
      </c>
    </row>
    <row r="21" spans="1:25" ht="16.5">
      <c r="A21">
        <v>6</v>
      </c>
      <c r="B21">
        <v>2</v>
      </c>
      <c r="D21" s="230" t="s">
        <v>13</v>
      </c>
      <c r="E21" s="244"/>
      <c r="F21" s="245"/>
      <c r="G21" s="245"/>
      <c r="H21" s="246"/>
      <c r="I21" s="110"/>
      <c r="J21" s="247"/>
      <c r="K21" s="222"/>
      <c r="L21" s="221"/>
      <c r="M21" s="267"/>
      <c r="N21" s="291"/>
      <c r="O21" s="303"/>
      <c r="P21" s="324"/>
      <c r="Q21" s="170"/>
      <c r="R21" s="325"/>
      <c r="S21" s="326"/>
      <c r="T21" s="327"/>
      <c r="U21" s="296"/>
      <c r="V21" s="200">
        <f t="shared" si="0"/>
        <v>9500</v>
      </c>
      <c r="W21">
        <f t="shared" si="1"/>
        <v>12</v>
      </c>
      <c r="X21">
        <f>Y26*W21</f>
        <v>9537.0165745856357</v>
      </c>
    </row>
    <row r="22" spans="1:25" ht="17.25" thickBot="1">
      <c r="A22">
        <v>1</v>
      </c>
      <c r="B22">
        <v>2</v>
      </c>
      <c r="D22" s="228" t="s">
        <v>26</v>
      </c>
      <c r="E22" s="248"/>
      <c r="F22" s="27"/>
      <c r="G22" s="27"/>
      <c r="H22" s="249"/>
      <c r="I22" s="119"/>
      <c r="J22" s="250"/>
      <c r="K22" s="251"/>
      <c r="L22" s="229"/>
      <c r="M22" s="289"/>
      <c r="N22" s="290"/>
      <c r="O22" s="308"/>
      <c r="P22" s="249"/>
      <c r="Q22" s="119"/>
      <c r="R22" s="250"/>
      <c r="S22" s="251"/>
      <c r="T22" s="229"/>
      <c r="U22" s="323"/>
      <c r="V22" s="212">
        <f t="shared" si="0"/>
        <v>5600</v>
      </c>
      <c r="W22">
        <f t="shared" si="1"/>
        <v>7</v>
      </c>
      <c r="X22">
        <f>Y26*W22</f>
        <v>5563.2596685082872</v>
      </c>
    </row>
    <row r="23" spans="1:25">
      <c r="V23" s="135"/>
      <c r="Y23" s="299"/>
    </row>
    <row r="24" spans="1:25">
      <c r="V24" s="135">
        <f>SUM(V8:V22)</f>
        <v>287500</v>
      </c>
    </row>
    <row r="26" spans="1:25">
      <c r="A26">
        <f>SUM(A11:A22)</f>
        <v>44</v>
      </c>
      <c r="B26">
        <f>SUM(B8:B22)*3</f>
        <v>318</v>
      </c>
      <c r="S26">
        <f>SUM(A26:B26)</f>
        <v>362</v>
      </c>
      <c r="Y26" s="299">
        <f>287700/S26</f>
        <v>794.75138121546956</v>
      </c>
    </row>
    <row r="27" spans="1:25">
      <c r="X27" s="299"/>
    </row>
    <row r="32" spans="1:25">
      <c r="S32" s="299"/>
    </row>
  </sheetData>
  <mergeCells count="19">
    <mergeCell ref="I6:I7"/>
    <mergeCell ref="J6:J7"/>
    <mergeCell ref="K6:K7"/>
    <mergeCell ref="D6:D7"/>
    <mergeCell ref="E6:E7"/>
    <mergeCell ref="F6:F7"/>
    <mergeCell ref="G6:G7"/>
    <mergeCell ref="H6:H7"/>
    <mergeCell ref="U6:U7"/>
    <mergeCell ref="V6:V7"/>
    <mergeCell ref="L6:L7"/>
    <mergeCell ref="M6:M7"/>
    <mergeCell ref="T6:T7"/>
    <mergeCell ref="S6:S7"/>
    <mergeCell ref="R6:R7"/>
    <mergeCell ref="Q6:Q7"/>
    <mergeCell ref="P6:P7"/>
    <mergeCell ref="N6:N7"/>
    <mergeCell ref="O6:O7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33D8-8B1E-43DF-9E95-4CFEFB53984F}">
  <dimension ref="B4:J25"/>
  <sheetViews>
    <sheetView topLeftCell="A4" workbookViewId="0">
      <selection activeCell="M4" sqref="M4"/>
    </sheetView>
  </sheetViews>
  <sheetFormatPr defaultRowHeight="13.5"/>
  <cols>
    <col min="3" max="8" width="11.75" bestFit="1" customWidth="1"/>
  </cols>
  <sheetData>
    <row r="4" spans="2:10" ht="14.25" thickBot="1"/>
    <row r="5" spans="2:10" ht="16.5">
      <c r="B5" s="606" t="s">
        <v>135</v>
      </c>
      <c r="C5" s="333" t="s">
        <v>128</v>
      </c>
      <c r="D5" s="332" t="s">
        <v>130</v>
      </c>
      <c r="E5" s="156" t="s">
        <v>131</v>
      </c>
      <c r="F5" s="156" t="s">
        <v>132</v>
      </c>
      <c r="G5" s="156" t="s">
        <v>133</v>
      </c>
      <c r="H5" s="335" t="s">
        <v>134</v>
      </c>
      <c r="I5" s="577" t="s">
        <v>16</v>
      </c>
      <c r="J5" s="577" t="s">
        <v>102</v>
      </c>
    </row>
    <row r="6" spans="2:10" ht="17.25" thickBot="1">
      <c r="B6" s="607"/>
      <c r="C6" s="359" t="s">
        <v>129</v>
      </c>
      <c r="D6" s="608" t="s">
        <v>136</v>
      </c>
      <c r="E6" s="608"/>
      <c r="F6" s="608"/>
      <c r="G6" s="608"/>
      <c r="H6" s="609"/>
      <c r="I6" s="579"/>
      <c r="J6" s="579"/>
    </row>
    <row r="7" spans="2:10" ht="16.5">
      <c r="B7" s="172" t="s">
        <v>7</v>
      </c>
      <c r="C7" s="360">
        <v>35000</v>
      </c>
      <c r="D7" s="372"/>
      <c r="E7" s="338">
        <v>11000</v>
      </c>
      <c r="F7" s="283">
        <v>6000</v>
      </c>
      <c r="G7" s="339">
        <v>2000</v>
      </c>
      <c r="H7" s="194"/>
      <c r="I7" s="199"/>
      <c r="J7" s="199">
        <f t="shared" ref="J7:J21" si="0">SUM(C7:I7)</f>
        <v>54000</v>
      </c>
    </row>
    <row r="8" spans="2:10" ht="16.5">
      <c r="B8" s="173" t="s">
        <v>125</v>
      </c>
      <c r="C8" s="361">
        <v>35000</v>
      </c>
      <c r="D8" s="373"/>
      <c r="E8" s="340">
        <v>11000</v>
      </c>
      <c r="F8" s="341">
        <v>6000</v>
      </c>
      <c r="G8" s="253">
        <v>2000</v>
      </c>
      <c r="H8" s="189"/>
      <c r="I8" s="200"/>
      <c r="J8" s="200">
        <f t="shared" si="0"/>
        <v>54000</v>
      </c>
    </row>
    <row r="9" spans="2:10" ht="16.5">
      <c r="B9" s="173" t="s">
        <v>124</v>
      </c>
      <c r="C9" s="361">
        <v>35000</v>
      </c>
      <c r="D9" s="373"/>
      <c r="E9" s="340">
        <v>11000</v>
      </c>
      <c r="F9" s="341">
        <v>6000</v>
      </c>
      <c r="G9" s="253">
        <v>2000</v>
      </c>
      <c r="H9" s="189"/>
      <c r="I9" s="200"/>
      <c r="J9" s="200">
        <f t="shared" si="0"/>
        <v>54000</v>
      </c>
    </row>
    <row r="10" spans="2:10" ht="16.5">
      <c r="B10" s="342" t="s">
        <v>122</v>
      </c>
      <c r="C10" s="362">
        <v>35000</v>
      </c>
      <c r="D10" s="374"/>
      <c r="E10" s="345">
        <v>11000</v>
      </c>
      <c r="F10" s="329">
        <v>6000</v>
      </c>
      <c r="G10" s="231"/>
      <c r="H10" s="189"/>
      <c r="I10" s="200"/>
      <c r="J10" s="200">
        <f t="shared" si="0"/>
        <v>52000</v>
      </c>
    </row>
    <row r="11" spans="2:10" ht="16.5">
      <c r="B11" s="342" t="s">
        <v>24</v>
      </c>
      <c r="C11" s="362">
        <v>35000</v>
      </c>
      <c r="D11" s="374"/>
      <c r="E11" s="345">
        <v>11000</v>
      </c>
      <c r="F11" s="329">
        <v>6000</v>
      </c>
      <c r="G11" s="231"/>
      <c r="H11" s="189"/>
      <c r="I11" s="200"/>
      <c r="J11" s="200">
        <f t="shared" si="0"/>
        <v>52000</v>
      </c>
    </row>
    <row r="12" spans="2:10" ht="16.5">
      <c r="B12" s="343" t="s">
        <v>121</v>
      </c>
      <c r="C12" s="363">
        <v>35000</v>
      </c>
      <c r="D12" s="375"/>
      <c r="E12" s="346">
        <v>11000</v>
      </c>
      <c r="F12" s="347">
        <v>6000</v>
      </c>
      <c r="G12" s="263"/>
      <c r="H12" s="190"/>
      <c r="I12" s="200"/>
      <c r="J12" s="200">
        <f t="shared" si="0"/>
        <v>52000</v>
      </c>
    </row>
    <row r="13" spans="2:10" ht="16.5">
      <c r="B13" s="344" t="s">
        <v>120</v>
      </c>
      <c r="C13" s="364">
        <v>35000</v>
      </c>
      <c r="D13" s="376"/>
      <c r="E13" s="348">
        <v>11000</v>
      </c>
      <c r="F13" s="171">
        <v>6000</v>
      </c>
      <c r="G13" s="159"/>
      <c r="H13" s="191"/>
      <c r="I13" s="200"/>
      <c r="J13" s="200">
        <f t="shared" si="0"/>
        <v>52000</v>
      </c>
    </row>
    <row r="14" spans="2:10" ht="16.5">
      <c r="B14" s="349" t="s">
        <v>23</v>
      </c>
      <c r="C14" s="365">
        <v>35000</v>
      </c>
      <c r="D14" s="369"/>
      <c r="E14" s="158"/>
      <c r="F14" s="158"/>
      <c r="G14" s="158"/>
      <c r="H14" s="192"/>
      <c r="I14" s="201"/>
      <c r="J14" s="200">
        <f t="shared" si="0"/>
        <v>35000</v>
      </c>
    </row>
    <row r="15" spans="2:10" ht="16.5">
      <c r="B15" s="349" t="s">
        <v>14</v>
      </c>
      <c r="C15" s="365">
        <v>35000</v>
      </c>
      <c r="D15" s="369"/>
      <c r="E15" s="158"/>
      <c r="F15" s="158"/>
      <c r="G15" s="158"/>
      <c r="H15" s="192"/>
      <c r="I15" s="201"/>
      <c r="J15" s="200">
        <f t="shared" si="0"/>
        <v>35000</v>
      </c>
    </row>
    <row r="16" spans="2:10" ht="16.5">
      <c r="B16" s="350" t="s">
        <v>123</v>
      </c>
      <c r="C16" s="365">
        <v>35000</v>
      </c>
      <c r="D16" s="369"/>
      <c r="E16" s="159"/>
      <c r="F16" s="159"/>
      <c r="G16" s="159"/>
      <c r="H16" s="297"/>
      <c r="I16" s="201"/>
      <c r="J16" s="200">
        <f t="shared" si="0"/>
        <v>35000</v>
      </c>
    </row>
    <row r="17" spans="2:10" ht="16.5">
      <c r="B17" s="351" t="s">
        <v>9</v>
      </c>
      <c r="C17" s="366"/>
      <c r="D17" s="371"/>
      <c r="E17" s="352">
        <v>11000</v>
      </c>
      <c r="F17" s="352">
        <v>6000</v>
      </c>
      <c r="G17" s="352">
        <v>2000</v>
      </c>
      <c r="H17" s="353">
        <v>1000</v>
      </c>
      <c r="I17" s="202"/>
      <c r="J17" s="200">
        <f t="shared" si="0"/>
        <v>20000</v>
      </c>
    </row>
    <row r="18" spans="2:10" ht="16.5">
      <c r="B18" s="351" t="s">
        <v>127</v>
      </c>
      <c r="C18" s="367"/>
      <c r="D18" s="357">
        <v>6000</v>
      </c>
      <c r="E18" s="354">
        <v>11000</v>
      </c>
      <c r="F18" s="354">
        <v>6000</v>
      </c>
      <c r="G18" s="354">
        <v>2000</v>
      </c>
      <c r="H18" s="355">
        <v>1000</v>
      </c>
      <c r="I18" s="202"/>
      <c r="J18" s="200">
        <f t="shared" si="0"/>
        <v>26000</v>
      </c>
    </row>
    <row r="19" spans="2:10" ht="16.5">
      <c r="B19" s="351" t="s">
        <v>126</v>
      </c>
      <c r="C19" s="367"/>
      <c r="D19" s="357">
        <v>6000</v>
      </c>
      <c r="E19" s="354">
        <v>11000</v>
      </c>
      <c r="F19" s="354">
        <v>6000</v>
      </c>
      <c r="G19" s="354">
        <v>2000</v>
      </c>
      <c r="H19" s="355">
        <v>1000</v>
      </c>
      <c r="I19" s="202"/>
      <c r="J19" s="200">
        <f t="shared" si="0"/>
        <v>26000</v>
      </c>
    </row>
    <row r="20" spans="2:10" ht="17.25" thickBot="1">
      <c r="B20" s="181" t="s">
        <v>10</v>
      </c>
      <c r="C20" s="368"/>
      <c r="D20" s="358"/>
      <c r="E20" s="336"/>
      <c r="F20" s="336"/>
      <c r="G20" s="336"/>
      <c r="H20" s="356">
        <v>1000</v>
      </c>
      <c r="I20" s="212">
        <v>-192000</v>
      </c>
      <c r="J20" s="212">
        <f t="shared" si="0"/>
        <v>-191000</v>
      </c>
    </row>
    <row r="21" spans="2:10" ht="17.25" thickBot="1">
      <c r="B21" s="182" t="s">
        <v>4</v>
      </c>
      <c r="C21" s="377">
        <v>250000</v>
      </c>
      <c r="D21" s="370"/>
      <c r="E21" s="337">
        <v>0</v>
      </c>
      <c r="F21" s="214">
        <v>0</v>
      </c>
      <c r="G21" s="214">
        <v>0</v>
      </c>
      <c r="H21" s="215">
        <v>0</v>
      </c>
      <c r="I21" s="216"/>
      <c r="J21" s="216">
        <f t="shared" si="0"/>
        <v>250000</v>
      </c>
    </row>
    <row r="22" spans="2:10" ht="18" thickTop="1" thickBot="1">
      <c r="B22" s="134" t="s">
        <v>3</v>
      </c>
      <c r="C22" s="27">
        <f>SUM(C7:C20)+C21</f>
        <v>600000</v>
      </c>
      <c r="D22" s="603">
        <v>192000</v>
      </c>
      <c r="E22" s="604"/>
      <c r="F22" s="604"/>
      <c r="G22" s="604"/>
      <c r="H22" s="605"/>
      <c r="I22" s="185">
        <f>SUM(I7:I21)</f>
        <v>-192000</v>
      </c>
      <c r="J22" s="185">
        <f>SUM(J7:J20)+J21</f>
        <v>606000</v>
      </c>
    </row>
    <row r="23" spans="2:10">
      <c r="D23" s="135"/>
      <c r="E23" s="135"/>
      <c r="F23" s="135"/>
      <c r="G23" s="135"/>
    </row>
    <row r="25" spans="2:10">
      <c r="F25" s="135"/>
    </row>
  </sheetData>
  <mergeCells count="5">
    <mergeCell ref="D22:H22"/>
    <mergeCell ref="B5:B6"/>
    <mergeCell ref="I5:I6"/>
    <mergeCell ref="J5:J6"/>
    <mergeCell ref="D6:H6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6B77-56DB-494D-9D05-51940014BA2E}">
  <dimension ref="B3:G19"/>
  <sheetViews>
    <sheetView workbookViewId="0">
      <selection activeCell="B4" sqref="B4:F11"/>
    </sheetView>
  </sheetViews>
  <sheetFormatPr defaultRowHeight="13.5"/>
  <cols>
    <col min="4" max="4" width="9.5" bestFit="1" customWidth="1"/>
    <col min="7" max="7" width="9.5" bestFit="1" customWidth="1"/>
  </cols>
  <sheetData>
    <row r="3" spans="2:7" ht="14.25" thickBot="1"/>
    <row r="4" spans="2:7">
      <c r="B4" s="610" t="s">
        <v>0</v>
      </c>
      <c r="C4" s="610" t="s">
        <v>138</v>
      </c>
      <c r="D4" s="610" t="s">
        <v>139</v>
      </c>
      <c r="E4" s="610" t="s">
        <v>16</v>
      </c>
      <c r="F4" s="610" t="s">
        <v>102</v>
      </c>
    </row>
    <row r="5" spans="2:7" ht="14.25" thickBot="1">
      <c r="B5" s="611"/>
      <c r="C5" s="611"/>
      <c r="D5" s="611"/>
      <c r="E5" s="611"/>
      <c r="F5" s="611"/>
    </row>
    <row r="6" spans="2:7" ht="16.5">
      <c r="B6" s="380" t="s">
        <v>120</v>
      </c>
      <c r="C6" s="381">
        <v>24600</v>
      </c>
      <c r="D6" s="381">
        <v>23500</v>
      </c>
      <c r="E6" s="381">
        <v>-74000</v>
      </c>
      <c r="F6" s="381">
        <f>SUM(C6:E6)</f>
        <v>-25900</v>
      </c>
      <c r="G6" s="135">
        <f>F6+C8</f>
        <v>-1200</v>
      </c>
    </row>
    <row r="7" spans="2:7" ht="16.5">
      <c r="B7" s="382" t="s">
        <v>24</v>
      </c>
      <c r="C7" s="383">
        <v>24700</v>
      </c>
      <c r="D7" s="383">
        <v>24000</v>
      </c>
      <c r="E7" s="383">
        <v>-119500</v>
      </c>
      <c r="F7" s="383">
        <f>SUM(C7:E7)</f>
        <v>-70800</v>
      </c>
      <c r="G7" s="135">
        <f>F7+D8</f>
        <v>-46800</v>
      </c>
    </row>
    <row r="8" spans="2:7" ht="16.5">
      <c r="B8" s="382" t="s">
        <v>19</v>
      </c>
      <c r="C8" s="383">
        <v>24700</v>
      </c>
      <c r="D8" s="383">
        <v>24000</v>
      </c>
      <c r="E8" s="383"/>
      <c r="F8" s="383">
        <f t="shared" ref="F8:F10" si="0">SUM(C8:E8)</f>
        <v>48700</v>
      </c>
      <c r="G8" s="135">
        <f>F8-F8</f>
        <v>0</v>
      </c>
    </row>
    <row r="9" spans="2:7" ht="16.5">
      <c r="B9" s="382" t="s">
        <v>7</v>
      </c>
      <c r="C9" s="383"/>
      <c r="D9" s="383">
        <v>24000</v>
      </c>
      <c r="E9" s="383"/>
      <c r="F9" s="383">
        <f t="shared" si="0"/>
        <v>24000</v>
      </c>
      <c r="G9" s="135">
        <f>F9</f>
        <v>24000</v>
      </c>
    </row>
    <row r="10" spans="2:7" ht="17.25" thickBot="1">
      <c r="B10" s="384" t="s">
        <v>137</v>
      </c>
      <c r="C10" s="385"/>
      <c r="D10" s="385">
        <v>24000</v>
      </c>
      <c r="E10" s="385"/>
      <c r="F10" s="383">
        <f t="shared" si="0"/>
        <v>24000</v>
      </c>
      <c r="G10" s="135">
        <f>F10</f>
        <v>24000</v>
      </c>
    </row>
    <row r="11" spans="2:7" ht="17.25" thickBot="1">
      <c r="B11" s="378" t="s">
        <v>3</v>
      </c>
      <c r="C11" s="379">
        <v>74000</v>
      </c>
      <c r="D11" s="379">
        <v>119500</v>
      </c>
      <c r="E11" s="379"/>
      <c r="F11" s="379">
        <f>SUM(F6:F10)</f>
        <v>0</v>
      </c>
    </row>
    <row r="12" spans="2:7">
      <c r="C12" s="17"/>
      <c r="D12" s="17"/>
    </row>
    <row r="14" spans="2:7">
      <c r="D14" s="135"/>
    </row>
    <row r="19" spans="4:4">
      <c r="D19" s="135"/>
    </row>
  </sheetData>
  <mergeCells count="5">
    <mergeCell ref="B4:B5"/>
    <mergeCell ref="C4:C5"/>
    <mergeCell ref="D4:D5"/>
    <mergeCell ref="E4:E5"/>
    <mergeCell ref="F4:F5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36AF-D65A-4BA6-B21A-13D7EA344D4F}">
  <dimension ref="C3:D15"/>
  <sheetViews>
    <sheetView workbookViewId="0">
      <selection activeCell="D6" sqref="D6"/>
    </sheetView>
  </sheetViews>
  <sheetFormatPr defaultRowHeight="13.5"/>
  <sheetData>
    <row r="3" spans="3:4" ht="14.25" thickBot="1"/>
    <row r="4" spans="3:4">
      <c r="C4" s="564" t="s">
        <v>0</v>
      </c>
      <c r="D4" s="564" t="s">
        <v>87</v>
      </c>
    </row>
    <row r="5" spans="3:4" ht="14.25" thickBot="1">
      <c r="C5" s="565"/>
      <c r="D5" s="565"/>
    </row>
    <row r="6" spans="3:4" ht="16.5">
      <c r="C6" s="76" t="s">
        <v>127</v>
      </c>
      <c r="D6" s="87">
        <v>28000</v>
      </c>
    </row>
    <row r="7" spans="3:4" ht="16.5">
      <c r="C7" s="15" t="s">
        <v>126</v>
      </c>
      <c r="D7" s="88">
        <v>28000</v>
      </c>
    </row>
    <row r="8" spans="3:4" ht="16.5">
      <c r="C8" s="15" t="s">
        <v>7</v>
      </c>
      <c r="D8" s="88">
        <v>24000</v>
      </c>
    </row>
    <row r="9" spans="3:4" ht="16.5">
      <c r="C9" s="15" t="s">
        <v>10</v>
      </c>
      <c r="D9" s="88">
        <v>20000</v>
      </c>
    </row>
    <row r="10" spans="3:4" ht="16.5">
      <c r="C10" s="15" t="s">
        <v>13</v>
      </c>
      <c r="D10" s="88">
        <v>12000</v>
      </c>
    </row>
    <row r="11" spans="3:4" ht="16.5">
      <c r="C11" s="15" t="s">
        <v>25</v>
      </c>
      <c r="D11" s="88">
        <v>9000</v>
      </c>
    </row>
    <row r="12" spans="3:4" ht="16.5">
      <c r="C12" s="15" t="s">
        <v>27</v>
      </c>
      <c r="D12" s="88">
        <v>9000</v>
      </c>
    </row>
    <row r="13" spans="3:4" ht="17.25" thickBot="1">
      <c r="C13" s="26" t="s">
        <v>3</v>
      </c>
      <c r="D13" s="28">
        <v>130000</v>
      </c>
    </row>
    <row r="15" spans="3:4">
      <c r="D15" s="135">
        <f>SUM(D6:D12)</f>
        <v>130000</v>
      </c>
    </row>
  </sheetData>
  <mergeCells count="2">
    <mergeCell ref="C4:C5"/>
    <mergeCell ref="D4:D5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FDB9-1B02-4D8D-A782-C765A636A253}">
  <dimension ref="B2:M33"/>
  <sheetViews>
    <sheetView workbookViewId="0">
      <selection activeCell="B31" sqref="B31:D31"/>
    </sheetView>
  </sheetViews>
  <sheetFormatPr defaultRowHeight="13.5"/>
  <sheetData>
    <row r="2" spans="2:13" ht="14.25" thickBot="1"/>
    <row r="3" spans="2:13" ht="16.5">
      <c r="B3" s="564" t="s">
        <v>0</v>
      </c>
      <c r="C3" s="386" t="s">
        <v>136</v>
      </c>
      <c r="D3" s="566" t="s">
        <v>145</v>
      </c>
      <c r="E3" s="568" t="s">
        <v>1</v>
      </c>
      <c r="F3" s="570" t="s">
        <v>5</v>
      </c>
      <c r="G3" s="571" t="s">
        <v>2</v>
      </c>
      <c r="H3" s="572"/>
      <c r="I3" s="572"/>
      <c r="J3" s="572"/>
      <c r="K3" s="573"/>
      <c r="L3" s="564" t="s">
        <v>16</v>
      </c>
      <c r="M3" s="564" t="s">
        <v>3</v>
      </c>
    </row>
    <row r="4" spans="2:13" ht="17.25" thickBot="1">
      <c r="B4" s="565"/>
      <c r="C4" s="387" t="s">
        <v>144</v>
      </c>
      <c r="D4" s="567"/>
      <c r="E4" s="569"/>
      <c r="F4" s="569"/>
      <c r="G4" s="391" t="s">
        <v>159</v>
      </c>
      <c r="H4" s="70" t="s">
        <v>160</v>
      </c>
      <c r="I4" s="70" t="s">
        <v>161</v>
      </c>
      <c r="J4" s="70" t="s">
        <v>162</v>
      </c>
      <c r="K4" s="70" t="s">
        <v>163</v>
      </c>
      <c r="L4" s="612"/>
      <c r="M4" s="612"/>
    </row>
    <row r="5" spans="2:13" ht="16.5">
      <c r="B5" s="76" t="s">
        <v>7</v>
      </c>
      <c r="C5" s="77" t="s">
        <v>146</v>
      </c>
      <c r="D5" s="77" t="s">
        <v>155</v>
      </c>
      <c r="E5" s="78">
        <v>0</v>
      </c>
      <c r="F5" s="78">
        <v>5780</v>
      </c>
      <c r="G5" s="78">
        <v>3900</v>
      </c>
      <c r="H5" s="78">
        <v>200</v>
      </c>
      <c r="I5" s="78">
        <v>0</v>
      </c>
      <c r="J5" s="78">
        <v>1300</v>
      </c>
      <c r="K5" s="85">
        <v>2100</v>
      </c>
      <c r="L5" s="87"/>
      <c r="M5" s="79">
        <f>SUM(E5:K5)-L5</f>
        <v>13280</v>
      </c>
    </row>
    <row r="6" spans="2:13" ht="16.5">
      <c r="B6" s="15" t="s">
        <v>11</v>
      </c>
      <c r="C6" s="3" t="s">
        <v>146</v>
      </c>
      <c r="D6" s="3" t="s">
        <v>155</v>
      </c>
      <c r="E6" s="4">
        <v>0</v>
      </c>
      <c r="F6" s="4">
        <v>5660</v>
      </c>
      <c r="G6" s="4">
        <v>3900</v>
      </c>
      <c r="H6" s="4">
        <v>100</v>
      </c>
      <c r="I6" s="4">
        <v>180</v>
      </c>
      <c r="J6" s="4">
        <v>1300</v>
      </c>
      <c r="K6" s="5">
        <v>2200</v>
      </c>
      <c r="L6" s="88"/>
      <c r="M6" s="80">
        <f>SUM(E6:K6)-L6</f>
        <v>13340</v>
      </c>
    </row>
    <row r="7" spans="2:13" ht="16.5">
      <c r="B7" s="15" t="s">
        <v>9</v>
      </c>
      <c r="C7" s="3" t="s">
        <v>146</v>
      </c>
      <c r="D7" s="3" t="s">
        <v>155</v>
      </c>
      <c r="E7" s="4">
        <v>0</v>
      </c>
      <c r="F7" s="4">
        <v>5660</v>
      </c>
      <c r="G7" s="4">
        <v>3900</v>
      </c>
      <c r="H7" s="4">
        <v>100</v>
      </c>
      <c r="I7" s="4">
        <v>180</v>
      </c>
      <c r="J7" s="4">
        <v>1300</v>
      </c>
      <c r="K7" s="5">
        <v>2200</v>
      </c>
      <c r="L7" s="88"/>
      <c r="M7" s="80">
        <f t="shared" ref="M7:M30" si="0">SUM(E7:K7)-L7</f>
        <v>13340</v>
      </c>
    </row>
    <row r="8" spans="2:13" ht="16.5">
      <c r="B8" s="15" t="s">
        <v>20</v>
      </c>
      <c r="C8" s="3" t="s">
        <v>146</v>
      </c>
      <c r="D8" s="3" t="s">
        <v>30</v>
      </c>
      <c r="E8" s="4">
        <v>0</v>
      </c>
      <c r="F8" s="4">
        <v>5660</v>
      </c>
      <c r="G8" s="4">
        <v>3900</v>
      </c>
      <c r="H8" s="4">
        <v>100</v>
      </c>
      <c r="I8" s="4">
        <v>180</v>
      </c>
      <c r="J8" s="4">
        <v>1300</v>
      </c>
      <c r="K8" s="5">
        <v>2200</v>
      </c>
      <c r="L8" s="398">
        <v>37500</v>
      </c>
      <c r="M8" s="80">
        <f t="shared" si="0"/>
        <v>-24160</v>
      </c>
    </row>
    <row r="9" spans="2:13" ht="16.5">
      <c r="B9" s="15" t="s">
        <v>141</v>
      </c>
      <c r="C9" s="3" t="s">
        <v>146</v>
      </c>
      <c r="D9" s="3" t="s">
        <v>155</v>
      </c>
      <c r="E9" s="4">
        <v>0</v>
      </c>
      <c r="F9" s="4">
        <v>5660</v>
      </c>
      <c r="G9" s="4">
        <v>3900</v>
      </c>
      <c r="H9" s="4">
        <v>100</v>
      </c>
      <c r="I9" s="4">
        <v>180</v>
      </c>
      <c r="J9" s="4">
        <v>1300</v>
      </c>
      <c r="K9" s="5">
        <v>2200</v>
      </c>
      <c r="L9" s="88"/>
      <c r="M9" s="80">
        <f t="shared" si="0"/>
        <v>13340</v>
      </c>
    </row>
    <row r="10" spans="2:13" ht="16.5">
      <c r="B10" s="15" t="s">
        <v>140</v>
      </c>
      <c r="C10" s="3" t="s">
        <v>146</v>
      </c>
      <c r="D10" s="3" t="s">
        <v>155</v>
      </c>
      <c r="E10" s="4">
        <v>0</v>
      </c>
      <c r="F10" s="4">
        <v>5660</v>
      </c>
      <c r="G10" s="4">
        <v>3900</v>
      </c>
      <c r="H10" s="4">
        <v>100</v>
      </c>
      <c r="I10" s="4">
        <v>180</v>
      </c>
      <c r="J10" s="4">
        <v>1300</v>
      </c>
      <c r="K10" s="5">
        <v>2200</v>
      </c>
      <c r="L10" s="88"/>
      <c r="M10" s="80">
        <f t="shared" si="0"/>
        <v>13340</v>
      </c>
    </row>
    <row r="11" spans="2:13" ht="16.5">
      <c r="B11" s="15" t="s">
        <v>137</v>
      </c>
      <c r="C11" s="3" t="s">
        <v>146</v>
      </c>
      <c r="D11" s="3" t="s">
        <v>155</v>
      </c>
      <c r="E11" s="4">
        <v>0</v>
      </c>
      <c r="F11" s="4">
        <v>5660</v>
      </c>
      <c r="G11" s="4">
        <v>3900</v>
      </c>
      <c r="H11" s="4">
        <v>100</v>
      </c>
      <c r="I11" s="4">
        <v>180</v>
      </c>
      <c r="J11" s="4">
        <v>1300</v>
      </c>
      <c r="K11" s="5">
        <v>2200</v>
      </c>
      <c r="L11" s="88"/>
      <c r="M11" s="80">
        <f t="shared" si="0"/>
        <v>13340</v>
      </c>
    </row>
    <row r="12" spans="2:13" ht="16.5">
      <c r="B12" s="15" t="s">
        <v>14</v>
      </c>
      <c r="C12" s="390" t="s">
        <v>40</v>
      </c>
      <c r="D12" s="3" t="s">
        <v>155</v>
      </c>
      <c r="E12" s="4">
        <v>0</v>
      </c>
      <c r="F12" s="4">
        <v>0</v>
      </c>
      <c r="G12" s="4">
        <v>3400</v>
      </c>
      <c r="H12" s="4">
        <v>100</v>
      </c>
      <c r="I12" s="4">
        <v>180</v>
      </c>
      <c r="J12" s="4">
        <v>1300</v>
      </c>
      <c r="K12" s="5">
        <v>2200</v>
      </c>
      <c r="L12" s="398">
        <v>5800</v>
      </c>
      <c r="M12" s="80">
        <f t="shared" si="0"/>
        <v>1380</v>
      </c>
    </row>
    <row r="13" spans="2:13" ht="16.5">
      <c r="B13" s="399" t="s">
        <v>24</v>
      </c>
      <c r="C13" s="400" t="s">
        <v>39</v>
      </c>
      <c r="D13" s="401" t="s">
        <v>155</v>
      </c>
      <c r="E13" s="142">
        <v>0</v>
      </c>
      <c r="F13" s="142">
        <v>0</v>
      </c>
      <c r="G13" s="142">
        <v>3300</v>
      </c>
      <c r="H13" s="142">
        <v>100</v>
      </c>
      <c r="I13" s="142">
        <v>180</v>
      </c>
      <c r="J13" s="142">
        <v>1300</v>
      </c>
      <c r="K13" s="143">
        <v>2200</v>
      </c>
      <c r="L13" s="402"/>
      <c r="M13" s="403">
        <f t="shared" si="0"/>
        <v>7080</v>
      </c>
    </row>
    <row r="14" spans="2:13" ht="16.5">
      <c r="B14" s="404" t="s">
        <v>13</v>
      </c>
      <c r="C14" s="405">
        <v>0.89583333333333337</v>
      </c>
      <c r="D14" s="406" t="s">
        <v>150</v>
      </c>
      <c r="E14" s="407">
        <v>0</v>
      </c>
      <c r="F14" s="407">
        <v>5660</v>
      </c>
      <c r="G14" s="407">
        <v>3900</v>
      </c>
      <c r="H14" s="407">
        <v>100</v>
      </c>
      <c r="I14" s="407">
        <v>180</v>
      </c>
      <c r="J14" s="407">
        <v>1300</v>
      </c>
      <c r="K14" s="408">
        <v>1060</v>
      </c>
      <c r="L14" s="409"/>
      <c r="M14" s="410">
        <f t="shared" si="0"/>
        <v>12200</v>
      </c>
    </row>
    <row r="15" spans="2:13" ht="16.5">
      <c r="B15" s="68" t="s">
        <v>10</v>
      </c>
      <c r="C15" s="6">
        <v>0.89583333333333337</v>
      </c>
      <c r="D15" s="6" t="s">
        <v>150</v>
      </c>
      <c r="E15" s="7">
        <v>0</v>
      </c>
      <c r="F15" s="7">
        <v>5660</v>
      </c>
      <c r="G15" s="7">
        <v>3900</v>
      </c>
      <c r="H15" s="7">
        <v>100</v>
      </c>
      <c r="I15" s="7">
        <v>180</v>
      </c>
      <c r="J15" s="7">
        <v>1300</v>
      </c>
      <c r="K15" s="8">
        <v>1060</v>
      </c>
      <c r="L15" s="396"/>
      <c r="M15" s="397">
        <f t="shared" si="0"/>
        <v>12200</v>
      </c>
    </row>
    <row r="16" spans="2:13" ht="16.5">
      <c r="B16" s="61" t="s">
        <v>158</v>
      </c>
      <c r="C16" s="9" t="s">
        <v>113</v>
      </c>
      <c r="D16" s="9" t="s">
        <v>150</v>
      </c>
      <c r="E16" s="10">
        <v>0</v>
      </c>
      <c r="F16" s="10">
        <v>5660</v>
      </c>
      <c r="G16" s="10">
        <v>3900</v>
      </c>
      <c r="H16" s="10">
        <v>100</v>
      </c>
      <c r="I16" s="10">
        <v>180</v>
      </c>
      <c r="J16" s="10">
        <v>1300</v>
      </c>
      <c r="K16" s="11">
        <v>1060</v>
      </c>
      <c r="L16" s="396"/>
      <c r="M16" s="397">
        <f t="shared" si="0"/>
        <v>12200</v>
      </c>
    </row>
    <row r="17" spans="2:13" ht="16.5">
      <c r="B17" s="61" t="s">
        <v>147</v>
      </c>
      <c r="C17" s="9" t="s">
        <v>113</v>
      </c>
      <c r="D17" s="9" t="s">
        <v>150</v>
      </c>
      <c r="E17" s="10">
        <v>0</v>
      </c>
      <c r="F17" s="10">
        <v>5660</v>
      </c>
      <c r="G17" s="10">
        <v>3900</v>
      </c>
      <c r="H17" s="10">
        <v>100</v>
      </c>
      <c r="I17" s="10">
        <v>180</v>
      </c>
      <c r="J17" s="10">
        <v>1300</v>
      </c>
      <c r="K17" s="11">
        <v>1060</v>
      </c>
      <c r="L17" s="396"/>
      <c r="M17" s="397">
        <f t="shared" si="0"/>
        <v>12200</v>
      </c>
    </row>
    <row r="18" spans="2:13" ht="16.5">
      <c r="B18" s="61" t="s">
        <v>154</v>
      </c>
      <c r="C18" s="9" t="s">
        <v>113</v>
      </c>
      <c r="D18" s="9" t="s">
        <v>150</v>
      </c>
      <c r="E18" s="10">
        <v>0</v>
      </c>
      <c r="F18" s="10">
        <v>5660</v>
      </c>
      <c r="G18" s="10">
        <v>3900</v>
      </c>
      <c r="H18" s="10">
        <v>100</v>
      </c>
      <c r="I18" s="10">
        <v>180</v>
      </c>
      <c r="J18" s="10">
        <v>1300</v>
      </c>
      <c r="K18" s="11">
        <v>1060</v>
      </c>
      <c r="L18" s="396"/>
      <c r="M18" s="397">
        <f t="shared" si="0"/>
        <v>12200</v>
      </c>
    </row>
    <row r="19" spans="2:13" ht="16.5">
      <c r="B19" s="61" t="s">
        <v>142</v>
      </c>
      <c r="C19" s="9" t="s">
        <v>113</v>
      </c>
      <c r="D19" s="9" t="s">
        <v>150</v>
      </c>
      <c r="E19" s="10">
        <v>0</v>
      </c>
      <c r="F19" s="10">
        <v>5660</v>
      </c>
      <c r="G19" s="10">
        <v>3900</v>
      </c>
      <c r="H19" s="10">
        <v>100</v>
      </c>
      <c r="I19" s="10">
        <v>180</v>
      </c>
      <c r="J19" s="10">
        <v>1300</v>
      </c>
      <c r="K19" s="11">
        <v>1060</v>
      </c>
      <c r="L19" s="396"/>
      <c r="M19" s="397">
        <f t="shared" si="0"/>
        <v>12200</v>
      </c>
    </row>
    <row r="20" spans="2:13" ht="16.5">
      <c r="B20" s="61" t="s">
        <v>143</v>
      </c>
      <c r="C20" s="9" t="s">
        <v>113</v>
      </c>
      <c r="D20" s="9" t="s">
        <v>150</v>
      </c>
      <c r="E20" s="10">
        <v>0</v>
      </c>
      <c r="F20" s="10">
        <v>5660</v>
      </c>
      <c r="G20" s="10">
        <v>3900</v>
      </c>
      <c r="H20" s="10">
        <v>100</v>
      </c>
      <c r="I20" s="10">
        <v>180</v>
      </c>
      <c r="J20" s="10">
        <v>1300</v>
      </c>
      <c r="K20" s="11">
        <v>1060</v>
      </c>
      <c r="L20" s="396"/>
      <c r="M20" s="397">
        <f t="shared" si="0"/>
        <v>12200</v>
      </c>
    </row>
    <row r="21" spans="2:13" ht="16.5">
      <c r="B21" s="411" t="s">
        <v>19</v>
      </c>
      <c r="C21" s="412" t="s">
        <v>113</v>
      </c>
      <c r="D21" s="412" t="s">
        <v>150</v>
      </c>
      <c r="E21" s="413">
        <v>0</v>
      </c>
      <c r="F21" s="413">
        <v>5660</v>
      </c>
      <c r="G21" s="413">
        <v>3900</v>
      </c>
      <c r="H21" s="413">
        <v>100</v>
      </c>
      <c r="I21" s="413">
        <v>180</v>
      </c>
      <c r="J21" s="413">
        <v>1300</v>
      </c>
      <c r="K21" s="414">
        <v>1060</v>
      </c>
      <c r="L21" s="415"/>
      <c r="M21" s="416">
        <f t="shared" si="0"/>
        <v>12200</v>
      </c>
    </row>
    <row r="22" spans="2:13" ht="16.5">
      <c r="B22" s="417" t="s">
        <v>148</v>
      </c>
      <c r="C22" s="418" t="s">
        <v>113</v>
      </c>
      <c r="D22" s="418" t="s">
        <v>151</v>
      </c>
      <c r="E22" s="419">
        <v>0</v>
      </c>
      <c r="F22" s="419">
        <v>5660</v>
      </c>
      <c r="G22" s="419">
        <v>3900</v>
      </c>
      <c r="H22" s="419">
        <v>100</v>
      </c>
      <c r="I22" s="419">
        <v>180</v>
      </c>
      <c r="J22" s="419">
        <v>1300</v>
      </c>
      <c r="K22" s="420"/>
      <c r="L22" s="421"/>
      <c r="M22" s="422">
        <f t="shared" si="0"/>
        <v>11140</v>
      </c>
    </row>
    <row r="23" spans="2:13" ht="16.5">
      <c r="B23" s="30" t="s">
        <v>149</v>
      </c>
      <c r="C23" s="388" t="s">
        <v>113</v>
      </c>
      <c r="D23" s="32" t="s">
        <v>103</v>
      </c>
      <c r="E23" s="33">
        <v>0</v>
      </c>
      <c r="F23" s="429">
        <v>5660</v>
      </c>
      <c r="G23" s="33">
        <v>3900</v>
      </c>
      <c r="H23" s="33">
        <v>100</v>
      </c>
      <c r="I23" s="33">
        <v>180</v>
      </c>
      <c r="J23" s="33">
        <v>1000</v>
      </c>
      <c r="K23" s="34"/>
      <c r="L23" s="394"/>
      <c r="M23" s="395">
        <f t="shared" si="0"/>
        <v>10840</v>
      </c>
    </row>
    <row r="24" spans="2:13" ht="16.5">
      <c r="B24" s="29" t="s">
        <v>121</v>
      </c>
      <c r="C24" s="32" t="s">
        <v>113</v>
      </c>
      <c r="D24" s="32" t="s">
        <v>34</v>
      </c>
      <c r="E24" s="33">
        <v>0</v>
      </c>
      <c r="F24" s="33">
        <v>5660</v>
      </c>
      <c r="G24" s="33">
        <v>3900</v>
      </c>
      <c r="H24" s="33">
        <v>100</v>
      </c>
      <c r="I24" s="33">
        <v>180</v>
      </c>
      <c r="J24" s="33">
        <v>1000</v>
      </c>
      <c r="K24" s="34"/>
      <c r="L24" s="394"/>
      <c r="M24" s="395">
        <f t="shared" si="0"/>
        <v>10840</v>
      </c>
    </row>
    <row r="25" spans="2:13" ht="16.5">
      <c r="B25" s="29" t="s">
        <v>153</v>
      </c>
      <c r="C25" s="32" t="s">
        <v>113</v>
      </c>
      <c r="D25" s="389" t="s">
        <v>41</v>
      </c>
      <c r="E25" s="33">
        <v>0</v>
      </c>
      <c r="F25" s="33">
        <v>5660</v>
      </c>
      <c r="G25" s="33">
        <v>3900</v>
      </c>
      <c r="H25" s="33">
        <v>100</v>
      </c>
      <c r="I25" s="33">
        <v>180</v>
      </c>
      <c r="J25" s="33">
        <v>1000</v>
      </c>
      <c r="K25" s="34"/>
      <c r="L25" s="394"/>
      <c r="M25" s="395">
        <f t="shared" si="0"/>
        <v>10840</v>
      </c>
    </row>
    <row r="26" spans="2:13" ht="16.5">
      <c r="B26" s="423" t="s">
        <v>15</v>
      </c>
      <c r="C26" s="424" t="s">
        <v>113</v>
      </c>
      <c r="D26" s="424" t="s">
        <v>118</v>
      </c>
      <c r="E26" s="425">
        <v>0</v>
      </c>
      <c r="F26" s="425">
        <v>5660</v>
      </c>
      <c r="G26" s="425">
        <v>3900</v>
      </c>
      <c r="H26" s="425">
        <v>100</v>
      </c>
      <c r="I26" s="425">
        <v>180</v>
      </c>
      <c r="J26" s="425"/>
      <c r="K26" s="426"/>
      <c r="L26" s="427">
        <v>26400</v>
      </c>
      <c r="M26" s="428">
        <f t="shared" si="0"/>
        <v>-16560</v>
      </c>
    </row>
    <row r="27" spans="2:13" ht="16.5">
      <c r="B27" s="392" t="s">
        <v>156</v>
      </c>
      <c r="C27" s="45" t="s">
        <v>113</v>
      </c>
      <c r="D27" s="45" t="s">
        <v>108</v>
      </c>
      <c r="E27" s="46">
        <v>0</v>
      </c>
      <c r="F27" s="46">
        <v>0</v>
      </c>
      <c r="G27" s="46">
        <v>0</v>
      </c>
      <c r="H27" s="46">
        <v>100</v>
      </c>
      <c r="I27" s="46">
        <v>180</v>
      </c>
      <c r="J27" s="46"/>
      <c r="K27" s="47"/>
      <c r="L27" s="95"/>
      <c r="M27" s="393">
        <f t="shared" si="0"/>
        <v>280</v>
      </c>
    </row>
    <row r="28" spans="2:13" ht="16.5">
      <c r="B28" s="43" t="s">
        <v>152</v>
      </c>
      <c r="C28" s="48" t="s">
        <v>113</v>
      </c>
      <c r="D28" s="48" t="s">
        <v>108</v>
      </c>
      <c r="E28" s="49">
        <v>0</v>
      </c>
      <c r="F28" s="49">
        <v>5660</v>
      </c>
      <c r="G28" s="49">
        <v>3400</v>
      </c>
      <c r="H28" s="49">
        <v>100</v>
      </c>
      <c r="I28" s="49">
        <v>180</v>
      </c>
      <c r="J28" s="49"/>
      <c r="K28" s="50"/>
      <c r="L28" s="95"/>
      <c r="M28" s="393">
        <f t="shared" si="0"/>
        <v>9340</v>
      </c>
    </row>
    <row r="29" spans="2:13" ht="16.5">
      <c r="B29" s="43" t="s">
        <v>18</v>
      </c>
      <c r="C29" s="48" t="s">
        <v>113</v>
      </c>
      <c r="D29" s="48" t="s">
        <v>39</v>
      </c>
      <c r="E29" s="49">
        <v>0</v>
      </c>
      <c r="F29" s="49">
        <v>5660</v>
      </c>
      <c r="G29" s="49">
        <v>3400</v>
      </c>
      <c r="H29" s="49">
        <v>100</v>
      </c>
      <c r="I29" s="49">
        <v>180</v>
      </c>
      <c r="J29" s="49"/>
      <c r="K29" s="50"/>
      <c r="L29" s="95"/>
      <c r="M29" s="393">
        <f t="shared" si="0"/>
        <v>9340</v>
      </c>
    </row>
    <row r="30" spans="2:13" ht="17.25" thickBot="1">
      <c r="B30" s="43" t="s">
        <v>157</v>
      </c>
      <c r="C30" s="48" t="s">
        <v>113</v>
      </c>
      <c r="D30" s="48" t="s">
        <v>115</v>
      </c>
      <c r="E30" s="49">
        <v>0</v>
      </c>
      <c r="F30" s="49">
        <v>5660</v>
      </c>
      <c r="G30" s="49">
        <v>3400</v>
      </c>
      <c r="H30" s="49">
        <v>100</v>
      </c>
      <c r="I30" s="49">
        <v>180</v>
      </c>
      <c r="J30" s="49"/>
      <c r="K30" s="50"/>
      <c r="L30" s="95"/>
      <c r="M30" s="393">
        <f t="shared" si="0"/>
        <v>9340</v>
      </c>
    </row>
    <row r="31" spans="2:13" ht="17.25" thickBot="1">
      <c r="B31" s="558" t="s">
        <v>4</v>
      </c>
      <c r="C31" s="559"/>
      <c r="D31" s="560"/>
      <c r="E31" s="23">
        <v>250000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4">
        <v>0</v>
      </c>
      <c r="L31" s="25"/>
      <c r="M31" s="25">
        <f>E31</f>
        <v>250000</v>
      </c>
    </row>
    <row r="32" spans="2:13" ht="18" thickTop="1" thickBot="1">
      <c r="B32" s="613" t="s">
        <v>3</v>
      </c>
      <c r="C32" s="614"/>
      <c r="D32" s="615"/>
      <c r="E32" s="27">
        <v>250000</v>
      </c>
      <c r="F32" s="27">
        <v>130300</v>
      </c>
      <c r="G32" s="27">
        <v>94900</v>
      </c>
      <c r="H32" s="27">
        <v>2700</v>
      </c>
      <c r="I32" s="27">
        <v>4500</v>
      </c>
      <c r="J32" s="27">
        <v>26400</v>
      </c>
      <c r="K32" s="27">
        <v>28180</v>
      </c>
      <c r="L32" s="28">
        <f>SUM(H32:K32)</f>
        <v>61780</v>
      </c>
      <c r="M32" s="28">
        <f>SUM(M5:M30)</f>
        <v>217280</v>
      </c>
    </row>
    <row r="33" spans="6:11">
      <c r="F33" s="17"/>
      <c r="G33" s="17"/>
      <c r="H33" s="17"/>
      <c r="I33" s="17"/>
      <c r="J33" s="17"/>
      <c r="K33" s="17"/>
    </row>
  </sheetData>
  <mergeCells count="9">
    <mergeCell ref="M3:M4"/>
    <mergeCell ref="L3:L4"/>
    <mergeCell ref="B31:D31"/>
    <mergeCell ref="B32:D32"/>
    <mergeCell ref="G3:K3"/>
    <mergeCell ref="B3:B4"/>
    <mergeCell ref="D3:D4"/>
    <mergeCell ref="E3:E4"/>
    <mergeCell ref="F3:F4"/>
  </mergeCells>
  <phoneticPr fontId="4" type="noConversion"/>
  <pageMargins left="0.7" right="0.7" top="0.75" bottom="0.75" header="0.3" footer="0.3"/>
  <ignoredErrors>
    <ignoredError sqref="L32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1676-AEBA-448C-A197-7E09B8B1D4F2}">
  <dimension ref="B4:E30"/>
  <sheetViews>
    <sheetView topLeftCell="A2" zoomScaleNormal="100" workbookViewId="0">
      <selection activeCell="B5" sqref="B5:E25"/>
    </sheetView>
  </sheetViews>
  <sheetFormatPr defaultRowHeight="13.5"/>
  <cols>
    <col min="3" max="3" width="9.5" bestFit="1" customWidth="1"/>
  </cols>
  <sheetData>
    <row r="4" spans="2:5" ht="14.25" thickBot="1"/>
    <row r="5" spans="2:5">
      <c r="B5" s="610" t="s">
        <v>0</v>
      </c>
      <c r="C5" s="610" t="s">
        <v>138</v>
      </c>
      <c r="D5" s="610" t="s">
        <v>139</v>
      </c>
      <c r="E5" s="610" t="s">
        <v>102</v>
      </c>
    </row>
    <row r="6" spans="2:5" ht="14.25" thickBot="1">
      <c r="B6" s="611"/>
      <c r="C6" s="611"/>
      <c r="D6" s="611"/>
      <c r="E6" s="611"/>
    </row>
    <row r="7" spans="2:5" ht="16.5">
      <c r="B7" s="432" t="s">
        <v>137</v>
      </c>
      <c r="C7" s="434">
        <v>22000</v>
      </c>
      <c r="D7" s="434">
        <v>7800</v>
      </c>
      <c r="E7" s="442">
        <f>SUM(C7:D7)</f>
        <v>29800</v>
      </c>
    </row>
    <row r="8" spans="2:5" ht="16.5">
      <c r="B8" s="433" t="s">
        <v>9</v>
      </c>
      <c r="C8" s="435">
        <v>22000</v>
      </c>
      <c r="D8" s="435">
        <v>7800</v>
      </c>
      <c r="E8" s="443">
        <f>SUM(C8:D8)</f>
        <v>29800</v>
      </c>
    </row>
    <row r="9" spans="2:5" ht="16.5">
      <c r="B9" s="433" t="s">
        <v>25</v>
      </c>
      <c r="C9" s="435">
        <v>22000</v>
      </c>
      <c r="D9" s="435">
        <v>7800</v>
      </c>
      <c r="E9" s="443">
        <f t="shared" ref="E9:E23" si="0">SUM(C9:D9)</f>
        <v>29800</v>
      </c>
    </row>
    <row r="10" spans="2:5" ht="16.5">
      <c r="B10" s="433" t="s">
        <v>165</v>
      </c>
      <c r="C10" s="435">
        <v>22000</v>
      </c>
      <c r="D10" s="435">
        <v>7800</v>
      </c>
      <c r="E10" s="443">
        <f t="shared" si="0"/>
        <v>29800</v>
      </c>
    </row>
    <row r="11" spans="2:5" ht="16.5">
      <c r="B11" s="433" t="s">
        <v>164</v>
      </c>
      <c r="C11" s="435">
        <v>22000</v>
      </c>
      <c r="D11" s="435">
        <v>7700</v>
      </c>
      <c r="E11" s="443">
        <f t="shared" si="0"/>
        <v>29700</v>
      </c>
    </row>
    <row r="12" spans="2:5" ht="16.5">
      <c r="B12" s="433" t="s">
        <v>156</v>
      </c>
      <c r="C12" s="435">
        <v>22000</v>
      </c>
      <c r="D12" s="435">
        <v>7800</v>
      </c>
      <c r="E12" s="443">
        <f t="shared" si="0"/>
        <v>29800</v>
      </c>
    </row>
    <row r="13" spans="2:5" ht="16.5">
      <c r="B13" s="433" t="s">
        <v>19</v>
      </c>
      <c r="C13" s="435">
        <v>20000</v>
      </c>
      <c r="D13" s="435">
        <v>7800</v>
      </c>
      <c r="E13" s="443">
        <f t="shared" si="0"/>
        <v>27800</v>
      </c>
    </row>
    <row r="14" spans="2:5" ht="16.5">
      <c r="B14" s="433" t="s">
        <v>10</v>
      </c>
      <c r="C14" s="435">
        <v>15000</v>
      </c>
      <c r="D14" s="435">
        <v>7700</v>
      </c>
      <c r="E14" s="443">
        <f t="shared" si="0"/>
        <v>22700</v>
      </c>
    </row>
    <row r="15" spans="2:5" ht="16.5">
      <c r="B15" s="433" t="s">
        <v>140</v>
      </c>
      <c r="C15" s="435">
        <v>15000</v>
      </c>
      <c r="D15" s="435">
        <v>7800</v>
      </c>
      <c r="E15" s="443">
        <f t="shared" si="0"/>
        <v>22800</v>
      </c>
    </row>
    <row r="16" spans="2:5" ht="16.5">
      <c r="B16" s="436" t="s">
        <v>7</v>
      </c>
      <c r="C16" s="437">
        <v>22000</v>
      </c>
      <c r="D16" s="437"/>
      <c r="E16" s="444">
        <f t="shared" si="0"/>
        <v>22000</v>
      </c>
    </row>
    <row r="17" spans="2:5" ht="16.5">
      <c r="B17" s="436" t="s">
        <v>154</v>
      </c>
      <c r="C17" s="437">
        <v>22000</v>
      </c>
      <c r="D17" s="437"/>
      <c r="E17" s="444">
        <f t="shared" si="0"/>
        <v>22000</v>
      </c>
    </row>
    <row r="18" spans="2:5" ht="16.5">
      <c r="B18" s="436" t="s">
        <v>166</v>
      </c>
      <c r="C18" s="437">
        <v>22000</v>
      </c>
      <c r="D18" s="437"/>
      <c r="E18" s="444">
        <f t="shared" si="0"/>
        <v>22000</v>
      </c>
    </row>
    <row r="19" spans="2:5" ht="16.5">
      <c r="B19" s="436" t="s">
        <v>24</v>
      </c>
      <c r="C19" s="437">
        <v>21000</v>
      </c>
      <c r="D19" s="437"/>
      <c r="E19" s="444">
        <f t="shared" si="0"/>
        <v>21000</v>
      </c>
    </row>
    <row r="20" spans="2:5" ht="16.5">
      <c r="B20" s="436" t="s">
        <v>20</v>
      </c>
      <c r="C20" s="437">
        <v>21000</v>
      </c>
      <c r="D20" s="437"/>
      <c r="E20" s="444">
        <f t="shared" si="0"/>
        <v>21000</v>
      </c>
    </row>
    <row r="21" spans="2:5" ht="16.5">
      <c r="B21" s="438" t="s">
        <v>158</v>
      </c>
      <c r="C21" s="439">
        <v>20000</v>
      </c>
      <c r="D21" s="439"/>
      <c r="E21" s="445">
        <f t="shared" si="0"/>
        <v>20000</v>
      </c>
    </row>
    <row r="22" spans="2:5" ht="16.5">
      <c r="B22" s="438" t="s">
        <v>106</v>
      </c>
      <c r="C22" s="439">
        <v>19000</v>
      </c>
      <c r="D22" s="439"/>
      <c r="E22" s="445">
        <f t="shared" si="0"/>
        <v>19000</v>
      </c>
    </row>
    <row r="23" spans="2:5" ht="16.5">
      <c r="B23" s="438" t="s">
        <v>27</v>
      </c>
      <c r="C23" s="439">
        <v>15000</v>
      </c>
      <c r="D23" s="439"/>
      <c r="E23" s="445">
        <f t="shared" si="0"/>
        <v>15000</v>
      </c>
    </row>
    <row r="24" spans="2:5" ht="17.25" thickBot="1">
      <c r="B24" s="440" t="s">
        <v>11</v>
      </c>
      <c r="C24" s="441">
        <v>13000</v>
      </c>
      <c r="D24" s="441"/>
      <c r="E24" s="446">
        <f>SUM(C24:D24)</f>
        <v>13000</v>
      </c>
    </row>
    <row r="25" spans="2:5" ht="17.25" thickBot="1">
      <c r="B25" s="430" t="s">
        <v>3</v>
      </c>
      <c r="C25" s="431">
        <v>357000</v>
      </c>
      <c r="D25" s="431">
        <v>70000</v>
      </c>
      <c r="E25" s="431">
        <f>SUM(E7:E24)</f>
        <v>427000</v>
      </c>
    </row>
    <row r="26" spans="2:5">
      <c r="C26" s="135">
        <f>SUM(C7:C24)</f>
        <v>357000</v>
      </c>
      <c r="D26" s="135"/>
    </row>
    <row r="29" spans="2:5">
      <c r="C29" s="135">
        <f>C25-357000</f>
        <v>0</v>
      </c>
    </row>
    <row r="30" spans="2:5">
      <c r="C30" s="135"/>
    </row>
  </sheetData>
  <mergeCells count="4">
    <mergeCell ref="B5:B6"/>
    <mergeCell ref="C5:C6"/>
    <mergeCell ref="D5:D6"/>
    <mergeCell ref="E5:E6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D8B6-355D-4007-9945-2A99F895E46E}">
  <dimension ref="B1:I24"/>
  <sheetViews>
    <sheetView workbookViewId="0">
      <selection sqref="A1:J18"/>
    </sheetView>
  </sheetViews>
  <sheetFormatPr defaultRowHeight="13.5"/>
  <cols>
    <col min="4" max="6" width="11.75" bestFit="1" customWidth="1"/>
  </cols>
  <sheetData>
    <row r="1" spans="2:9" ht="14.25" thickBot="1"/>
    <row r="2" spans="2:9" ht="13.5" customHeight="1">
      <c r="B2" s="610" t="s">
        <v>0</v>
      </c>
      <c r="C2" s="631" t="s">
        <v>167</v>
      </c>
      <c r="D2" s="633" t="s">
        <v>168</v>
      </c>
      <c r="E2" s="634"/>
      <c r="F2" s="635"/>
      <c r="G2" s="623" t="s">
        <v>173</v>
      </c>
      <c r="H2" s="623" t="s">
        <v>16</v>
      </c>
      <c r="I2" s="610" t="s">
        <v>102</v>
      </c>
    </row>
    <row r="3" spans="2:9" ht="14.25" customHeight="1" thickBot="1">
      <c r="B3" s="611"/>
      <c r="C3" s="632"/>
      <c r="D3" s="468" t="s">
        <v>171</v>
      </c>
      <c r="E3" s="469" t="s">
        <v>131</v>
      </c>
      <c r="F3" s="470" t="s">
        <v>172</v>
      </c>
      <c r="G3" s="624"/>
      <c r="H3" s="624"/>
      <c r="I3" s="622"/>
    </row>
    <row r="4" spans="2:9" ht="16.5">
      <c r="B4" s="432" t="s">
        <v>121</v>
      </c>
      <c r="C4" s="447">
        <v>16000</v>
      </c>
      <c r="D4" s="453"/>
      <c r="E4" s="457"/>
      <c r="F4" s="471"/>
      <c r="G4" s="462"/>
      <c r="H4" s="462"/>
      <c r="I4" s="442">
        <f>SUM(C4:H4)</f>
        <v>16000</v>
      </c>
    </row>
    <row r="5" spans="2:9" ht="16.5">
      <c r="B5" s="433" t="s">
        <v>156</v>
      </c>
      <c r="C5" s="448">
        <v>16000</v>
      </c>
      <c r="D5" s="283"/>
      <c r="E5" s="338">
        <v>8300</v>
      </c>
      <c r="F5" s="472">
        <v>9000</v>
      </c>
      <c r="G5" s="463">
        <v>-12000</v>
      </c>
      <c r="H5" s="463">
        <v>-167000</v>
      </c>
      <c r="I5" s="443">
        <f>SUM(C5:H5)</f>
        <v>-145700</v>
      </c>
    </row>
    <row r="6" spans="2:9" ht="16.5">
      <c r="B6" s="433" t="s">
        <v>169</v>
      </c>
      <c r="C6" s="448">
        <v>16000</v>
      </c>
      <c r="D6" s="283"/>
      <c r="E6" s="338">
        <v>8300</v>
      </c>
      <c r="F6" s="472">
        <v>9000</v>
      </c>
      <c r="G6" s="463"/>
      <c r="H6" s="463"/>
      <c r="I6" s="443">
        <f t="shared" ref="I6:I15" si="0">SUM(C6:H6)</f>
        <v>33300</v>
      </c>
    </row>
    <row r="7" spans="2:9" ht="16.5">
      <c r="B7" s="433" t="s">
        <v>148</v>
      </c>
      <c r="C7" s="448">
        <v>16000</v>
      </c>
      <c r="D7" s="283"/>
      <c r="E7" s="338">
        <v>8300</v>
      </c>
      <c r="F7" s="472">
        <v>9000</v>
      </c>
      <c r="G7" s="463"/>
      <c r="H7" s="463"/>
      <c r="I7" s="443">
        <f t="shared" si="0"/>
        <v>33300</v>
      </c>
    </row>
    <row r="8" spans="2:9" ht="16.5">
      <c r="B8" s="436" t="s">
        <v>9</v>
      </c>
      <c r="C8" s="449"/>
      <c r="D8" s="314">
        <v>10000</v>
      </c>
      <c r="E8" s="458">
        <v>8400</v>
      </c>
      <c r="F8" s="473">
        <v>9000</v>
      </c>
      <c r="G8" s="464"/>
      <c r="H8" s="464"/>
      <c r="I8" s="444">
        <f t="shared" si="0"/>
        <v>27400</v>
      </c>
    </row>
    <row r="9" spans="2:9" ht="16.5">
      <c r="B9" s="436" t="s">
        <v>11</v>
      </c>
      <c r="C9" s="449"/>
      <c r="D9" s="314">
        <v>10000</v>
      </c>
      <c r="E9" s="458">
        <v>8400</v>
      </c>
      <c r="F9" s="473">
        <v>9000</v>
      </c>
      <c r="G9" s="464"/>
      <c r="H9" s="464"/>
      <c r="I9" s="444">
        <f t="shared" si="0"/>
        <v>27400</v>
      </c>
    </row>
    <row r="10" spans="2:9" ht="16.5">
      <c r="B10" s="436" t="s">
        <v>120</v>
      </c>
      <c r="C10" s="449"/>
      <c r="D10" s="314">
        <v>10000</v>
      </c>
      <c r="E10" s="458">
        <v>8400</v>
      </c>
      <c r="F10" s="473">
        <v>9000</v>
      </c>
      <c r="G10" s="464"/>
      <c r="H10" s="464"/>
      <c r="I10" s="444">
        <f t="shared" si="0"/>
        <v>27400</v>
      </c>
    </row>
    <row r="11" spans="2:9" ht="16.5">
      <c r="B11" s="438" t="s">
        <v>10</v>
      </c>
      <c r="C11" s="450"/>
      <c r="D11" s="454"/>
      <c r="E11" s="459">
        <v>8300</v>
      </c>
      <c r="F11" s="474">
        <v>9000</v>
      </c>
      <c r="G11" s="465"/>
      <c r="H11" s="465"/>
      <c r="I11" s="445">
        <f t="shared" si="0"/>
        <v>17300</v>
      </c>
    </row>
    <row r="12" spans="2:9" ht="16.5">
      <c r="B12" s="438" t="s">
        <v>170</v>
      </c>
      <c r="C12" s="450"/>
      <c r="D12" s="454"/>
      <c r="E12" s="459">
        <v>8300</v>
      </c>
      <c r="F12" s="474">
        <v>9000</v>
      </c>
      <c r="G12" s="465"/>
      <c r="H12" s="465"/>
      <c r="I12" s="445">
        <f t="shared" si="0"/>
        <v>17300</v>
      </c>
    </row>
    <row r="13" spans="2:9" ht="16.5">
      <c r="B13" s="438" t="s">
        <v>19</v>
      </c>
      <c r="C13" s="450"/>
      <c r="D13" s="454"/>
      <c r="E13" s="459">
        <v>8300</v>
      </c>
      <c r="F13" s="474">
        <v>9000</v>
      </c>
      <c r="G13" s="465"/>
      <c r="H13" s="465"/>
      <c r="I13" s="445">
        <f t="shared" si="0"/>
        <v>17300</v>
      </c>
    </row>
    <row r="14" spans="2:9" ht="16.5">
      <c r="B14" s="440" t="s">
        <v>7</v>
      </c>
      <c r="C14" s="451"/>
      <c r="D14" s="455"/>
      <c r="E14" s="460"/>
      <c r="F14" s="475">
        <v>2000</v>
      </c>
      <c r="G14" s="466"/>
      <c r="H14" s="466"/>
      <c r="I14" s="446">
        <f t="shared" si="0"/>
        <v>2000</v>
      </c>
    </row>
    <row r="15" spans="2:9" ht="17.25" thickBot="1">
      <c r="B15" s="440" t="s">
        <v>137</v>
      </c>
      <c r="C15" s="452"/>
      <c r="D15" s="456"/>
      <c r="E15" s="461"/>
      <c r="F15" s="476">
        <v>9000</v>
      </c>
      <c r="G15" s="467"/>
      <c r="H15" s="467"/>
      <c r="I15" s="446">
        <f t="shared" si="0"/>
        <v>9000</v>
      </c>
    </row>
    <row r="16" spans="2:9" ht="16.5">
      <c r="B16" s="625" t="s">
        <v>3</v>
      </c>
      <c r="C16" s="627">
        <v>64000</v>
      </c>
      <c r="D16" s="477">
        <v>30000</v>
      </c>
      <c r="E16" s="478">
        <v>75000</v>
      </c>
      <c r="F16" s="479">
        <v>92000</v>
      </c>
      <c r="G16" s="620">
        <v>32000</v>
      </c>
      <c r="H16" s="629">
        <f>H5</f>
        <v>-167000</v>
      </c>
      <c r="I16" s="616">
        <f>SUM(I5:I15)</f>
        <v>66000</v>
      </c>
    </row>
    <row r="17" spans="2:9" ht="13.5" customHeight="1" thickBot="1">
      <c r="B17" s="626"/>
      <c r="C17" s="628"/>
      <c r="D17" s="618">
        <v>167000</v>
      </c>
      <c r="E17" s="619"/>
      <c r="F17" s="619"/>
      <c r="G17" s="621"/>
      <c r="H17" s="630"/>
      <c r="I17" s="617"/>
    </row>
    <row r="18" spans="2:9">
      <c r="F18" s="135"/>
    </row>
    <row r="24" spans="2:9">
      <c r="F24" s="135"/>
    </row>
  </sheetData>
  <mergeCells count="12">
    <mergeCell ref="B16:B17"/>
    <mergeCell ref="C16:C17"/>
    <mergeCell ref="H16:H17"/>
    <mergeCell ref="B2:B3"/>
    <mergeCell ref="C2:C3"/>
    <mergeCell ref="D2:F2"/>
    <mergeCell ref="I16:I17"/>
    <mergeCell ref="D17:F17"/>
    <mergeCell ref="G16:G17"/>
    <mergeCell ref="I2:I3"/>
    <mergeCell ref="G2:G3"/>
    <mergeCell ref="H2:H3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D2D3-53DF-441B-95AC-99CC9EBCD275}">
  <dimension ref="B1:H27"/>
  <sheetViews>
    <sheetView workbookViewId="0">
      <selection activeCell="B2" sqref="B2:F15"/>
    </sheetView>
  </sheetViews>
  <sheetFormatPr defaultRowHeight="13.5"/>
  <cols>
    <col min="3" max="5" width="11.75" bestFit="1" customWidth="1"/>
  </cols>
  <sheetData>
    <row r="1" spans="2:6" ht="14.25" thickBot="1"/>
    <row r="2" spans="2:6" ht="17.25">
      <c r="B2" s="610" t="s">
        <v>0</v>
      </c>
      <c r="C2" s="633" t="s">
        <v>174</v>
      </c>
      <c r="D2" s="634"/>
      <c r="E2" s="623" t="s">
        <v>173</v>
      </c>
      <c r="F2" s="610" t="s">
        <v>102</v>
      </c>
    </row>
    <row r="3" spans="2:6" ht="17.25" thickBot="1">
      <c r="B3" s="611"/>
      <c r="C3" s="468" t="s">
        <v>175</v>
      </c>
      <c r="D3" s="469" t="s">
        <v>176</v>
      </c>
      <c r="E3" s="624"/>
      <c r="F3" s="622"/>
    </row>
    <row r="4" spans="2:6" ht="16.5">
      <c r="B4" s="432" t="s">
        <v>127</v>
      </c>
      <c r="C4" s="453">
        <v>10000</v>
      </c>
      <c r="D4" s="457">
        <v>17400</v>
      </c>
      <c r="E4" s="462">
        <v>5600</v>
      </c>
      <c r="F4" s="442">
        <f t="shared" ref="F4:F14" si="0">SUM(C4:E4)</f>
        <v>33000</v>
      </c>
    </row>
    <row r="5" spans="2:6" ht="16.5">
      <c r="B5" s="433" t="s">
        <v>169</v>
      </c>
      <c r="C5" s="283">
        <v>10000</v>
      </c>
      <c r="D5" s="338">
        <v>17400</v>
      </c>
      <c r="E5" s="463"/>
      <c r="F5" s="443">
        <f t="shared" si="0"/>
        <v>27400</v>
      </c>
    </row>
    <row r="6" spans="2:6" ht="16.5">
      <c r="B6" s="433" t="s">
        <v>9</v>
      </c>
      <c r="C6" s="283">
        <v>10000</v>
      </c>
      <c r="D6" s="338">
        <v>17400</v>
      </c>
      <c r="E6" s="463"/>
      <c r="F6" s="443">
        <f t="shared" si="0"/>
        <v>27400</v>
      </c>
    </row>
    <row r="7" spans="2:6" ht="16.5">
      <c r="B7" s="433" t="s">
        <v>9</v>
      </c>
      <c r="C7" s="283">
        <v>10000</v>
      </c>
      <c r="D7" s="338">
        <v>17400</v>
      </c>
      <c r="E7" s="463"/>
      <c r="F7" s="443">
        <f t="shared" si="0"/>
        <v>27400</v>
      </c>
    </row>
    <row r="8" spans="2:6" ht="16.5">
      <c r="B8" s="433" t="s">
        <v>143</v>
      </c>
      <c r="C8" s="283">
        <v>10000</v>
      </c>
      <c r="D8" s="338">
        <v>17400</v>
      </c>
      <c r="E8" s="463"/>
      <c r="F8" s="443">
        <f t="shared" si="0"/>
        <v>27400</v>
      </c>
    </row>
    <row r="9" spans="2:6" ht="16.5">
      <c r="B9" s="436" t="s">
        <v>19</v>
      </c>
      <c r="C9" s="314"/>
      <c r="D9" s="458">
        <v>17500</v>
      </c>
      <c r="E9" s="464"/>
      <c r="F9" s="444">
        <f t="shared" si="0"/>
        <v>17500</v>
      </c>
    </row>
    <row r="10" spans="2:6" ht="16.5">
      <c r="B10" s="436" t="s">
        <v>7</v>
      </c>
      <c r="C10" s="314"/>
      <c r="D10" s="458">
        <v>17500</v>
      </c>
      <c r="E10" s="464"/>
      <c r="F10" s="444">
        <f t="shared" si="0"/>
        <v>17500</v>
      </c>
    </row>
    <row r="11" spans="2:6" ht="16.5">
      <c r="B11" s="436" t="s">
        <v>125</v>
      </c>
      <c r="C11" s="314"/>
      <c r="D11" s="458">
        <v>17500</v>
      </c>
      <c r="E11" s="464"/>
      <c r="F11" s="444">
        <f t="shared" si="0"/>
        <v>17500</v>
      </c>
    </row>
    <row r="12" spans="2:6" ht="16.5">
      <c r="B12" s="436" t="s">
        <v>153</v>
      </c>
      <c r="C12" s="314"/>
      <c r="D12" s="458">
        <v>17500</v>
      </c>
      <c r="E12" s="464"/>
      <c r="F12" s="444">
        <f t="shared" si="0"/>
        <v>17500</v>
      </c>
    </row>
    <row r="13" spans="2:6" ht="16.5">
      <c r="B13" s="438" t="s">
        <v>126</v>
      </c>
      <c r="C13" s="454"/>
      <c r="D13" s="459">
        <v>17500</v>
      </c>
      <c r="E13" s="465">
        <v>5600</v>
      </c>
      <c r="F13" s="445">
        <f t="shared" si="0"/>
        <v>23100</v>
      </c>
    </row>
    <row r="14" spans="2:6" ht="17.25" thickBot="1">
      <c r="B14" s="438" t="s">
        <v>27</v>
      </c>
      <c r="C14" s="454"/>
      <c r="D14" s="459">
        <v>17500</v>
      </c>
      <c r="E14" s="465">
        <v>5600</v>
      </c>
      <c r="F14" s="445">
        <f t="shared" si="0"/>
        <v>23100</v>
      </c>
    </row>
    <row r="15" spans="2:6" ht="17.25" thickBot="1">
      <c r="B15" s="482" t="s">
        <v>3</v>
      </c>
      <c r="C15" s="483">
        <v>50000</v>
      </c>
      <c r="D15" s="484">
        <v>192000</v>
      </c>
      <c r="E15" s="485">
        <v>16800</v>
      </c>
      <c r="F15" s="431">
        <f>SUM(F4:F14)</f>
        <v>258800</v>
      </c>
    </row>
    <row r="20" spans="3:8">
      <c r="C20" s="135">
        <f>SUM(C4:C14)</f>
        <v>50000</v>
      </c>
      <c r="D20" s="135">
        <f>SUM(D4:D14)</f>
        <v>192000</v>
      </c>
      <c r="E20" s="135">
        <f>SUM(E4:E14)</f>
        <v>16800</v>
      </c>
    </row>
    <row r="23" spans="3:8">
      <c r="H23" s="299" t="s">
        <v>177</v>
      </c>
    </row>
    <row r="25" spans="3:8">
      <c r="D25">
        <v>242000</v>
      </c>
    </row>
    <row r="26" spans="3:8">
      <c r="D26">
        <f>D25-237000</f>
        <v>5000</v>
      </c>
    </row>
    <row r="27" spans="3:8">
      <c r="D27">
        <f>D25-55000</f>
        <v>187000</v>
      </c>
    </row>
  </sheetData>
  <mergeCells count="4">
    <mergeCell ref="B2:B3"/>
    <mergeCell ref="C2:D2"/>
    <mergeCell ref="E2:E3"/>
    <mergeCell ref="F2:F3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3D25-EAF4-4803-BC54-396AC5D7B127}">
  <dimension ref="B1:I23"/>
  <sheetViews>
    <sheetView workbookViewId="0">
      <selection activeCell="C30" sqref="C30"/>
    </sheetView>
  </sheetViews>
  <sheetFormatPr defaultRowHeight="13.5"/>
  <cols>
    <col min="3" max="3" width="12.75" bestFit="1" customWidth="1"/>
    <col min="4" max="4" width="13.5" customWidth="1"/>
    <col min="5" max="6" width="9.5" bestFit="1" customWidth="1"/>
    <col min="7" max="7" width="14.5" bestFit="1" customWidth="1"/>
    <col min="8" max="8" width="9.125" bestFit="1" customWidth="1"/>
  </cols>
  <sheetData>
    <row r="1" spans="2:9" ht="14.25" thickBot="1"/>
    <row r="2" spans="2:9" ht="18" thickBot="1">
      <c r="B2" s="480" t="s">
        <v>0</v>
      </c>
      <c r="C2" s="487" t="s">
        <v>178</v>
      </c>
      <c r="D2" s="481" t="s">
        <v>181</v>
      </c>
      <c r="E2" s="493" t="s">
        <v>138</v>
      </c>
      <c r="F2" s="488" t="s">
        <v>179</v>
      </c>
      <c r="G2" s="638" t="s">
        <v>16</v>
      </c>
      <c r="H2" s="639"/>
      <c r="I2" s="480" t="s">
        <v>102</v>
      </c>
    </row>
    <row r="3" spans="2:9" ht="17.25" customHeight="1">
      <c r="B3" s="640" t="s">
        <v>7</v>
      </c>
      <c r="C3" s="642">
        <v>2100</v>
      </c>
      <c r="D3" s="646">
        <v>9100</v>
      </c>
      <c r="E3" s="646">
        <v>14000</v>
      </c>
      <c r="F3" s="644">
        <v>13100</v>
      </c>
      <c r="G3" s="501" t="s">
        <v>184</v>
      </c>
      <c r="H3" s="495">
        <v>-13000</v>
      </c>
      <c r="I3" s="636">
        <f>SUM(C3:H3)+H4</f>
        <v>-68600</v>
      </c>
    </row>
    <row r="4" spans="2:9" ht="16.5">
      <c r="B4" s="641"/>
      <c r="C4" s="643"/>
      <c r="D4" s="647"/>
      <c r="E4" s="647"/>
      <c r="F4" s="645"/>
      <c r="G4" s="502" t="s">
        <v>182</v>
      </c>
      <c r="H4" s="489">
        <v>-93900</v>
      </c>
      <c r="I4" s="637"/>
    </row>
    <row r="5" spans="2:9" ht="16.5">
      <c r="B5" s="433" t="s">
        <v>9</v>
      </c>
      <c r="C5" s="283">
        <v>2100</v>
      </c>
      <c r="D5" s="338">
        <v>9000</v>
      </c>
      <c r="E5" s="283">
        <v>14000</v>
      </c>
      <c r="F5" s="489">
        <v>13200</v>
      </c>
      <c r="G5" s="502" t="s">
        <v>186</v>
      </c>
      <c r="H5" s="489">
        <v>-10200</v>
      </c>
      <c r="I5" s="443">
        <f t="shared" ref="I5:I19" si="0">SUM(C5:H5)</f>
        <v>28100</v>
      </c>
    </row>
    <row r="6" spans="2:9" ht="16.5">
      <c r="B6" s="433" t="s">
        <v>27</v>
      </c>
      <c r="C6" s="283">
        <v>2100</v>
      </c>
      <c r="D6" s="338">
        <v>9000</v>
      </c>
      <c r="E6" s="283">
        <v>14000</v>
      </c>
      <c r="F6" s="489">
        <v>13200</v>
      </c>
      <c r="G6" s="502" t="s">
        <v>183</v>
      </c>
      <c r="H6" s="489">
        <v>-20000</v>
      </c>
      <c r="I6" s="443">
        <f t="shared" si="0"/>
        <v>18300</v>
      </c>
    </row>
    <row r="7" spans="2:9" ht="16.5">
      <c r="B7" s="433" t="s">
        <v>20</v>
      </c>
      <c r="C7" s="283">
        <v>2100</v>
      </c>
      <c r="D7" s="338">
        <v>9000</v>
      </c>
      <c r="E7" s="283">
        <v>14000</v>
      </c>
      <c r="F7" s="489">
        <v>7000</v>
      </c>
      <c r="G7" s="502" t="s">
        <v>185</v>
      </c>
      <c r="H7" s="489">
        <v>-17000</v>
      </c>
      <c r="I7" s="443">
        <f t="shared" si="0"/>
        <v>15100</v>
      </c>
    </row>
    <row r="8" spans="2:9" ht="16.5">
      <c r="B8" s="433" t="s">
        <v>137</v>
      </c>
      <c r="C8" s="283">
        <v>2100</v>
      </c>
      <c r="D8" s="338">
        <v>8500</v>
      </c>
      <c r="E8" s="283">
        <v>14000</v>
      </c>
      <c r="F8" s="489">
        <v>13200</v>
      </c>
      <c r="G8" s="502" t="s">
        <v>180</v>
      </c>
      <c r="H8" s="489">
        <f>-(E20+F20)</f>
        <v>-301500</v>
      </c>
      <c r="I8" s="443">
        <f t="shared" si="0"/>
        <v>-263700</v>
      </c>
    </row>
    <row r="9" spans="2:9" ht="16.5">
      <c r="B9" s="433" t="s">
        <v>107</v>
      </c>
      <c r="C9" s="283">
        <v>2100</v>
      </c>
      <c r="D9" s="338">
        <v>8500</v>
      </c>
      <c r="E9" s="283">
        <v>14000</v>
      </c>
      <c r="F9" s="489">
        <v>13200</v>
      </c>
      <c r="G9" s="448"/>
      <c r="H9" s="489"/>
      <c r="I9" s="443">
        <f t="shared" si="0"/>
        <v>37800</v>
      </c>
    </row>
    <row r="10" spans="2:9" ht="16.5">
      <c r="B10" s="433" t="s">
        <v>11</v>
      </c>
      <c r="C10" s="283">
        <v>2100</v>
      </c>
      <c r="D10" s="338">
        <v>8500</v>
      </c>
      <c r="E10" s="283">
        <v>14000</v>
      </c>
      <c r="F10" s="489">
        <v>13200</v>
      </c>
      <c r="G10" s="448"/>
      <c r="H10" s="489"/>
      <c r="I10" s="443">
        <f t="shared" si="0"/>
        <v>37800</v>
      </c>
    </row>
    <row r="11" spans="2:9" ht="16.5">
      <c r="B11" s="433" t="s">
        <v>158</v>
      </c>
      <c r="C11" s="283">
        <v>2200</v>
      </c>
      <c r="D11" s="338">
        <v>9000</v>
      </c>
      <c r="E11" s="283">
        <v>14000</v>
      </c>
      <c r="F11" s="489">
        <v>13200</v>
      </c>
      <c r="G11" s="448"/>
      <c r="H11" s="489"/>
      <c r="I11" s="443">
        <f t="shared" si="0"/>
        <v>38400</v>
      </c>
    </row>
    <row r="12" spans="2:9" ht="16.5">
      <c r="B12" s="433" t="s">
        <v>165</v>
      </c>
      <c r="C12" s="283">
        <v>2200</v>
      </c>
      <c r="D12" s="338">
        <v>9000</v>
      </c>
      <c r="E12" s="283">
        <v>14000</v>
      </c>
      <c r="F12" s="489">
        <v>7000</v>
      </c>
      <c r="G12" s="448"/>
      <c r="H12" s="489"/>
      <c r="I12" s="443">
        <f t="shared" si="0"/>
        <v>32200</v>
      </c>
    </row>
    <row r="13" spans="2:9" ht="16.5">
      <c r="B13" s="436" t="s">
        <v>156</v>
      </c>
      <c r="C13" s="314">
        <v>2200</v>
      </c>
      <c r="D13" s="458">
        <v>9000</v>
      </c>
      <c r="E13" s="314">
        <v>12000</v>
      </c>
      <c r="F13" s="490"/>
      <c r="G13" s="449"/>
      <c r="H13" s="490"/>
      <c r="I13" s="444">
        <f t="shared" si="0"/>
        <v>23200</v>
      </c>
    </row>
    <row r="14" spans="2:9" ht="16.5">
      <c r="B14" s="436" t="s">
        <v>152</v>
      </c>
      <c r="C14" s="314">
        <v>2200</v>
      </c>
      <c r="D14" s="458">
        <v>9000</v>
      </c>
      <c r="E14" s="314">
        <v>12000</v>
      </c>
      <c r="F14" s="490"/>
      <c r="G14" s="449"/>
      <c r="H14" s="490"/>
      <c r="I14" s="444">
        <f t="shared" si="0"/>
        <v>23200</v>
      </c>
    </row>
    <row r="15" spans="2:9" ht="16.5">
      <c r="B15" s="436" t="s">
        <v>154</v>
      </c>
      <c r="C15" s="314">
        <v>2200</v>
      </c>
      <c r="D15" s="458">
        <v>9000</v>
      </c>
      <c r="E15" s="314">
        <v>12000</v>
      </c>
      <c r="F15" s="490"/>
      <c r="G15" s="449"/>
      <c r="H15" s="490"/>
      <c r="I15" s="444">
        <f t="shared" si="0"/>
        <v>23200</v>
      </c>
    </row>
    <row r="16" spans="2:9" ht="16.5">
      <c r="B16" s="438" t="s">
        <v>143</v>
      </c>
      <c r="C16" s="454">
        <v>2200</v>
      </c>
      <c r="D16" s="459">
        <v>9000</v>
      </c>
      <c r="E16" s="454"/>
      <c r="F16" s="491"/>
      <c r="G16" s="450"/>
      <c r="H16" s="491"/>
      <c r="I16" s="445">
        <f t="shared" si="0"/>
        <v>11200</v>
      </c>
    </row>
    <row r="17" spans="2:9" ht="16.5">
      <c r="B17" s="438" t="s">
        <v>15</v>
      </c>
      <c r="C17" s="454">
        <v>2100</v>
      </c>
      <c r="D17" s="459">
        <v>8500</v>
      </c>
      <c r="E17" s="454"/>
      <c r="F17" s="491"/>
      <c r="G17" s="450"/>
      <c r="H17" s="491"/>
      <c r="I17" s="445">
        <f t="shared" si="0"/>
        <v>10600</v>
      </c>
    </row>
    <row r="18" spans="2:9" ht="16.5">
      <c r="B18" s="496" t="s">
        <v>142</v>
      </c>
      <c r="C18" s="497"/>
      <c r="D18" s="498"/>
      <c r="E18" s="497">
        <v>12000</v>
      </c>
      <c r="F18" s="499"/>
      <c r="G18" s="500"/>
      <c r="H18" s="499"/>
      <c r="I18" s="446">
        <f t="shared" si="0"/>
        <v>12000</v>
      </c>
    </row>
    <row r="19" spans="2:9" ht="17.25" thickBot="1">
      <c r="B19" s="496" t="s">
        <v>14</v>
      </c>
      <c r="C19" s="497"/>
      <c r="D19" s="498"/>
      <c r="E19" s="497">
        <v>8000</v>
      </c>
      <c r="F19" s="499">
        <v>13200</v>
      </c>
      <c r="G19" s="500"/>
      <c r="H19" s="499"/>
      <c r="I19" s="446">
        <f t="shared" si="0"/>
        <v>21200</v>
      </c>
    </row>
    <row r="20" spans="2:9" ht="17.25" thickBot="1">
      <c r="B20" s="482" t="s">
        <v>3</v>
      </c>
      <c r="C20" s="483">
        <f>-(H3+H7)</f>
        <v>30000</v>
      </c>
      <c r="D20" s="484">
        <f>-(H5+H6+H4)</f>
        <v>124100</v>
      </c>
      <c r="E20" s="483">
        <v>182000</v>
      </c>
      <c r="F20" s="492">
        <v>119500</v>
      </c>
      <c r="G20" s="494"/>
      <c r="H20" s="492"/>
      <c r="I20" s="431">
        <f>-SUM(H3:H8)</f>
        <v>455600</v>
      </c>
    </row>
    <row r="23" spans="2:9">
      <c r="C23" s="135">
        <f>SUM(C3:C19)</f>
        <v>30000</v>
      </c>
      <c r="D23" s="135">
        <f>SUM(D3:D19)</f>
        <v>124100</v>
      </c>
      <c r="E23" s="135">
        <f>SUM(E3:E19)</f>
        <v>182000</v>
      </c>
      <c r="F23" s="135">
        <f>SUM(F3:F19)</f>
        <v>119500</v>
      </c>
    </row>
  </sheetData>
  <mergeCells count="7">
    <mergeCell ref="I3:I4"/>
    <mergeCell ref="G2:H2"/>
    <mergeCell ref="B3:B4"/>
    <mergeCell ref="C3:C4"/>
    <mergeCell ref="F3:F4"/>
    <mergeCell ref="E3:E4"/>
    <mergeCell ref="D3:D4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6F0F-D289-47BA-8BB7-D51747809145}">
  <dimension ref="B2:G25"/>
  <sheetViews>
    <sheetView workbookViewId="0">
      <selection activeCell="B3" sqref="B3:G11"/>
    </sheetView>
  </sheetViews>
  <sheetFormatPr defaultRowHeight="13.5"/>
  <cols>
    <col min="3" max="3" width="7.5" bestFit="1" customWidth="1"/>
    <col min="5" max="5" width="12.5" bestFit="1" customWidth="1"/>
  </cols>
  <sheetData>
    <row r="2" spans="2:7" ht="14.25" thickBot="1"/>
    <row r="3" spans="2:7" ht="13.5" customHeight="1">
      <c r="B3" s="610" t="s">
        <v>0</v>
      </c>
      <c r="C3" s="631" t="s">
        <v>188</v>
      </c>
      <c r="D3" s="648" t="s">
        <v>189</v>
      </c>
      <c r="E3" s="648" t="s">
        <v>190</v>
      </c>
      <c r="F3" s="650" t="s">
        <v>16</v>
      </c>
      <c r="G3" s="610" t="s">
        <v>102</v>
      </c>
    </row>
    <row r="4" spans="2:7" ht="14.25" customHeight="1" thickBot="1">
      <c r="B4" s="611"/>
      <c r="C4" s="632"/>
      <c r="D4" s="649"/>
      <c r="E4" s="649"/>
      <c r="F4" s="651"/>
      <c r="G4" s="622"/>
    </row>
    <row r="5" spans="2:7" ht="16.5">
      <c r="B5" s="380" t="s">
        <v>7</v>
      </c>
      <c r="C5" s="507">
        <v>6900</v>
      </c>
      <c r="D5" s="510">
        <v>13600</v>
      </c>
      <c r="E5" s="510">
        <v>16000</v>
      </c>
      <c r="F5" s="503"/>
      <c r="G5" s="514">
        <f>SUM(C5:F5)</f>
        <v>36500</v>
      </c>
    </row>
    <row r="6" spans="2:7" ht="16.5">
      <c r="B6" s="382" t="s">
        <v>156</v>
      </c>
      <c r="C6" s="508">
        <v>6900</v>
      </c>
      <c r="D6" s="511">
        <v>13500</v>
      </c>
      <c r="E6" s="511">
        <v>7000</v>
      </c>
      <c r="F6" s="504">
        <v>-67400</v>
      </c>
      <c r="G6" s="515">
        <f>SUM(C6:F6)</f>
        <v>-40000</v>
      </c>
    </row>
    <row r="7" spans="2:7" ht="16.5">
      <c r="B7" s="382" t="s">
        <v>124</v>
      </c>
      <c r="C7" s="508">
        <v>6000</v>
      </c>
      <c r="D7" s="511">
        <v>13600</v>
      </c>
      <c r="E7" s="511">
        <v>0</v>
      </c>
      <c r="F7" s="504"/>
      <c r="G7" s="515">
        <f t="shared" ref="G7:G10" si="0">SUM(C7:F7)</f>
        <v>19600</v>
      </c>
    </row>
    <row r="8" spans="2:7" ht="16.5">
      <c r="B8" s="382" t="s">
        <v>10</v>
      </c>
      <c r="C8" s="508">
        <v>6900</v>
      </c>
      <c r="D8" s="511">
        <v>0</v>
      </c>
      <c r="E8" s="511">
        <v>0</v>
      </c>
      <c r="F8" s="504"/>
      <c r="G8" s="515">
        <f t="shared" si="0"/>
        <v>6900</v>
      </c>
    </row>
    <row r="9" spans="2:7" ht="16.5">
      <c r="B9" s="382" t="s">
        <v>187</v>
      </c>
      <c r="C9" s="508">
        <v>0</v>
      </c>
      <c r="D9" s="511">
        <v>0</v>
      </c>
      <c r="E9" s="511">
        <v>0</v>
      </c>
      <c r="F9" s="504"/>
      <c r="G9" s="515">
        <f t="shared" si="0"/>
        <v>0</v>
      </c>
    </row>
    <row r="10" spans="2:7" ht="17.25" thickBot="1">
      <c r="B10" s="384" t="s">
        <v>24</v>
      </c>
      <c r="C10" s="509">
        <v>0</v>
      </c>
      <c r="D10" s="512">
        <v>0</v>
      </c>
      <c r="E10" s="512">
        <v>0</v>
      </c>
      <c r="F10" s="505"/>
      <c r="G10" s="516">
        <f t="shared" si="0"/>
        <v>0</v>
      </c>
    </row>
    <row r="11" spans="2:7" ht="17.25" thickBot="1">
      <c r="B11" s="378" t="s">
        <v>3</v>
      </c>
      <c r="C11" s="486">
        <v>26700</v>
      </c>
      <c r="D11" s="513">
        <v>40700</v>
      </c>
      <c r="E11" s="513">
        <v>23000</v>
      </c>
      <c r="F11" s="506"/>
      <c r="G11" s="379">
        <f>SUM(C11:F11)</f>
        <v>90400</v>
      </c>
    </row>
    <row r="14" spans="2:7">
      <c r="D14" s="135"/>
    </row>
    <row r="22" spans="7:7">
      <c r="G22">
        <v>4000</v>
      </c>
    </row>
    <row r="23" spans="7:7">
      <c r="G23">
        <v>1000</v>
      </c>
    </row>
    <row r="24" spans="7:7">
      <c r="G24">
        <v>10000</v>
      </c>
    </row>
    <row r="25" spans="7:7">
      <c r="G25">
        <v>4000</v>
      </c>
    </row>
  </sheetData>
  <mergeCells count="6">
    <mergeCell ref="G3:G4"/>
    <mergeCell ref="B3:B4"/>
    <mergeCell ref="C3:C4"/>
    <mergeCell ref="D3:D4"/>
    <mergeCell ref="E3:E4"/>
    <mergeCell ref="F3:F4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736F-9995-4377-813A-4E4780185A99}">
  <dimension ref="B4:K22"/>
  <sheetViews>
    <sheetView zoomScale="115" zoomScaleNormal="115" workbookViewId="0">
      <selection activeCell="I20" sqref="I20"/>
    </sheetView>
  </sheetViews>
  <sheetFormatPr defaultRowHeight="16.5"/>
  <cols>
    <col min="1" max="4" width="10.5" style="2" bestFit="1" customWidth="1"/>
    <col min="5" max="16384" width="9" style="2"/>
  </cols>
  <sheetData>
    <row r="4" spans="2:11" ht="17.25" thickBot="1"/>
    <row r="5" spans="2:11" ht="17.25" thickBot="1">
      <c r="B5" s="543" t="s">
        <v>198</v>
      </c>
      <c r="C5" s="656" t="s">
        <v>107</v>
      </c>
      <c r="D5" s="657"/>
      <c r="E5" s="658"/>
      <c r="F5" s="656" t="s">
        <v>7</v>
      </c>
      <c r="G5" s="657"/>
      <c r="H5" s="657"/>
      <c r="I5" s="658"/>
    </row>
    <row r="6" spans="2:11">
      <c r="B6" s="659" t="s">
        <v>0</v>
      </c>
      <c r="C6" s="661" t="s">
        <v>191</v>
      </c>
      <c r="D6" s="663" t="s">
        <v>192</v>
      </c>
      <c r="E6" s="663" t="s">
        <v>100</v>
      </c>
      <c r="F6" s="664" t="s">
        <v>193</v>
      </c>
      <c r="G6" s="665"/>
      <c r="H6" s="665"/>
      <c r="I6" s="666"/>
      <c r="J6" s="652" t="s">
        <v>16</v>
      </c>
      <c r="K6" s="654" t="s">
        <v>102</v>
      </c>
    </row>
    <row r="7" spans="2:11" ht="17.25" thickBot="1">
      <c r="B7" s="660"/>
      <c r="C7" s="662"/>
      <c r="D7" s="649"/>
      <c r="E7" s="649"/>
      <c r="F7" s="538" t="s">
        <v>194</v>
      </c>
      <c r="G7" s="538" t="s">
        <v>195</v>
      </c>
      <c r="H7" s="538" t="s">
        <v>197</v>
      </c>
      <c r="I7" s="539" t="s">
        <v>196</v>
      </c>
      <c r="J7" s="653"/>
      <c r="K7" s="655"/>
    </row>
    <row r="8" spans="2:11">
      <c r="B8" s="519" t="s">
        <v>7</v>
      </c>
      <c r="C8" s="540">
        <v>17620</v>
      </c>
      <c r="D8" s="453">
        <v>5450</v>
      </c>
      <c r="E8" s="453">
        <v>10000</v>
      </c>
      <c r="F8" s="453">
        <v>3930</v>
      </c>
      <c r="G8" s="453">
        <v>1500</v>
      </c>
      <c r="H8" s="453">
        <v>7990</v>
      </c>
      <c r="I8" s="523">
        <v>6000</v>
      </c>
      <c r="J8" s="523">
        <v>-82720</v>
      </c>
      <c r="K8" s="521">
        <f t="shared" ref="K8:K15" si="0">SUM(C8:J8)</f>
        <v>-30230</v>
      </c>
    </row>
    <row r="9" spans="2:11">
      <c r="B9" s="520" t="s">
        <v>107</v>
      </c>
      <c r="C9" s="524">
        <v>30000</v>
      </c>
      <c r="D9" s="283">
        <v>5450</v>
      </c>
      <c r="E9" s="283">
        <v>10000</v>
      </c>
      <c r="F9" s="283">
        <v>4000</v>
      </c>
      <c r="G9" s="283">
        <v>1500</v>
      </c>
      <c r="H9" s="283">
        <v>7900</v>
      </c>
      <c r="I9" s="525">
        <v>5900</v>
      </c>
      <c r="J9" s="525">
        <f>-SUM(C16:E16)</f>
        <v>-297520</v>
      </c>
      <c r="K9" s="522">
        <f t="shared" si="0"/>
        <v>-232770</v>
      </c>
    </row>
    <row r="10" spans="2:11">
      <c r="B10" s="520" t="s">
        <v>121</v>
      </c>
      <c r="C10" s="541">
        <v>17500</v>
      </c>
      <c r="D10" s="283"/>
      <c r="E10" s="283">
        <v>10000</v>
      </c>
      <c r="F10" s="283">
        <v>4000</v>
      </c>
      <c r="G10" s="283">
        <v>1500</v>
      </c>
      <c r="H10" s="283">
        <v>7900</v>
      </c>
      <c r="I10" s="525">
        <v>5900</v>
      </c>
      <c r="J10" s="525"/>
      <c r="K10" s="522">
        <f t="shared" si="0"/>
        <v>46800</v>
      </c>
    </row>
    <row r="11" spans="2:11">
      <c r="B11" s="520" t="s">
        <v>24</v>
      </c>
      <c r="C11" s="524">
        <v>30000</v>
      </c>
      <c r="D11" s="283"/>
      <c r="E11" s="283">
        <v>10000</v>
      </c>
      <c r="F11" s="283">
        <v>4000</v>
      </c>
      <c r="G11" s="283">
        <v>1500</v>
      </c>
      <c r="H11" s="283">
        <v>7900</v>
      </c>
      <c r="I11" s="525">
        <v>5900</v>
      </c>
      <c r="J11" s="525"/>
      <c r="K11" s="522">
        <f t="shared" si="0"/>
        <v>59300</v>
      </c>
    </row>
    <row r="12" spans="2:11">
      <c r="B12" s="526" t="s">
        <v>9</v>
      </c>
      <c r="C12" s="528">
        <v>30000</v>
      </c>
      <c r="D12" s="314"/>
      <c r="E12" s="314">
        <v>12000</v>
      </c>
      <c r="F12" s="314">
        <v>2000</v>
      </c>
      <c r="G12" s="314">
        <v>750</v>
      </c>
      <c r="H12" s="314">
        <v>4000</v>
      </c>
      <c r="I12" s="529">
        <v>2950</v>
      </c>
      <c r="J12" s="529"/>
      <c r="K12" s="527">
        <f t="shared" si="0"/>
        <v>51700</v>
      </c>
    </row>
    <row r="13" spans="2:11">
      <c r="B13" s="526" t="s">
        <v>11</v>
      </c>
      <c r="C13" s="528">
        <v>30000</v>
      </c>
      <c r="D13" s="314"/>
      <c r="E13" s="314">
        <v>10000</v>
      </c>
      <c r="F13" s="314">
        <v>2000</v>
      </c>
      <c r="G13" s="314">
        <v>750</v>
      </c>
      <c r="H13" s="314">
        <v>4000</v>
      </c>
      <c r="I13" s="529">
        <v>2950</v>
      </c>
      <c r="J13" s="529"/>
      <c r="K13" s="527">
        <f t="shared" si="0"/>
        <v>49700</v>
      </c>
    </row>
    <row r="14" spans="2:11">
      <c r="B14" s="530" t="s">
        <v>126</v>
      </c>
      <c r="C14" s="534">
        <v>30000</v>
      </c>
      <c r="D14" s="454"/>
      <c r="E14" s="454">
        <v>10000</v>
      </c>
      <c r="F14" s="454"/>
      <c r="G14" s="454"/>
      <c r="H14" s="454"/>
      <c r="I14" s="535"/>
      <c r="J14" s="535"/>
      <c r="K14" s="532">
        <f t="shared" si="0"/>
        <v>40000</v>
      </c>
    </row>
    <row r="15" spans="2:11" ht="17.25" thickBot="1">
      <c r="B15" s="531" t="s">
        <v>127</v>
      </c>
      <c r="C15" s="542">
        <v>17500</v>
      </c>
      <c r="D15" s="536"/>
      <c r="E15" s="536">
        <v>12000</v>
      </c>
      <c r="F15" s="536"/>
      <c r="G15" s="536"/>
      <c r="H15" s="536"/>
      <c r="I15" s="537"/>
      <c r="J15" s="537"/>
      <c r="K15" s="533">
        <f t="shared" si="0"/>
        <v>29500</v>
      </c>
    </row>
    <row r="16" spans="2:11" ht="17.25" thickBot="1">
      <c r="B16" s="378" t="s">
        <v>3</v>
      </c>
      <c r="C16" s="517">
        <f>SUM(C8:C15)</f>
        <v>202620</v>
      </c>
      <c r="D16" s="513">
        <f>SUM(D8:D15)</f>
        <v>10900</v>
      </c>
      <c r="E16" s="513">
        <f t="shared" ref="E16:I16" si="1">SUM(E8:E15)</f>
        <v>84000</v>
      </c>
      <c r="F16" s="513">
        <f t="shared" si="1"/>
        <v>19930</v>
      </c>
      <c r="G16" s="513">
        <f t="shared" si="1"/>
        <v>7500</v>
      </c>
      <c r="H16" s="513">
        <v>39690</v>
      </c>
      <c r="I16" s="518">
        <f t="shared" si="1"/>
        <v>29600</v>
      </c>
      <c r="J16" s="518">
        <f t="shared" ref="J16" si="2">SUM(J8:J15)</f>
        <v>-380240</v>
      </c>
      <c r="K16" s="506">
        <f>SUM(K8:K15)</f>
        <v>14000</v>
      </c>
    </row>
    <row r="18" spans="3:9">
      <c r="C18" s="198"/>
      <c r="F18" s="198"/>
      <c r="H18" s="198"/>
    </row>
    <row r="19" spans="3:9">
      <c r="F19" s="198"/>
      <c r="G19" s="198"/>
      <c r="H19" s="198"/>
      <c r="I19" s="198"/>
    </row>
    <row r="22" spans="3:9">
      <c r="G22" s="198"/>
    </row>
  </sheetData>
  <mergeCells count="9">
    <mergeCell ref="J6:J7"/>
    <mergeCell ref="K6:K7"/>
    <mergeCell ref="C5:E5"/>
    <mergeCell ref="F5:I5"/>
    <mergeCell ref="B6:B7"/>
    <mergeCell ref="C6:C7"/>
    <mergeCell ref="D6:D7"/>
    <mergeCell ref="E6:E7"/>
    <mergeCell ref="F6:I6"/>
  </mergeCells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C2F3-FCCD-464E-A6CA-B67D36EB2239}">
  <dimension ref="B3:I36"/>
  <sheetViews>
    <sheetView workbookViewId="0">
      <selection activeCell="H4" sqref="H4:H32"/>
    </sheetView>
  </sheetViews>
  <sheetFormatPr defaultRowHeight="13.5"/>
  <cols>
    <col min="3" max="3" width="9.5" bestFit="1" customWidth="1"/>
    <col min="6" max="7" width="11.875" bestFit="1" customWidth="1"/>
  </cols>
  <sheetData>
    <row r="3" spans="2:9" ht="14.25" thickBot="1"/>
    <row r="4" spans="2:9" ht="13.5" customHeight="1">
      <c r="B4" s="610" t="s">
        <v>0</v>
      </c>
      <c r="C4" s="679" t="s">
        <v>204</v>
      </c>
      <c r="D4" s="648" t="s">
        <v>203</v>
      </c>
      <c r="E4" s="648" t="s">
        <v>205</v>
      </c>
      <c r="F4" s="681" t="s">
        <v>202</v>
      </c>
      <c r="G4" s="623" t="s">
        <v>173</v>
      </c>
      <c r="H4" s="623" t="s">
        <v>16</v>
      </c>
      <c r="I4" s="610" t="s">
        <v>102</v>
      </c>
    </row>
    <row r="5" spans="2:9" ht="14.25" customHeight="1" thickBot="1">
      <c r="B5" s="611"/>
      <c r="C5" s="660"/>
      <c r="D5" s="649"/>
      <c r="E5" s="680"/>
      <c r="F5" s="682"/>
      <c r="G5" s="624"/>
      <c r="H5" s="624"/>
      <c r="I5" s="622"/>
    </row>
    <row r="6" spans="2:9" ht="16.5">
      <c r="B6" s="432" t="s">
        <v>11</v>
      </c>
      <c r="C6" s="544">
        <v>17300</v>
      </c>
      <c r="D6" s="453">
        <v>5900</v>
      </c>
      <c r="E6" s="453">
        <v>3900</v>
      </c>
      <c r="F6" s="457">
        <f>100+8100</f>
        <v>8200</v>
      </c>
      <c r="G6" s="523">
        <v>1700</v>
      </c>
      <c r="H6" s="523"/>
      <c r="I6" s="442">
        <f>SUM(C6:H6)</f>
        <v>37000</v>
      </c>
    </row>
    <row r="7" spans="2:9" ht="16.5">
      <c r="B7" s="433" t="s">
        <v>140</v>
      </c>
      <c r="C7" s="545">
        <v>17300</v>
      </c>
      <c r="D7" s="283">
        <v>5900</v>
      </c>
      <c r="E7" s="283">
        <v>3900</v>
      </c>
      <c r="F7" s="338">
        <v>100</v>
      </c>
      <c r="G7" s="525"/>
      <c r="H7" s="525"/>
      <c r="I7" s="443">
        <f>SUM(C7:H7)</f>
        <v>27200</v>
      </c>
    </row>
    <row r="8" spans="2:9" ht="16.5">
      <c r="B8" s="433" t="s">
        <v>156</v>
      </c>
      <c r="C8" s="545">
        <v>17300</v>
      </c>
      <c r="D8" s="283">
        <v>5800</v>
      </c>
      <c r="E8" s="283">
        <v>3800</v>
      </c>
      <c r="F8" s="338">
        <f>100+15620</f>
        <v>15720</v>
      </c>
      <c r="G8" s="525">
        <v>1700</v>
      </c>
      <c r="H8" s="525">
        <f>-492870-6800</f>
        <v>-499670</v>
      </c>
      <c r="I8" s="443">
        <f t="shared" ref="I8:I26" si="0">SUM(C8:H8)</f>
        <v>-455350</v>
      </c>
    </row>
    <row r="9" spans="2:9" ht="16.5">
      <c r="B9" s="433" t="s">
        <v>201</v>
      </c>
      <c r="C9" s="545">
        <v>17300</v>
      </c>
      <c r="D9" s="283">
        <v>5900</v>
      </c>
      <c r="E9" s="283">
        <v>3800</v>
      </c>
      <c r="F9" s="338">
        <f>100+15650</f>
        <v>15750</v>
      </c>
      <c r="G9" s="525">
        <v>1700</v>
      </c>
      <c r="H9" s="525"/>
      <c r="I9" s="443">
        <f t="shared" si="0"/>
        <v>44450</v>
      </c>
    </row>
    <row r="10" spans="2:9" ht="16.5">
      <c r="B10" s="433" t="s">
        <v>106</v>
      </c>
      <c r="C10" s="545">
        <v>17300</v>
      </c>
      <c r="D10" s="283">
        <v>5900</v>
      </c>
      <c r="E10" s="283">
        <v>3800</v>
      </c>
      <c r="F10" s="338">
        <v>100</v>
      </c>
      <c r="G10" s="525"/>
      <c r="H10" s="525"/>
      <c r="I10" s="443">
        <f t="shared" si="0"/>
        <v>27100</v>
      </c>
    </row>
    <row r="11" spans="2:9" ht="16.5">
      <c r="B11" s="433" t="s">
        <v>25</v>
      </c>
      <c r="C11" s="545">
        <v>17300</v>
      </c>
      <c r="D11" s="283">
        <v>5900</v>
      </c>
      <c r="E11" s="283">
        <v>3800</v>
      </c>
      <c r="F11" s="338">
        <v>100</v>
      </c>
      <c r="G11" s="525"/>
      <c r="H11" s="525"/>
      <c r="I11" s="443">
        <f t="shared" si="0"/>
        <v>27100</v>
      </c>
    </row>
    <row r="12" spans="2:9" ht="16.5">
      <c r="B12" s="433" t="s">
        <v>142</v>
      </c>
      <c r="C12" s="545">
        <v>17300</v>
      </c>
      <c r="D12" s="283">
        <v>5900</v>
      </c>
      <c r="E12" s="283">
        <v>3800</v>
      </c>
      <c r="F12" s="338">
        <v>100</v>
      </c>
      <c r="G12" s="525"/>
      <c r="H12" s="525"/>
      <c r="I12" s="443">
        <f t="shared" si="0"/>
        <v>27100</v>
      </c>
    </row>
    <row r="13" spans="2:9" ht="16.5">
      <c r="B13" s="436" t="s">
        <v>169</v>
      </c>
      <c r="C13" s="546">
        <v>17300</v>
      </c>
      <c r="D13" s="314">
        <v>5900</v>
      </c>
      <c r="E13" s="314"/>
      <c r="F13" s="458">
        <v>100</v>
      </c>
      <c r="G13" s="529"/>
      <c r="H13" s="529"/>
      <c r="I13" s="444">
        <f t="shared" si="0"/>
        <v>23300</v>
      </c>
    </row>
    <row r="14" spans="2:9" ht="16.5">
      <c r="B14" s="436" t="s">
        <v>200</v>
      </c>
      <c r="C14" s="546">
        <v>17300</v>
      </c>
      <c r="D14" s="314">
        <v>5900</v>
      </c>
      <c r="E14" s="314"/>
      <c r="F14" s="458"/>
      <c r="G14" s="529"/>
      <c r="H14" s="529">
        <v>-55000</v>
      </c>
      <c r="I14" s="444">
        <f t="shared" si="0"/>
        <v>-31800</v>
      </c>
    </row>
    <row r="15" spans="2:9" ht="16.5">
      <c r="B15" s="438" t="s">
        <v>7</v>
      </c>
      <c r="C15" s="547">
        <v>17300</v>
      </c>
      <c r="D15" s="454"/>
      <c r="E15" s="454"/>
      <c r="F15" s="459">
        <v>100</v>
      </c>
      <c r="G15" s="535"/>
      <c r="H15" s="535"/>
      <c r="I15" s="445">
        <f t="shared" si="0"/>
        <v>17400</v>
      </c>
    </row>
    <row r="16" spans="2:9" ht="16.5">
      <c r="B16" s="438" t="s">
        <v>15</v>
      </c>
      <c r="C16" s="547">
        <v>17300</v>
      </c>
      <c r="D16" s="454"/>
      <c r="E16" s="454"/>
      <c r="F16" s="459">
        <v>100</v>
      </c>
      <c r="G16" s="535"/>
      <c r="H16" s="535"/>
      <c r="I16" s="445">
        <f t="shared" si="0"/>
        <v>17400</v>
      </c>
    </row>
    <row r="17" spans="2:9" ht="16.5">
      <c r="B17" s="438" t="s">
        <v>165</v>
      </c>
      <c r="C17" s="547">
        <v>17300</v>
      </c>
      <c r="D17" s="454"/>
      <c r="E17" s="454"/>
      <c r="F17" s="459">
        <f>100+8100</f>
        <v>8200</v>
      </c>
      <c r="G17" s="535">
        <v>1700</v>
      </c>
      <c r="H17" s="535"/>
      <c r="I17" s="445">
        <f t="shared" si="0"/>
        <v>27200</v>
      </c>
    </row>
    <row r="18" spans="2:9" ht="16.5">
      <c r="B18" s="438" t="s">
        <v>158</v>
      </c>
      <c r="C18" s="547">
        <v>17300</v>
      </c>
      <c r="D18" s="454"/>
      <c r="E18" s="454"/>
      <c r="F18" s="459">
        <f>100+15650</f>
        <v>15750</v>
      </c>
      <c r="G18" s="535">
        <v>1700</v>
      </c>
      <c r="H18" s="535"/>
      <c r="I18" s="445">
        <f t="shared" si="0"/>
        <v>34750</v>
      </c>
    </row>
    <row r="19" spans="2:9" ht="16.5">
      <c r="B19" s="438" t="s">
        <v>164</v>
      </c>
      <c r="C19" s="547">
        <v>17300</v>
      </c>
      <c r="D19" s="454"/>
      <c r="E19" s="454"/>
      <c r="F19" s="459">
        <f>100+8030</f>
        <v>8130</v>
      </c>
      <c r="G19" s="535">
        <v>1600</v>
      </c>
      <c r="H19" s="535">
        <v>-39030</v>
      </c>
      <c r="I19" s="445">
        <f t="shared" si="0"/>
        <v>-12000</v>
      </c>
    </row>
    <row r="20" spans="2:9" ht="16.5">
      <c r="B20" s="438" t="s">
        <v>152</v>
      </c>
      <c r="C20" s="547">
        <v>17300</v>
      </c>
      <c r="D20" s="454"/>
      <c r="E20" s="454"/>
      <c r="F20" s="459">
        <v>100</v>
      </c>
      <c r="G20" s="535"/>
      <c r="H20" s="535"/>
      <c r="I20" s="445">
        <f t="shared" si="0"/>
        <v>17400</v>
      </c>
    </row>
    <row r="21" spans="2:9" ht="16.5">
      <c r="B21" s="438" t="s">
        <v>199</v>
      </c>
      <c r="C21" s="547">
        <v>17300</v>
      </c>
      <c r="D21" s="454"/>
      <c r="E21" s="454"/>
      <c r="F21" s="459">
        <v>100</v>
      </c>
      <c r="G21" s="535"/>
      <c r="H21" s="535"/>
      <c r="I21" s="445">
        <f t="shared" si="0"/>
        <v>17400</v>
      </c>
    </row>
    <row r="22" spans="2:9" ht="16.5">
      <c r="B22" s="438" t="s">
        <v>24</v>
      </c>
      <c r="C22" s="547">
        <v>17300</v>
      </c>
      <c r="D22" s="454"/>
      <c r="E22" s="454"/>
      <c r="F22" s="459">
        <v>100</v>
      </c>
      <c r="G22" s="535"/>
      <c r="H22" s="535"/>
      <c r="I22" s="445">
        <f t="shared" si="0"/>
        <v>17400</v>
      </c>
    </row>
    <row r="23" spans="2:9" ht="16.5">
      <c r="B23" s="438" t="s">
        <v>13</v>
      </c>
      <c r="C23" s="547">
        <v>17300</v>
      </c>
      <c r="D23" s="454"/>
      <c r="E23" s="454"/>
      <c r="F23" s="459">
        <v>100</v>
      </c>
      <c r="G23" s="535"/>
      <c r="H23" s="535"/>
      <c r="I23" s="445">
        <f t="shared" si="0"/>
        <v>17400</v>
      </c>
    </row>
    <row r="24" spans="2:9" ht="16.5">
      <c r="B24" s="438" t="s">
        <v>10</v>
      </c>
      <c r="C24" s="547">
        <v>17300</v>
      </c>
      <c r="D24" s="454"/>
      <c r="E24" s="454"/>
      <c r="F24" s="459">
        <f>100+8100</f>
        <v>8200</v>
      </c>
      <c r="G24" s="535">
        <v>1700</v>
      </c>
      <c r="H24" s="535"/>
      <c r="I24" s="445">
        <f t="shared" si="0"/>
        <v>27200</v>
      </c>
    </row>
    <row r="25" spans="2:9" ht="16.5">
      <c r="B25" s="438" t="s">
        <v>107</v>
      </c>
      <c r="C25" s="547">
        <v>17300</v>
      </c>
      <c r="D25" s="454"/>
      <c r="E25" s="454"/>
      <c r="F25" s="459">
        <f>100+15650</f>
        <v>15750</v>
      </c>
      <c r="G25" s="535">
        <v>1700</v>
      </c>
      <c r="H25" s="535"/>
      <c r="I25" s="445">
        <f t="shared" si="0"/>
        <v>34750</v>
      </c>
    </row>
    <row r="26" spans="2:9" ht="16.5">
      <c r="B26" s="438" t="s">
        <v>137</v>
      </c>
      <c r="C26" s="547">
        <v>17300</v>
      </c>
      <c r="D26" s="454"/>
      <c r="E26" s="454"/>
      <c r="F26" s="459"/>
      <c r="G26" s="535"/>
      <c r="H26" s="535"/>
      <c r="I26" s="445">
        <f t="shared" si="0"/>
        <v>17300</v>
      </c>
    </row>
    <row r="27" spans="2:9" ht="17.25" customHeight="1">
      <c r="B27" s="438" t="s">
        <v>209</v>
      </c>
      <c r="C27" s="547">
        <v>17300</v>
      </c>
      <c r="D27" s="454"/>
      <c r="E27" s="454"/>
      <c r="F27" s="459"/>
      <c r="G27" s="535"/>
      <c r="H27" s="535"/>
      <c r="I27" s="445">
        <f t="shared" ref="I27:I29" si="1">SUM(C27:H27)</f>
        <v>17300</v>
      </c>
    </row>
    <row r="28" spans="2:9" ht="14.25" customHeight="1">
      <c r="B28" s="438" t="s">
        <v>210</v>
      </c>
      <c r="C28" s="547">
        <v>17300</v>
      </c>
      <c r="D28" s="454"/>
      <c r="E28" s="454"/>
      <c r="F28" s="459"/>
      <c r="G28" s="535"/>
      <c r="H28" s="535"/>
      <c r="I28" s="445">
        <f t="shared" si="1"/>
        <v>17300</v>
      </c>
    </row>
    <row r="29" spans="2:9" ht="15.75" customHeight="1" thickBot="1">
      <c r="B29" s="496" t="s">
        <v>9</v>
      </c>
      <c r="C29" s="552">
        <v>5600</v>
      </c>
      <c r="D29" s="497"/>
      <c r="E29" s="497"/>
      <c r="F29" s="498">
        <v>100</v>
      </c>
      <c r="G29" s="553"/>
      <c r="H29" s="553"/>
      <c r="I29" s="446">
        <f t="shared" si="1"/>
        <v>5700</v>
      </c>
    </row>
    <row r="30" spans="2:9" ht="16.5">
      <c r="B30" s="670" t="s">
        <v>3</v>
      </c>
      <c r="C30" s="667">
        <v>403500</v>
      </c>
      <c r="D30" s="676">
        <v>53000</v>
      </c>
      <c r="E30" s="676">
        <v>26800</v>
      </c>
      <c r="F30" s="554" t="s">
        <v>207</v>
      </c>
      <c r="G30" s="551"/>
      <c r="H30" s="673">
        <f>SUM(H6:H29)</f>
        <v>-593700</v>
      </c>
      <c r="I30" s="673">
        <f>SUM(I6:I29)</f>
        <v>0</v>
      </c>
    </row>
    <row r="31" spans="2:9" ht="16.5">
      <c r="B31" s="671"/>
      <c r="C31" s="668"/>
      <c r="D31" s="677"/>
      <c r="E31" s="677"/>
      <c r="F31" s="556" t="s">
        <v>208</v>
      </c>
      <c r="G31" s="557">
        <v>6700</v>
      </c>
      <c r="H31" s="674"/>
      <c r="I31" s="674"/>
    </row>
    <row r="32" spans="2:9" ht="17.25" thickBot="1">
      <c r="B32" s="672"/>
      <c r="C32" s="669"/>
      <c r="D32" s="678"/>
      <c r="E32" s="678"/>
      <c r="F32" s="555" t="s">
        <v>206</v>
      </c>
      <c r="G32" s="518">
        <v>6800</v>
      </c>
      <c r="H32" s="675"/>
      <c r="I32" s="675"/>
    </row>
    <row r="33" spans="3:7">
      <c r="C33" s="135"/>
      <c r="D33" s="135"/>
      <c r="E33" s="135"/>
      <c r="F33" s="135"/>
      <c r="G33" s="135"/>
    </row>
    <row r="34" spans="3:7">
      <c r="C34" s="135"/>
      <c r="E34" s="135"/>
    </row>
    <row r="36" spans="3:7">
      <c r="C36" s="135">
        <f>SUM(C6:C29)</f>
        <v>403500</v>
      </c>
      <c r="D36" s="135">
        <f t="shared" ref="D36:E36" si="2">SUM(D6:D29)</f>
        <v>53000</v>
      </c>
      <c r="E36" s="135">
        <f t="shared" si="2"/>
        <v>26800</v>
      </c>
    </row>
  </sheetData>
  <mergeCells count="14">
    <mergeCell ref="C30:C32"/>
    <mergeCell ref="B30:B32"/>
    <mergeCell ref="H4:H5"/>
    <mergeCell ref="I4:I5"/>
    <mergeCell ref="I30:I32"/>
    <mergeCell ref="H30:H32"/>
    <mergeCell ref="E30:E32"/>
    <mergeCell ref="D30:D32"/>
    <mergeCell ref="B4:B5"/>
    <mergeCell ref="C4:C5"/>
    <mergeCell ref="D4:D5"/>
    <mergeCell ref="E4:E5"/>
    <mergeCell ref="F4:F5"/>
    <mergeCell ref="G4:G5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CA48-A05C-4407-B5DE-F356F06F5455}">
  <dimension ref="B2:E15"/>
  <sheetViews>
    <sheetView workbookViewId="0">
      <selection activeCell="B3" sqref="B3:E14"/>
    </sheetView>
  </sheetViews>
  <sheetFormatPr defaultRowHeight="13.5"/>
  <sheetData>
    <row r="2" spans="2:5" ht="14.25" thickBot="1"/>
    <row r="3" spans="2:5">
      <c r="B3" s="610" t="s">
        <v>0</v>
      </c>
      <c r="C3" s="631" t="s">
        <v>138</v>
      </c>
      <c r="D3" s="683" t="s">
        <v>139</v>
      </c>
      <c r="E3" s="610" t="s">
        <v>102</v>
      </c>
    </row>
    <row r="4" spans="2:5" ht="14.25" thickBot="1">
      <c r="B4" s="611"/>
      <c r="C4" s="632"/>
      <c r="D4" s="684"/>
      <c r="E4" s="611"/>
    </row>
    <row r="5" spans="2:5" ht="16.5">
      <c r="B5" s="432" t="s">
        <v>27</v>
      </c>
      <c r="C5" s="447">
        <v>11000</v>
      </c>
      <c r="D5" s="548">
        <v>13000</v>
      </c>
      <c r="E5" s="442">
        <f>SUM(C5:D5)</f>
        <v>24000</v>
      </c>
    </row>
    <row r="6" spans="2:5" ht="16.5">
      <c r="B6" s="433" t="s">
        <v>20</v>
      </c>
      <c r="C6" s="448">
        <v>11000</v>
      </c>
      <c r="D6" s="549">
        <v>13000</v>
      </c>
      <c r="E6" s="443">
        <f>SUM(C6:D6)</f>
        <v>24000</v>
      </c>
    </row>
    <row r="7" spans="2:5" ht="16.5">
      <c r="B7" s="433" t="s">
        <v>7</v>
      </c>
      <c r="C7" s="448">
        <v>11000</v>
      </c>
      <c r="D7" s="549">
        <v>12000</v>
      </c>
      <c r="E7" s="443">
        <f t="shared" ref="E7:E8" si="0">SUM(C7:D7)</f>
        <v>23000</v>
      </c>
    </row>
    <row r="8" spans="2:5" ht="16.5">
      <c r="B8" s="433" t="s">
        <v>19</v>
      </c>
      <c r="C8" s="448">
        <v>11000</v>
      </c>
      <c r="D8" s="549">
        <v>13000</v>
      </c>
      <c r="E8" s="443">
        <f t="shared" si="0"/>
        <v>24000</v>
      </c>
    </row>
    <row r="9" spans="2:5" ht="16.5">
      <c r="B9" s="433" t="s">
        <v>158</v>
      </c>
      <c r="C9" s="448">
        <v>10000</v>
      </c>
      <c r="D9" s="549">
        <v>13000</v>
      </c>
      <c r="E9" s="443">
        <f t="shared" ref="E9:E11" si="1">SUM(C9:D9)</f>
        <v>23000</v>
      </c>
    </row>
    <row r="10" spans="2:5" ht="16.5">
      <c r="B10" s="433" t="s">
        <v>127</v>
      </c>
      <c r="C10" s="448">
        <v>10000</v>
      </c>
      <c r="D10" s="549">
        <v>13000</v>
      </c>
      <c r="E10" s="443">
        <f t="shared" si="1"/>
        <v>23000</v>
      </c>
    </row>
    <row r="11" spans="2:5" ht="16.5">
      <c r="B11" s="433" t="s">
        <v>156</v>
      </c>
      <c r="C11" s="448">
        <v>11000</v>
      </c>
      <c r="D11" s="549">
        <v>9000</v>
      </c>
      <c r="E11" s="443">
        <f t="shared" si="1"/>
        <v>20000</v>
      </c>
    </row>
    <row r="12" spans="2:5" ht="16.5">
      <c r="B12" s="433" t="s">
        <v>152</v>
      </c>
      <c r="C12" s="448">
        <v>10000</v>
      </c>
      <c r="D12" s="549">
        <v>11000</v>
      </c>
      <c r="E12" s="443">
        <f t="shared" ref="E12:E13" si="2">SUM(C12:D12)</f>
        <v>21000</v>
      </c>
    </row>
    <row r="13" spans="2:5" ht="17.25" thickBot="1">
      <c r="B13" s="433" t="s">
        <v>211</v>
      </c>
      <c r="C13" s="448"/>
      <c r="D13" s="549">
        <v>13000</v>
      </c>
      <c r="E13" s="443">
        <f t="shared" si="2"/>
        <v>13000</v>
      </c>
    </row>
    <row r="14" spans="2:5" ht="17.25" thickBot="1">
      <c r="B14" s="430" t="s">
        <v>3</v>
      </c>
      <c r="C14" s="494">
        <f>SUM(C5:C13)</f>
        <v>85000</v>
      </c>
      <c r="D14" s="550">
        <f>SUM(D5:D13)</f>
        <v>110000</v>
      </c>
      <c r="E14" s="431">
        <f>SUM(E5:E13)</f>
        <v>195000</v>
      </c>
    </row>
    <row r="15" spans="2:5">
      <c r="C15" s="135"/>
      <c r="D15" s="135"/>
    </row>
  </sheetData>
  <mergeCells count="4"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A2F2-025E-42FF-AA0F-69CE6FE0F564}">
  <dimension ref="B2:G20"/>
  <sheetViews>
    <sheetView tabSelected="1" workbookViewId="0">
      <selection activeCell="K31" sqref="K31"/>
    </sheetView>
  </sheetViews>
  <sheetFormatPr defaultRowHeight="13.5"/>
  <sheetData>
    <row r="2" spans="2:7" ht="14.25" thickBot="1"/>
    <row r="3" spans="2:7" ht="13.5" customHeight="1">
      <c r="B3" s="610" t="s">
        <v>0</v>
      </c>
      <c r="C3" s="631" t="s">
        <v>212</v>
      </c>
      <c r="D3" s="681" t="s">
        <v>138</v>
      </c>
      <c r="E3" s="687" t="s">
        <v>139</v>
      </c>
      <c r="F3" s="650" t="s">
        <v>16</v>
      </c>
      <c r="G3" s="610" t="s">
        <v>102</v>
      </c>
    </row>
    <row r="4" spans="2:7" ht="14.25" customHeight="1" thickBot="1">
      <c r="B4" s="611"/>
      <c r="C4" s="632"/>
      <c r="D4" s="685"/>
      <c r="E4" s="688"/>
      <c r="F4" s="651"/>
      <c r="G4" s="622"/>
    </row>
    <row r="5" spans="2:7" ht="16.5">
      <c r="B5" s="432" t="s">
        <v>7</v>
      </c>
      <c r="C5" s="447">
        <f>C13/3</f>
        <v>18900</v>
      </c>
      <c r="D5" s="457">
        <v>32000</v>
      </c>
      <c r="E5" s="471">
        <v>15300</v>
      </c>
      <c r="F5" s="462">
        <f>-(C13+D13)</f>
        <v>-164700</v>
      </c>
      <c r="G5" s="442">
        <f>SUM(C5:F5)</f>
        <v>-98500</v>
      </c>
    </row>
    <row r="6" spans="2:7" ht="16.5">
      <c r="B6" s="433" t="s">
        <v>156</v>
      </c>
      <c r="C6" s="448">
        <f>C13/3</f>
        <v>18900</v>
      </c>
      <c r="D6" s="338">
        <v>32000</v>
      </c>
      <c r="E6" s="472">
        <v>15500</v>
      </c>
      <c r="F6" s="463"/>
      <c r="G6" s="443">
        <f>SUM(C6:F6)</f>
        <v>66400</v>
      </c>
    </row>
    <row r="7" spans="2:7" ht="16.5">
      <c r="B7" s="433" t="s">
        <v>164</v>
      </c>
      <c r="C7" s="448">
        <f>C13/3</f>
        <v>18900</v>
      </c>
      <c r="D7" s="338">
        <v>32000</v>
      </c>
      <c r="E7" s="472">
        <v>15500</v>
      </c>
      <c r="F7" s="463"/>
      <c r="G7" s="443">
        <f>SUM(C7:F7)</f>
        <v>66400</v>
      </c>
    </row>
    <row r="8" spans="2:7" ht="16.5">
      <c r="B8" s="436" t="s">
        <v>105</v>
      </c>
      <c r="C8" s="449"/>
      <c r="D8" s="458">
        <v>12000</v>
      </c>
      <c r="E8" s="473">
        <v>15500</v>
      </c>
      <c r="F8" s="464">
        <f>(-E13)</f>
        <v>-102800</v>
      </c>
      <c r="G8" s="444">
        <f>SUM(C8:F8)</f>
        <v>-75300</v>
      </c>
    </row>
    <row r="9" spans="2:7" ht="16.5">
      <c r="B9" s="438" t="s">
        <v>142</v>
      </c>
      <c r="C9" s="450"/>
      <c r="D9" s="459"/>
      <c r="E9" s="474">
        <v>15500</v>
      </c>
      <c r="F9" s="465"/>
      <c r="G9" s="445">
        <f>SUM(C9:F9)</f>
        <v>15500</v>
      </c>
    </row>
    <row r="10" spans="2:7" ht="16.5">
      <c r="B10" s="438" t="s">
        <v>165</v>
      </c>
      <c r="C10" s="450"/>
      <c r="D10" s="459"/>
      <c r="E10" s="474">
        <v>15500</v>
      </c>
      <c r="F10" s="465"/>
      <c r="G10" s="445">
        <f>SUM(C10:F10)</f>
        <v>15500</v>
      </c>
    </row>
    <row r="11" spans="2:7" ht="16.5">
      <c r="B11" s="496" t="s">
        <v>126</v>
      </c>
      <c r="C11" s="500"/>
      <c r="D11" s="498"/>
      <c r="E11" s="689">
        <v>5000</v>
      </c>
      <c r="F11" s="686"/>
      <c r="G11" s="446">
        <f>SUM(C11:F11)</f>
        <v>5000</v>
      </c>
    </row>
    <row r="12" spans="2:7" ht="17.25" thickBot="1">
      <c r="B12" s="496" t="s">
        <v>127</v>
      </c>
      <c r="C12" s="500"/>
      <c r="D12" s="498"/>
      <c r="E12" s="689">
        <v>5000</v>
      </c>
      <c r="F12" s="686"/>
      <c r="G12" s="446">
        <f>SUM(C12:F12)</f>
        <v>5000</v>
      </c>
    </row>
    <row r="13" spans="2:7" ht="17.25" thickBot="1">
      <c r="B13" s="430" t="s">
        <v>3</v>
      </c>
      <c r="C13" s="494">
        <v>56700</v>
      </c>
      <c r="D13" s="484">
        <v>108000</v>
      </c>
      <c r="E13" s="690">
        <v>102800</v>
      </c>
      <c r="F13" s="485">
        <f>SUM(F5:F12)</f>
        <v>-267500</v>
      </c>
      <c r="G13" s="431">
        <f>SUM(G5:G12)</f>
        <v>0</v>
      </c>
    </row>
    <row r="16" spans="2:7">
      <c r="D16" s="135"/>
      <c r="E16" s="135"/>
    </row>
    <row r="20" spans="4:4">
      <c r="D20" s="135"/>
    </row>
  </sheetData>
  <mergeCells count="6">
    <mergeCell ref="B3:B4"/>
    <mergeCell ref="C3:C4"/>
    <mergeCell ref="D3:D4"/>
    <mergeCell ref="E3:E4"/>
    <mergeCell ref="F3:F4"/>
    <mergeCell ref="G3:G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07.08 오티</vt:lpstr>
      <vt:lpstr>07.18 합정번개</vt:lpstr>
      <vt:lpstr>07.29 엠티</vt:lpstr>
      <vt:lpstr>07.29 엠티상세</vt:lpstr>
      <vt:lpstr>08.04 이대 볼링</vt:lpstr>
      <vt:lpstr>08.12 베이킹</vt:lpstr>
      <vt:lpstr>08.22 마부자</vt:lpstr>
      <vt:lpstr>08.23 강남번개</vt:lpstr>
      <vt:lpstr>09.02 오티</vt:lpstr>
      <vt:lpstr>09.09 시장</vt:lpstr>
      <vt:lpstr>09.15 연극</vt:lpstr>
      <vt:lpstr>09.16 건대번개</vt:lpstr>
      <vt:lpstr>09.23 한강</vt:lpstr>
      <vt:lpstr>09.30 캐비</vt:lpstr>
      <vt:lpstr>10.14 간부수련회</vt:lpstr>
      <vt:lpstr>10.28 요리대회</vt:lpstr>
      <vt:lpstr>10.29 신촌번개</vt:lpstr>
      <vt:lpstr>1119 볼링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HSB</dc:creator>
  <cp:lastModifiedBy>Jinjin Lee</cp:lastModifiedBy>
  <cp:revision>52</cp:revision>
  <dcterms:created xsi:type="dcterms:W3CDTF">2023-01-09T00:35:26Z</dcterms:created>
  <dcterms:modified xsi:type="dcterms:W3CDTF">2023-11-18T07:59:03Z</dcterms:modified>
  <cp:version>0906.0100.01</cp:version>
</cp:coreProperties>
</file>