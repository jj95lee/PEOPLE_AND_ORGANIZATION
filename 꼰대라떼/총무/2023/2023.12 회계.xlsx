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월" sheetId="1" r:id="rId4"/>
    <sheet state="visible" name="11월" sheetId="2" r:id="rId5"/>
    <sheet state="visible" name="10월" sheetId="3" r:id="rId6"/>
    <sheet state="visible" name="9월" sheetId="4" r:id="rId7"/>
  </sheets>
  <definedNames/>
  <calcPr/>
  <extLst>
    <ext uri="GoogleSheetsCustomDataVersion2">
      <go:sheetsCustomData xmlns:go="http://customooxmlschemas.google.com/" r:id="rId8" roundtripDataChecksum="iel1CM/z4J4hbp4KSwnPGYGA2iDMcPsJy5QNMwebmtU="/>
    </ext>
  </extLst>
</workbook>
</file>

<file path=xl/sharedStrings.xml><?xml version="1.0" encoding="utf-8"?>
<sst xmlns="http://schemas.openxmlformats.org/spreadsheetml/2006/main" count="338" uniqueCount="91">
  <si>
    <t>월</t>
  </si>
  <si>
    <t>일</t>
  </si>
  <si>
    <t>요일</t>
  </si>
  <si>
    <t>수입</t>
  </si>
  <si>
    <t>지출</t>
  </si>
  <si>
    <t>잔여 금액</t>
  </si>
  <si>
    <t>최대 보증금</t>
  </si>
  <si>
    <t>실사용가능 금액</t>
  </si>
  <si>
    <t>(보증금 포함)</t>
  </si>
  <si>
    <t>(보증금 제외)</t>
  </si>
  <si>
    <t>비용</t>
  </si>
  <si>
    <t>거래처</t>
  </si>
  <si>
    <t>내용</t>
  </si>
  <si>
    <t>금</t>
  </si>
  <si>
    <t>오소현</t>
  </si>
  <si>
    <t>10월 잔여회비</t>
  </si>
  <si>
    <t>토</t>
  </si>
  <si>
    <t>치킨버스 홍대</t>
  </si>
  <si>
    <t>비정기모임 뒤풀이 비용 지원</t>
  </si>
  <si>
    <t>화</t>
  </si>
  <si>
    <t>수</t>
  </si>
  <si>
    <t>목</t>
  </si>
  <si>
    <t>생마차 건대점</t>
  </si>
  <si>
    <t>이진진</t>
  </si>
  <si>
    <t>가을학기 기수 보증금 반환</t>
  </si>
  <si>
    <t>신희찬</t>
  </si>
  <si>
    <t>유지훈</t>
  </si>
  <si>
    <t>문제원</t>
  </si>
  <si>
    <t>합계</t>
  </si>
  <si>
    <t>김경한(카페 몰루)</t>
  </si>
  <si>
    <t>빼빼로 만들기 장소대관</t>
  </si>
  <si>
    <t>배스킨라빈스 관악구청점</t>
  </si>
  <si>
    <t>생일 기념 케이크(이수민)</t>
  </si>
  <si>
    <t>9월 잔여회비</t>
  </si>
  <si>
    <t>아이디어스</t>
  </si>
  <si>
    <t>요리대회 상품</t>
  </si>
  <si>
    <t>동일 할인마트</t>
  </si>
  <si>
    <t>요리대회 공동재료 구입</t>
  </si>
  <si>
    <t>세븐일레븐 한성화교점</t>
  </si>
  <si>
    <t>요리대회 심사위원 감사선물</t>
  </si>
  <si>
    <t>스타벅스 연희DT점</t>
  </si>
  <si>
    <t>요리대회 MVP 상품</t>
  </si>
  <si>
    <t>배스킨라빈스 CAFE31 신촌</t>
  </si>
  <si>
    <t>생일기념 케이크(윤민식)</t>
  </si>
  <si>
    <t>조용근</t>
  </si>
  <si>
    <t>요리대회 재료값 일부 면제</t>
  </si>
  <si>
    <t>- 이하 생략 -</t>
  </si>
  <si>
    <t>이예림</t>
  </si>
  <si>
    <t>기존회원 회비</t>
  </si>
  <si>
    <t>정기모임 회비 지원</t>
  </si>
  <si>
    <t>홍석범</t>
  </si>
  <si>
    <t>강준</t>
  </si>
  <si>
    <t>김세미</t>
  </si>
  <si>
    <t>윤민식</t>
  </si>
  <si>
    <t>박서현</t>
  </si>
  <si>
    <t>이규엽</t>
  </si>
  <si>
    <t>김지우</t>
  </si>
  <si>
    <t>이광민</t>
  </si>
  <si>
    <t>김해찬</t>
  </si>
  <si>
    <t>류영훈</t>
  </si>
  <si>
    <t>신입회원 회비</t>
  </si>
  <si>
    <t>김보라</t>
  </si>
  <si>
    <t>여름방학 기수 보증금 반환</t>
  </si>
  <si>
    <t>류혜원</t>
  </si>
  <si>
    <t>신혜원</t>
  </si>
  <si>
    <t>홍채원</t>
  </si>
  <si>
    <t>김주곤</t>
  </si>
  <si>
    <t>박한웅</t>
  </si>
  <si>
    <t>박소현</t>
  </si>
  <si>
    <t>김민구</t>
  </si>
  <si>
    <t>회비 일부 반환</t>
  </si>
  <si>
    <t>김채린</t>
  </si>
  <si>
    <t>대화상점</t>
  </si>
  <si>
    <t>오리엔테이션 장소 대관 비용</t>
  </si>
  <si>
    <t>오승준</t>
  </si>
  <si>
    <t>안우석</t>
  </si>
  <si>
    <t>배환규</t>
  </si>
  <si>
    <t>김준형</t>
  </si>
  <si>
    <t>탈퇴회원 회비 반환</t>
  </si>
  <si>
    <t>합계 및 잔여금액</t>
  </si>
  <si>
    <t>8월 잔여회비</t>
  </si>
  <si>
    <t>주식회사 아성 다이소</t>
  </si>
  <si>
    <t>오리엔테이션 행사 준비물</t>
  </si>
  <si>
    <t>주식회사 카카오</t>
  </si>
  <si>
    <t>오리엔테이션 상품</t>
  </si>
  <si>
    <t>이주연</t>
  </si>
  <si>
    <t>신입회원 교통지원비</t>
  </si>
  <si>
    <t>최가원</t>
  </si>
  <si>
    <t>소문난 순대국</t>
  </si>
  <si>
    <t>연희회관</t>
  </si>
  <si>
    <t>요리대회 장소 대관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</si>
</sst>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"/>
  </numFmts>
  <fonts count="4">
    <font>
      <sz val="11.0"/>
      <color theme="1"/>
      <name val="Calibri"/>
      <scheme val="minor"/>
    </font>
    <font>
      <sz val="11.0"/>
      <color theme="1"/>
      <name val="Malgun Gothic"/>
    </font>
    <font/>
    <font>
      <sz val="11.0"/>
      <color rgb="FFFF0000"/>
      <name val="Malgun Gothic"/>
    </font>
  </fonts>
  <fills count="2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F5B5F0"/>
        <bgColor rgb="FFF5B5F0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9D7F7"/>
        <bgColor rgb="FFF9D7F7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EE6F9"/>
        <bgColor rgb="FFFEE6F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228">
    <border/>
    <border>
      <left style="thin">
        <color rgb="FF757070"/>
      </left>
      <right style="thin">
        <color rgb="FF757070"/>
      </right>
      <top style="thin">
        <color rgb="FF757070"/>
      </top>
    </border>
    <border>
      <left/>
      <right/>
      <top style="thin">
        <color rgb="FF757070"/>
      </top>
    </border>
    <border>
      <left style="thin">
        <color rgb="FFBFBFBF"/>
      </left>
      <right/>
      <top style="thin">
        <color rgb="FF757070"/>
      </top>
    </border>
    <border>
      <left style="thin">
        <color rgb="FF7F7F7F"/>
      </left>
      <top style="thin">
        <color rgb="FF757070"/>
      </top>
    </border>
    <border>
      <top style="thin">
        <color rgb="FF757070"/>
      </top>
    </border>
    <border>
      <right style="thin">
        <color rgb="FF7F7F7F"/>
      </right>
      <top style="thin">
        <color rgb="FF757070"/>
      </top>
    </border>
    <border>
      <left/>
      <right style="thin">
        <color rgb="FF757070"/>
      </right>
      <top style="thin">
        <color rgb="FF757070"/>
      </top>
      <bottom/>
    </border>
    <border>
      <left style="thin">
        <color rgb="FF757070"/>
      </left>
      <right style="thin">
        <color rgb="FF757070"/>
      </right>
    </border>
    <border>
      <left/>
      <right/>
    </border>
    <border>
      <left style="thin">
        <color rgb="FFBFBFBF"/>
      </left>
      <right/>
    </border>
    <border>
      <left style="thin">
        <color rgb="FF7F7F7F"/>
      </left>
      <bottom style="thin">
        <color rgb="FF757070"/>
      </bottom>
    </border>
    <border>
      <bottom style="thin">
        <color rgb="FF757070"/>
      </bottom>
    </border>
    <border>
      <right style="thin">
        <color rgb="FF7F7F7F"/>
      </right>
      <bottom style="thin">
        <color rgb="FF757070"/>
      </bottom>
    </border>
    <border>
      <left/>
      <right style="thin">
        <color rgb="FF757070"/>
      </right>
      <top/>
      <bottom style="thin">
        <color rgb="FF757070"/>
      </bottom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left/>
      <right/>
      <bottom style="thin">
        <color rgb="FF757070"/>
      </bottom>
    </border>
    <border>
      <left style="thin">
        <color rgb="FFBFBFBF"/>
      </left>
      <right/>
      <bottom style="thin">
        <color rgb="FF757070"/>
      </bottom>
    </border>
    <border>
      <left style="thin">
        <color rgb="FF7F7F7F"/>
      </left>
      <right style="thin">
        <color rgb="FFBFBFBF"/>
      </right>
      <top style="thin">
        <color rgb="FF757070"/>
      </top>
      <bottom style="thin">
        <color rgb="FF757070"/>
      </bottom>
    </border>
    <border>
      <left/>
      <right/>
      <top style="thin">
        <color rgb="FF757070"/>
      </top>
      <bottom style="thin">
        <color rgb="FF757070"/>
      </bottom>
    </border>
    <border>
      <left style="thin">
        <color rgb="FFBFBFBF"/>
      </left>
      <right style="thin">
        <color rgb="FF7F7F7F"/>
      </right>
      <top style="thin">
        <color rgb="FF757070"/>
      </top>
      <bottom style="thin">
        <color rgb="FF757070"/>
      </bottom>
    </border>
    <border>
      <left style="thin">
        <color rgb="FF7F7F7F"/>
      </left>
      <right/>
      <top style="thin">
        <color rgb="FF757070"/>
      </top>
      <bottom style="thin">
        <color rgb="FF757070"/>
      </bottom>
    </border>
    <border>
      <left style="thin">
        <color rgb="FFBFBFBF"/>
      </left>
      <right style="thin">
        <color rgb="FFBFBFBF"/>
      </right>
      <top style="thin">
        <color rgb="FF757070"/>
      </top>
      <bottom style="thin">
        <color rgb="FF757070"/>
      </bottom>
    </border>
    <border>
      <left/>
      <right style="thin">
        <color rgb="FF7F7F7F"/>
      </right>
      <top style="thin">
        <color rgb="FF757070"/>
      </top>
      <bottom style="thin">
        <color rgb="FF757070"/>
      </bottom>
    </border>
    <border>
      <left style="thin">
        <color rgb="FF7F7F7F"/>
      </left>
      <right style="thin">
        <color rgb="FF7F7F7F"/>
      </right>
      <top style="thin">
        <color rgb="FF757070"/>
      </top>
      <bottom style="thin">
        <color rgb="FF7F7F7F"/>
      </bottom>
    </border>
    <border>
      <left style="thin">
        <color rgb="FF7F7F7F"/>
      </left>
      <right style="thin">
        <color rgb="FFAEABAB"/>
      </right>
      <top style="thin">
        <color rgb="FF757070"/>
      </top>
      <bottom style="thin">
        <color rgb="FF757070"/>
      </bottom>
    </border>
    <border>
      <left style="thin">
        <color rgb="FFAEABAB"/>
      </left>
      <right/>
      <top style="thin">
        <color rgb="FF757070"/>
      </top>
      <bottom style="thin">
        <color rgb="FF757070"/>
      </bottom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</border>
    <border>
      <left style="thin">
        <color rgb="FFAEABAB"/>
      </left>
      <right style="thin">
        <color rgb="FF7F7F7F"/>
      </right>
      <top style="thin">
        <color rgb="FF757070"/>
      </top>
      <bottom style="thin">
        <color rgb="FF75707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B7B7B"/>
      </right>
      <top style="thin">
        <color rgb="FF7B7B7B"/>
      </top>
      <bottom style="thin">
        <color rgb="FF7F7F7F"/>
      </bottom>
    </border>
    <border>
      <left style="thin">
        <color rgb="FF7F7F7F"/>
      </left>
      <right style="thin">
        <color rgb="FFAEABAB"/>
      </right>
      <top/>
      <bottom style="thin">
        <color rgb="FF7F7F7F"/>
      </bottom>
    </border>
    <border>
      <left style="thin">
        <color rgb="FFAEABAB"/>
      </left>
      <right style="thin">
        <color rgb="FF7F7F7F"/>
      </right>
      <top style="thin">
        <color rgb="FFAEABAB"/>
      </top>
      <bottom style="thin">
        <color rgb="FF7F7F7F"/>
      </bottom>
    </border>
    <border>
      <left style="thin">
        <color rgb="FFAEABAB"/>
      </left>
      <right style="thin">
        <color rgb="FFAEABAB"/>
      </right>
      <top/>
      <bottom style="thin">
        <color rgb="FF7F7F7F"/>
      </bottom>
    </border>
    <border>
      <left style="thin">
        <color rgb="FFAEABAB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AEABAB"/>
      </right>
      <top style="thin">
        <color rgb="FF757070"/>
      </top>
      <bottom style="thin">
        <color rgb="FF7F7F7F"/>
      </bottom>
    </border>
    <border>
      <left style="thin">
        <color rgb="FF7F7F7F"/>
      </left>
      <right/>
      <top style="thin">
        <color rgb="FFAEABAB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7F7F7F"/>
      </bottom>
    </border>
    <border>
      <left/>
      <right style="thin">
        <color rgb="FF7B7B7B"/>
      </right>
      <top style="thin">
        <color rgb="FFA5A5A5"/>
      </top>
      <bottom style="thin">
        <color rgb="FF7F7F7F"/>
      </bottom>
    </border>
    <border>
      <left style="thin">
        <color rgb="FF7F7F7F"/>
      </left>
      <right style="thin">
        <color rgb="FFAEABAB"/>
      </right>
      <top/>
      <bottom style="thin">
        <color rgb="FFAEABAB"/>
      </bottom>
    </border>
    <border>
      <left style="thin">
        <color rgb="FFAEABAB"/>
      </left>
      <right style="thin">
        <color rgb="FF7F7F7F"/>
      </right>
      <top/>
      <bottom/>
    </border>
    <border>
      <left style="thin">
        <color rgb="FFAEABAB"/>
      </left>
      <right style="thin">
        <color rgb="FFAEABAB"/>
      </right>
      <top/>
      <bottom style="thin">
        <color rgb="FFAEABAB"/>
      </bottom>
    </border>
    <border>
      <left style="thin">
        <color rgb="FFAEABAB"/>
      </left>
      <right style="thin">
        <color rgb="FF7F7F7F"/>
      </right>
      <top/>
      <bottom style="thin">
        <color rgb="FFAEABAB"/>
      </bottom>
    </border>
    <border>
      <left style="thin">
        <color rgb="FF7F7F7F"/>
      </left>
      <right/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B7B7B"/>
      </right>
      <top/>
      <bottom/>
    </border>
    <border>
      <left style="thin">
        <color rgb="FF7F7F7F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F7F7F"/>
      </left>
      <right/>
      <top style="thin">
        <color rgb="FFA5A5A5"/>
      </top>
      <bottom/>
    </border>
    <border>
      <left style="thin">
        <color rgb="FF7F7F7F"/>
      </left>
      <right style="thin">
        <color rgb="FF7F7F7F"/>
      </right>
      <top style="thin">
        <color rgb="FFA5A5A5"/>
      </top>
      <bottom/>
    </border>
    <border>
      <left/>
      <right style="thin">
        <color rgb="FF7B7B7B"/>
      </right>
      <top style="thin">
        <color rgb="FFA5A5A5"/>
      </top>
      <bottom/>
    </border>
    <border>
      <left style="thin">
        <color rgb="FF7F7F7F"/>
      </left>
      <right/>
      <top style="thin">
        <color rgb="FFA5A5A5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</border>
    <border>
      <left/>
      <right style="thin">
        <color rgb="FF7B7B7B"/>
      </right>
      <top style="thin">
        <color rgb="FFA5A5A5"/>
      </top>
      <bottom style="thin">
        <color rgb="FFA5A5A5"/>
      </bottom>
    </border>
    <border>
      <left style="thin">
        <color rgb="FF7F7F7F"/>
      </left>
      <right/>
      <top/>
      <bottom style="thin">
        <color rgb="FFAEABAB"/>
      </bottom>
    </border>
    <border>
      <left style="thin">
        <color rgb="FF7F7F7F"/>
      </left>
      <right style="thin">
        <color rgb="FF7F7F7F"/>
      </right>
      <top/>
      <bottom style="thin">
        <color rgb="FFA5A5A5"/>
      </bottom>
    </border>
    <border>
      <left/>
      <right style="thin">
        <color rgb="FF7B7B7B"/>
      </right>
      <top/>
      <bottom style="thin">
        <color rgb="FFA5A5A5"/>
      </bottom>
    </border>
    <border>
      <left style="thin">
        <color rgb="FF7F7F7F"/>
      </left>
      <right/>
      <top style="thin">
        <color rgb="FFAEABAB"/>
      </top>
      <bottom/>
    </border>
    <border>
      <left style="thin">
        <color rgb="FF7F7F7F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AEABAB"/>
      </right>
      <top style="thin">
        <color rgb="FFAEABAB"/>
      </top>
      <bottom/>
    </border>
    <border>
      <left style="thin">
        <color rgb="FFAEABAB"/>
      </left>
      <right style="thin">
        <color rgb="FFAEABAB"/>
      </right>
      <top style="thin">
        <color rgb="FFAEABAB"/>
      </top>
      <bottom/>
    </border>
    <border>
      <left style="thin">
        <color rgb="FFAEABAB"/>
      </left>
      <right style="thin">
        <color rgb="FF7F7F7F"/>
      </right>
      <top style="thin">
        <color rgb="FFAEABAB"/>
      </top>
      <bottom/>
    </border>
    <border>
      <left style="thin">
        <color rgb="FF7F7F7F"/>
      </left>
      <right style="thin">
        <color rgb="FFAEABAB"/>
      </right>
      <top style="thin">
        <color rgb="FFA5A5A5"/>
      </top>
      <bottom/>
    </border>
    <border>
      <left style="thin">
        <color rgb="FFAEABAB"/>
      </left>
      <right style="thin">
        <color rgb="FFAEABAB"/>
      </right>
      <top style="thin">
        <color rgb="FFA5A5A5"/>
      </top>
      <bottom/>
    </border>
    <border>
      <left style="thin">
        <color rgb="FFAEABAB"/>
      </left>
      <right style="thin">
        <color rgb="FF7F7F7F"/>
      </right>
      <top style="thin">
        <color rgb="FFA5A5A5"/>
      </top>
      <bottom/>
    </border>
    <border>
      <left style="thin">
        <color rgb="FF7F7F7F"/>
      </left>
      <right style="thin">
        <color rgb="FFAEABAB"/>
      </right>
      <top style="thin">
        <color rgb="FFA5A5A5"/>
      </top>
      <bottom style="thin">
        <color rgb="FFA5A5A5"/>
      </bottom>
    </border>
    <border>
      <left style="thin">
        <color rgb="FFAEABAB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AEABAB"/>
      </left>
      <right style="thin">
        <color rgb="FFAEABAB"/>
      </right>
      <top style="thin">
        <color rgb="FFA5A5A5"/>
      </top>
      <bottom style="thin">
        <color rgb="FFA5A5A5"/>
      </bottom>
    </border>
    <border>
      <left style="thin">
        <color rgb="FFAEABAB"/>
      </left>
      <right style="thin">
        <color rgb="FF7F7F7F"/>
      </right>
      <top/>
      <bottom style="thin">
        <color rgb="FFA5A5A5"/>
      </bottom>
    </border>
    <border>
      <left style="thin">
        <color rgb="FF7F7F7F"/>
      </left>
      <right/>
      <top/>
      <bottom style="thin">
        <color rgb="FFA5A5A5"/>
      </bottom>
    </border>
    <border>
      <left style="thin">
        <color rgb="FF7F7F7F"/>
      </left>
      <right style="thin">
        <color rgb="FFAEABAB"/>
      </right>
      <top/>
      <bottom/>
    </border>
    <border>
      <left style="thin">
        <color rgb="FFAEABAB"/>
      </left>
      <right style="thin">
        <color rgb="FF7F7F7F"/>
      </right>
      <top style="thin">
        <color rgb="FFAEABAB"/>
      </top>
      <bottom style="thin">
        <color rgb="FFA5A5A5"/>
      </bottom>
    </border>
    <border>
      <left/>
      <right/>
      <top/>
      <bottom/>
    </border>
    <border>
      <left style="thin">
        <color rgb="FF7B7B7B"/>
      </left>
      <right style="thin">
        <color rgb="FFAEABAB"/>
      </right>
      <top/>
      <bottom/>
    </border>
    <border>
      <left style="thin">
        <color rgb="FFAEABAB"/>
      </left>
      <right style="thin">
        <color rgb="FFAEABAB"/>
      </right>
      <top/>
      <bottom/>
    </border>
    <border>
      <left style="thin">
        <color rgb="FF7F7F7F"/>
      </left>
      <right style="thin">
        <color rgb="FF7B7B7B"/>
      </right>
      <top style="thin">
        <color rgb="FFA5A5A5"/>
      </top>
      <bottom style="thin">
        <color rgb="FFA5A5A5"/>
      </bottom>
    </border>
    <border>
      <left style="thin">
        <color rgb="FF7F7F7F"/>
      </left>
      <right style="thin">
        <color rgb="FFAEABAB"/>
      </right>
      <top style="thin">
        <color rgb="FF7F7F7F"/>
      </top>
      <bottom style="thin">
        <color rgb="FF7F7F7F"/>
      </bottom>
    </border>
    <border>
      <left style="thin">
        <color rgb="FFAEABAB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AEABAB"/>
      </left>
      <right style="thin">
        <color rgb="FFAEABAB"/>
      </right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B7B7B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EABAB"/>
      </right>
      <top/>
      <bottom style="thin">
        <color rgb="FFA5A5A5"/>
      </bottom>
    </border>
    <border>
      <left style="thin">
        <color rgb="FFAEABAB"/>
      </left>
      <right style="thin">
        <color rgb="FFAEABAB"/>
      </right>
      <top/>
      <bottom style="thin">
        <color rgb="FFA5A5A5"/>
      </bottom>
    </border>
    <border>
      <left style="thin">
        <color rgb="FF7F7F7F"/>
      </left>
      <right style="thin">
        <color rgb="FF7B7B7B"/>
      </right>
      <top/>
      <bottom style="thin">
        <color rgb="FFA5A5A5"/>
      </bottom>
    </border>
    <border>
      <left style="thin">
        <color rgb="FF7F7F7F"/>
      </left>
      <right style="thin">
        <color rgb="FFAEABAB"/>
      </right>
      <top style="thin">
        <color rgb="FF7F7F7F"/>
      </top>
    </border>
    <border>
      <left style="thin">
        <color rgb="FFAEABAB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AEABAB"/>
      </right>
      <top style="thin">
        <color rgb="FF7F7F7F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7F7F7F"/>
      </top>
      <bottom style="thin">
        <color rgb="FFAEABAB"/>
      </bottom>
    </border>
    <border>
      <left style="thin">
        <color rgb="FFAEABAB"/>
      </left>
      <right style="thin">
        <color rgb="FF7F7F7F"/>
      </right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B7B7B"/>
      </right>
      <top style="thin">
        <color rgb="FF7F7F7F"/>
      </top>
    </border>
    <border>
      <left style="thin">
        <color rgb="FF7F7F7F"/>
      </left>
      <right style="thin">
        <color rgb="FFAEABAB"/>
      </right>
    </border>
    <border>
      <left style="thin">
        <color rgb="FFAEABAB"/>
      </left>
      <right style="thin">
        <color rgb="FF7F7F7F"/>
      </right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B7B7B"/>
      </right>
    </border>
    <border>
      <left style="thin">
        <color rgb="FF7F7F7F"/>
      </left>
      <right style="thin">
        <color rgb="FFAEABAB"/>
      </right>
      <bottom style="double">
        <color rgb="FF7F7F7F"/>
      </bottom>
    </border>
    <border>
      <left style="thin">
        <color rgb="FFAEABAB"/>
      </left>
      <right style="thin">
        <color rgb="FF7F7F7F"/>
      </right>
      <bottom style="double">
        <color rgb="FF7F7F7F"/>
      </bottom>
    </border>
    <border>
      <left style="thin">
        <color rgb="FF7F7F7F"/>
      </left>
      <right style="thin">
        <color rgb="FFAEABAB"/>
      </right>
      <top/>
      <bottom style="double">
        <color rgb="FF7F7F7F"/>
      </bottom>
    </border>
    <border>
      <left style="thin">
        <color rgb="FFAEABAB"/>
      </left>
      <right style="thin">
        <color rgb="FFAEABAB"/>
      </right>
      <top/>
      <bottom style="double">
        <color rgb="FF7F7F7F"/>
      </bottom>
    </border>
    <border>
      <left style="thin">
        <color rgb="FFAEABAB"/>
      </left>
      <right style="thin">
        <color rgb="FF7F7F7F"/>
      </right>
      <top/>
      <bottom style="double">
        <color rgb="FF7F7F7F"/>
      </bottom>
    </border>
    <border>
      <left style="thin">
        <color rgb="FF7F7F7F"/>
      </left>
      <right style="thin">
        <color rgb="FF7F7F7F"/>
      </right>
      <bottom style="double">
        <color rgb="FF7F7F7F"/>
      </bottom>
    </border>
    <border>
      <left style="thin">
        <color rgb="FF7F7F7F"/>
      </left>
      <right style="thin">
        <color rgb="FF7B7B7B"/>
      </right>
      <bottom style="double">
        <color rgb="FF7F7F7F"/>
      </bottom>
    </border>
    <border>
      <left style="thin">
        <color rgb="FF7B7B7B"/>
      </left>
      <right style="thin">
        <color rgb="FFAEABAB"/>
      </right>
      <top/>
      <bottom style="thin">
        <color rgb="FFA5A5A5"/>
      </bottom>
    </border>
    <border>
      <left style="thin">
        <color rgb="FF757070"/>
      </left>
      <top style="thin">
        <color rgb="FF757070"/>
      </top>
    </border>
    <border>
      <right style="thin">
        <color rgb="FF757070"/>
      </right>
      <top style="thin">
        <color rgb="FF757070"/>
      </top>
    </border>
    <border>
      <left style="thin">
        <color rgb="FF757070"/>
      </left>
      <bottom style="thin">
        <color rgb="FF757070"/>
      </bottom>
    </border>
    <border>
      <right style="thin">
        <color rgb="FF757070"/>
      </right>
      <bottom style="thin">
        <color rgb="FF757070"/>
      </bottom>
    </border>
    <border>
      <left style="thin">
        <color rgb="FF7F7F7F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EABAB"/>
      </right>
      <top style="thin">
        <color rgb="FFA5A5A5"/>
      </top>
      <bottom style="thin">
        <color rgb="FF7F7F7F"/>
      </bottom>
    </border>
    <border>
      <left style="thin">
        <color rgb="FFAEABAB"/>
      </left>
      <right style="thin">
        <color rgb="FF7F7F7F"/>
      </right>
      <top style="thin">
        <color rgb="FFA5A5A5"/>
      </top>
      <bottom style="thin">
        <color rgb="FF7F7F7F"/>
      </bottom>
    </border>
    <border>
      <left style="thin">
        <color rgb="FFAEABAB"/>
      </left>
      <right style="thin">
        <color rgb="FFAEABAB"/>
      </right>
      <top style="thin">
        <color rgb="FFA5A5A5"/>
      </top>
      <bottom style="thin">
        <color rgb="FF7F7F7F"/>
      </bottom>
    </border>
    <border>
      <left style="thin">
        <color rgb="FF7F7F7F"/>
      </left>
      <right style="thin">
        <color rgb="FF7B7B7B"/>
      </right>
      <top style="thin">
        <color rgb="FFA5A5A5"/>
      </top>
      <bottom style="thin">
        <color rgb="FF7F7F7F"/>
      </bottom>
    </border>
    <border>
      <left style="thin">
        <color rgb="FF7B7B7B"/>
      </left>
      <right style="thin">
        <color rgb="FFAEABAB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B7B7B"/>
      </right>
      <top style="thin">
        <color rgb="FF7F7F7F"/>
      </top>
      <bottom style="thin">
        <color rgb="FF7F7F7F"/>
      </bottom>
    </border>
    <border>
      <left/>
      <right/>
      <top/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7F7F7F"/>
      </top>
    </border>
    <border>
      <left style="thin">
        <color rgb="FF7F7F7F"/>
      </left>
      <right style="thin">
        <color rgb="FFAEABAB"/>
      </right>
      <bottom style="thin">
        <color rgb="FF7F7F7F"/>
      </bottom>
    </border>
    <border>
      <left style="thin">
        <color rgb="FFAEABAB"/>
      </left>
      <right style="thin">
        <color rgb="FF7F7F7F"/>
      </right>
      <bottom style="thin">
        <color rgb="FF7F7F7F"/>
      </bottom>
    </border>
    <border>
      <left style="thin">
        <color rgb="FFAEABAB"/>
      </left>
      <right style="thin">
        <color rgb="FFAEABAB"/>
      </right>
      <bottom style="thin">
        <color rgb="FFAEABAB"/>
      </bottom>
    </border>
    <border>
      <left style="thin">
        <color rgb="FFAEABAB"/>
      </left>
      <right style="thin">
        <color rgb="FF7F7F7F"/>
      </right>
      <bottom style="thin">
        <color rgb="FFAEABAB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B7B7B"/>
      </right>
      <bottom style="thin">
        <color rgb="FF7F7F7F"/>
      </bottom>
    </border>
    <border>
      <left style="thin">
        <color rgb="FF7B7B7B"/>
      </left>
      <right style="thin">
        <color rgb="FFAEABAB"/>
      </right>
      <top style="thin">
        <color rgb="FF7F7F7F"/>
      </top>
      <bottom style="thin">
        <color rgb="FFA5A5A5"/>
      </bottom>
    </border>
    <border>
      <left style="thin">
        <color rgb="FFAEABAB"/>
      </left>
      <right style="thin">
        <color rgb="FF7F7F7F"/>
      </right>
      <top style="thin">
        <color rgb="FF7F7F7F"/>
      </top>
      <bottom style="thin">
        <color rgb="FFA5A5A5"/>
      </bottom>
    </border>
    <border>
      <left style="thin">
        <color rgb="FF7F7F7F"/>
      </left>
      <right style="thin">
        <color rgb="FFAEABAB"/>
      </right>
      <top style="thin">
        <color rgb="FF7F7F7F"/>
      </top>
      <bottom style="thin">
        <color rgb="FFA5A5A5"/>
      </bottom>
    </border>
    <border>
      <left style="thin">
        <color rgb="FFAEABAB"/>
      </left>
      <right style="thin">
        <color rgb="FFAEABAB"/>
      </right>
      <top style="thin">
        <color rgb="FF7F7F7F"/>
      </top>
      <bottom style="thin">
        <color rgb="FFA5A5A5"/>
      </bottom>
    </border>
    <border>
      <left style="thin">
        <color rgb="FF7F7F7F"/>
      </left>
      <right/>
      <top style="thin">
        <color rgb="FF7F7F7F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5A5A5"/>
      </bottom>
    </border>
    <border>
      <left/>
      <right style="thin">
        <color rgb="FF7B7B7B"/>
      </right>
      <top style="thin">
        <color rgb="FF7F7F7F"/>
      </top>
      <bottom style="thin">
        <color rgb="FFA5A5A5"/>
      </bottom>
    </border>
    <border>
      <left style="thin">
        <color rgb="FFAEABAB"/>
      </left>
      <right/>
      <top style="thin">
        <color rgb="FFAEABAB"/>
      </top>
      <bottom/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/>
      <right style="thin">
        <color rgb="FF7B7B7B"/>
      </right>
      <top/>
      <bottom style="thin">
        <color rgb="FF7F7F7F"/>
      </bottom>
    </border>
    <border>
      <left/>
      <right style="thin">
        <color rgb="FF7F7F7F"/>
      </right>
      <top style="thin">
        <color rgb="FF757070"/>
      </top>
    </border>
    <border>
      <left/>
      <right style="thin">
        <color rgb="FF7F7F7F"/>
      </right>
    </border>
    <border>
      <left style="thin">
        <color rgb="FF757070"/>
      </left>
      <right style="thin">
        <color rgb="FF757070"/>
      </right>
      <bottom style="double">
        <color rgb="FF7F7F7F"/>
      </bottom>
    </border>
    <border>
      <left/>
      <right style="thin">
        <color rgb="FF7F7F7F"/>
      </right>
      <bottom style="double">
        <color rgb="FF7F7F7F"/>
      </bottom>
    </border>
    <border>
      <left/>
      <right/>
      <bottom style="double">
        <color rgb="FF7F7F7F"/>
      </bottom>
    </border>
    <border>
      <left style="thin">
        <color rgb="FF7F7F7F"/>
      </left>
      <right style="thin">
        <color rgb="FFBFBFBF"/>
      </right>
      <top style="thin">
        <color rgb="FF757070"/>
      </top>
      <bottom style="double">
        <color rgb="FF7F7F7F"/>
      </bottom>
    </border>
    <border>
      <left/>
      <right/>
      <top style="thin">
        <color rgb="FF757070"/>
      </top>
      <bottom style="double">
        <color rgb="FF7F7F7F"/>
      </bottom>
    </border>
    <border>
      <left style="thin">
        <color rgb="FFBFBFBF"/>
      </left>
      <right style="thin">
        <color rgb="FF7F7F7F"/>
      </right>
      <top style="thin">
        <color rgb="FF757070"/>
      </top>
      <bottom style="double">
        <color rgb="FF7F7F7F"/>
      </bottom>
    </border>
    <border>
      <left style="thin">
        <color rgb="FF7F7F7F"/>
      </left>
      <right/>
      <top style="thin">
        <color rgb="FF757070"/>
      </top>
      <bottom style="double">
        <color rgb="FF7F7F7F"/>
      </bottom>
    </border>
    <border>
      <left style="thin">
        <color rgb="FFA5A5A5"/>
      </left>
      <right style="thin">
        <color rgb="FFA5A5A5"/>
      </right>
      <top style="thin">
        <color rgb="FF757070"/>
      </top>
      <bottom style="double">
        <color rgb="FF7F7F7F"/>
      </bottom>
    </border>
    <border>
      <left/>
      <right style="thin">
        <color rgb="FF7F7F7F"/>
      </right>
      <top style="thin">
        <color rgb="FF757070"/>
      </top>
      <bottom style="double">
        <color rgb="FF7F7F7F"/>
      </bottom>
    </border>
    <border>
      <left style="thin">
        <color rgb="FF7F7F7F"/>
      </left>
      <right style="thin">
        <color rgb="FF7F7F7F"/>
      </right>
      <top style="thin">
        <color rgb="FF757070"/>
      </top>
      <bottom style="double">
        <color rgb="FF7F7F7F"/>
      </bottom>
    </border>
    <border>
      <left/>
      <right style="thin">
        <color rgb="FF757070"/>
      </right>
      <top style="thin">
        <color rgb="FF757070"/>
      </top>
      <bottom style="double">
        <color rgb="FF7F7F7F"/>
      </bottom>
    </border>
    <border>
      <left/>
      <top style="double">
        <color rgb="FF7F7F7F"/>
      </top>
      <bottom style="double">
        <color rgb="FF7F7F7F"/>
      </bottom>
    </border>
    <border>
      <top style="double">
        <color rgb="FF7F7F7F"/>
      </top>
      <bottom style="double">
        <color rgb="FF7F7F7F"/>
      </bottom>
    </border>
    <border>
      <right style="thin">
        <color rgb="FF7F7F7F"/>
      </right>
      <top style="double">
        <color rgb="FF7F7F7F"/>
      </top>
      <bottom style="double">
        <color rgb="FF7F7F7F"/>
      </bottom>
    </border>
    <border>
      <left/>
      <right/>
      <top/>
    </border>
    <border>
      <left style="thin">
        <color rgb="FF7B7B7B"/>
      </left>
      <right style="thin">
        <color rgb="FF7F7F7F"/>
      </right>
      <top/>
    </border>
    <border>
      <left style="thin">
        <color rgb="FF7F7F7F"/>
      </left>
      <right style="thin">
        <color rgb="FF7F7F7F"/>
      </right>
      <top/>
    </border>
    <border>
      <left style="thin">
        <color rgb="FFAEABAB"/>
      </left>
      <right/>
      <top/>
      <bottom style="thin">
        <color rgb="FFA5A5A5"/>
      </bottom>
    </border>
    <border>
      <left style="thin">
        <color rgb="FFA5A5A5"/>
      </left>
      <right style="thin">
        <color rgb="FFAEABAB"/>
      </right>
      <top/>
      <bottom style="thin">
        <color rgb="FFA5A5A5"/>
      </bottom>
    </border>
    <border>
      <left style="thin">
        <color rgb="FFAEABAB"/>
      </left>
      <right style="thin">
        <color rgb="FF7F7F7F"/>
      </right>
      <top/>
    </border>
    <border>
      <left style="thin">
        <color rgb="FF7F7F7F"/>
      </left>
      <right style="thin">
        <color rgb="FFAEABAB"/>
      </right>
      <top/>
    </border>
    <border>
      <left style="thin">
        <color rgb="FFAEABAB"/>
      </left>
      <right style="thin">
        <color rgb="FFAEABAB"/>
      </right>
      <top/>
    </border>
    <border>
      <left style="thin">
        <color rgb="FF7F7F7F"/>
      </left>
      <right style="thin">
        <color rgb="FF7B7B7B"/>
      </right>
      <top/>
    </border>
    <border>
      <left style="thin">
        <color rgb="FF7B7B7B"/>
      </left>
      <right style="thin">
        <color rgb="FF7F7F7F"/>
      </right>
    </border>
    <border>
      <left style="thin">
        <color rgb="FFAEABAB"/>
      </left>
      <right/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EABAB"/>
      </right>
      <top/>
      <bottom/>
    </border>
    <border>
      <left style="thin">
        <color rgb="FFAEABAB"/>
      </left>
      <right style="thin">
        <color rgb="FFAEABAB"/>
      </right>
    </border>
    <border>
      <left style="thin">
        <color rgb="FFA5A5A5"/>
      </left>
      <right style="thin">
        <color rgb="FFAEABAB"/>
      </right>
      <top style="thin">
        <color rgb="FFAEABAB"/>
      </top>
      <bottom/>
    </border>
    <border>
      <left style="thin">
        <color rgb="FF7B7B7B"/>
      </left>
      <right style="thin">
        <color rgb="FF7F7F7F"/>
      </right>
      <bottom style="thin">
        <color rgb="FF7F7F7F"/>
      </bottom>
    </border>
    <border>
      <left style="thin">
        <color rgb="FFAEABAB"/>
      </left>
      <right/>
      <top/>
      <bottom style="thin">
        <color rgb="FF7F7F7F"/>
      </bottom>
    </border>
    <border>
      <left style="thin">
        <color rgb="FFA5A5A5"/>
      </left>
      <right style="thin">
        <color rgb="FFAEABAB"/>
      </right>
      <top style="thin">
        <color rgb="FFAEABAB"/>
      </top>
      <bottom style="thin">
        <color rgb="FF7F7F7F"/>
      </bottom>
    </border>
    <border>
      <left style="thin">
        <color rgb="FFAEABAB"/>
      </left>
      <right style="thin">
        <color rgb="FFAEABAB"/>
      </right>
      <bottom style="thin">
        <color rgb="FF7F7F7F"/>
      </bottom>
    </border>
    <border>
      <left style="thin">
        <color rgb="FFAEABAB"/>
      </left>
      <right/>
      <top/>
    </border>
    <border>
      <left style="thin">
        <color rgb="FFA5A5A5"/>
      </left>
      <right style="thin">
        <color rgb="FFAEABAB"/>
      </right>
      <top/>
    </border>
    <border>
      <left style="thin">
        <color rgb="FF7F7F7F"/>
      </left>
      <right style="thin">
        <color rgb="FFA5A5A5"/>
      </right>
      <top/>
      <bottom/>
    </border>
    <border>
      <left/>
      <right style="thin">
        <color rgb="FFAEABAB"/>
      </right>
      <top/>
      <bottom/>
    </border>
    <border>
      <left style="thin">
        <color rgb="FFAEABAB"/>
      </left>
      <right/>
      <bottom style="thin">
        <color rgb="FFA5A5A5"/>
      </bottom>
    </border>
    <border>
      <left style="thin">
        <color rgb="FFA5A5A5"/>
      </left>
      <right style="thin">
        <color rgb="FFAEABAB"/>
      </right>
      <bottom style="thin">
        <color rgb="FFA5A5A5"/>
      </bottom>
    </border>
    <border>
      <left style="thin">
        <color rgb="FF7F7F7F"/>
      </left>
      <right style="thin">
        <color rgb="FFA5A5A5"/>
      </right>
      <top style="thin">
        <color rgb="FFAEABAB"/>
      </top>
      <bottom style="thin">
        <color rgb="FFA5A5A5"/>
      </bottom>
    </border>
    <border>
      <left/>
      <right style="thin">
        <color rgb="FFAEABAB"/>
      </right>
      <top style="thin">
        <color rgb="FFAEABAB"/>
      </top>
      <bottom style="thin">
        <color rgb="FFA5A5A5"/>
      </bottom>
    </border>
    <border>
      <left style="thin">
        <color rgb="FFAEABAB"/>
      </left>
      <right/>
      <top style="thin">
        <color rgb="FFA5A5A5"/>
      </top>
    </border>
    <border>
      <left style="thin">
        <color rgb="FFA5A5A5"/>
      </left>
      <right style="thin">
        <color rgb="FFAEABAB"/>
      </right>
      <top style="thin">
        <color rgb="FFA5A5A5"/>
      </top>
    </border>
    <border>
      <left style="thin">
        <color rgb="FF7F7F7F"/>
      </left>
      <right style="thin">
        <color rgb="FFA5A5A5"/>
      </right>
      <top/>
      <bottom style="thin">
        <color rgb="FFAEABAB"/>
      </bottom>
    </border>
    <border>
      <left/>
      <right style="thin">
        <color rgb="FFAEABAB"/>
      </right>
      <top/>
      <bottom style="thin">
        <color rgb="FFAEABAB"/>
      </bottom>
    </border>
    <border>
      <left style="thin">
        <color rgb="FFAEABAB"/>
      </left>
      <right/>
      <bottom style="thin">
        <color rgb="FFAEABAB"/>
      </bottom>
    </border>
    <border>
      <left style="thin">
        <color rgb="FFA5A5A5"/>
      </left>
      <right style="thin">
        <color rgb="FFAEABAB"/>
      </right>
      <bottom style="thin">
        <color rgb="FFAEABAB"/>
      </bottom>
    </border>
    <border>
      <left style="thin">
        <color rgb="FF7F7F7F"/>
      </left>
      <right style="thin">
        <color rgb="FFA5A5A5"/>
      </right>
      <top style="thin">
        <color rgb="FFAEABAB"/>
      </top>
      <bottom/>
    </border>
    <border>
      <left/>
      <right style="thin">
        <color rgb="FFAEABAB"/>
      </right>
      <top style="thin">
        <color rgb="FFAEABAB"/>
      </top>
      <bottom/>
    </border>
    <border>
      <left style="thin">
        <color rgb="FFAEABAB"/>
      </left>
      <right/>
      <top style="thin">
        <color rgb="FFAEABAB"/>
      </top>
    </border>
    <border>
      <left style="thin">
        <color rgb="FFA5A5A5"/>
      </left>
      <right style="thin">
        <color rgb="FFAEABAB"/>
      </right>
      <top style="thin">
        <color rgb="FFAEABAB"/>
      </top>
    </border>
    <border>
      <left style="thin">
        <color rgb="FFAEABAB"/>
      </left>
      <right style="thin">
        <color rgb="FF7F7F7F"/>
      </right>
      <top style="thin">
        <color rgb="FFAEABAB"/>
      </top>
    </border>
    <border>
      <left style="thin">
        <color rgb="FFAEABAB"/>
      </left>
      <right/>
    </border>
    <border>
      <left style="thin">
        <color rgb="FFA5A5A5"/>
      </left>
      <right style="thin">
        <color rgb="FFAEABAB"/>
      </right>
    </border>
    <border>
      <left style="thin">
        <color rgb="FFAEABAB"/>
      </left>
      <right/>
      <bottom style="thin">
        <color rgb="FF7F7F7F"/>
      </bottom>
    </border>
    <border>
      <left style="thin">
        <color rgb="FFA5A5A5"/>
      </left>
      <right style="thin">
        <color rgb="FFAEABAB"/>
      </right>
      <bottom style="thin">
        <color rgb="FF7F7F7F"/>
      </bottom>
    </border>
    <border>
      <left style="thin">
        <color rgb="FF7F7F7F"/>
      </left>
      <right style="thin">
        <color rgb="FFA5A5A5"/>
      </right>
      <top style="thin">
        <color rgb="FFAEABAB"/>
      </top>
      <bottom style="thin">
        <color rgb="FF7F7F7F"/>
      </bottom>
    </border>
    <border>
      <left/>
      <right style="thin">
        <color rgb="FFAEABAB"/>
      </right>
      <top style="thin">
        <color rgb="FFAEABAB"/>
      </top>
      <bottom style="thin">
        <color rgb="FF7F7F7F"/>
      </bottom>
    </border>
    <border>
      <left style="thin">
        <color rgb="FFA5A5A5"/>
      </left>
      <right style="thin">
        <color rgb="FFAEABAB"/>
      </right>
      <top style="thin">
        <color rgb="FF7F7F7F"/>
      </top>
      <bottom style="thin">
        <color rgb="FFA5A5A5"/>
      </bottom>
    </border>
    <border>
      <left style="thin">
        <color rgb="FFAEABAB"/>
      </left>
      <right style="thin">
        <color rgb="FF7F7F7F"/>
      </right>
      <top style="thin">
        <color rgb="FF7F7F7F"/>
      </top>
      <bottom/>
    </border>
    <border>
      <left style="thin">
        <color rgb="FFA5A5A5"/>
      </left>
      <right style="thin">
        <color rgb="FFAEABAB"/>
      </right>
      <top style="thin">
        <color rgb="FFA5A5A5"/>
      </top>
      <bottom style="thin">
        <color rgb="FFA5A5A5"/>
      </bottom>
    </border>
    <border>
      <left style="thin">
        <color rgb="FFAEABAB"/>
      </left>
      <right style="thin">
        <color rgb="FF7F7F7F"/>
      </right>
      <top style="thin">
        <color rgb="FFA5A5A5"/>
      </top>
    </border>
    <border>
      <left style="thin">
        <color rgb="FFA5A5A5"/>
      </left>
      <right style="thin">
        <color rgb="FFAEABAB"/>
      </right>
      <top/>
      <bottom style="thin">
        <color rgb="FF7F7F7F"/>
      </bottom>
    </border>
    <border>
      <left style="thin">
        <color rgb="FF7B7B7B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AEABAB"/>
      </left>
      <right/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EABAB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57070"/>
      </bottom>
    </border>
    <border>
      <left/>
      <right/>
      <top style="thin">
        <color rgb="FF7F7F7F"/>
      </top>
      <bottom/>
    </border>
    <border>
      <left/>
      <right/>
      <top style="thin">
        <color rgb="FF7F7F7F"/>
      </top>
      <bottom style="thin">
        <color rgb="FFAEABAB"/>
      </bottom>
    </border>
    <border>
      <left/>
      <right style="thin">
        <color rgb="FF7F7F7F"/>
      </right>
      <bottom style="thin">
        <color rgb="FF757070"/>
      </bottom>
    </border>
    <border>
      <left style="thin">
        <color rgb="FFA5A5A5"/>
      </left>
      <right style="thin">
        <color rgb="FFA5A5A5"/>
      </right>
      <top style="thin">
        <color rgb="FF757070"/>
      </top>
      <bottom style="thin">
        <color rgb="FF757070"/>
      </bottom>
    </border>
    <border>
      <left/>
      <right style="thin">
        <color rgb="FF7F7F7F"/>
      </right>
      <top style="thin">
        <color rgb="FFA5A5A5"/>
      </top>
      <bottom style="thin">
        <color rgb="FF7F7F7F"/>
      </bottom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F7F7F"/>
      </bottom>
    </border>
    <border>
      <left style="thin">
        <color rgb="FFAEABAB"/>
      </left>
      <right style="thin">
        <color rgb="FF7F7F7F"/>
      </right>
      <top style="thin">
        <color rgb="FF757070"/>
      </top>
      <bottom style="thin">
        <color rgb="FF7F7F7F"/>
      </bottom>
    </border>
    <border>
      <left/>
      <right/>
      <top/>
      <bottom style="thin">
        <color rgb="FFA5A5A5"/>
      </bottom>
    </border>
    <border>
      <left style="thin">
        <color rgb="FF7F7F7F"/>
      </left>
      <right style="thin">
        <color rgb="FF7F7F7F"/>
      </right>
      <top/>
      <bottom style="thin">
        <color rgb="FFAEABAB"/>
      </bottom>
    </border>
    <border>
      <left/>
      <right style="thin">
        <color rgb="FF7F7F7F"/>
      </right>
      <top style="thin">
        <color rgb="FFAEABAB"/>
      </top>
      <bottom/>
    </border>
    <border>
      <left/>
      <right style="thin">
        <color rgb="FF7F7F7F"/>
      </right>
      <top style="thin">
        <color rgb="FFA5A5A5"/>
      </top>
      <bottom style="thin">
        <color rgb="FFA5A5A5"/>
      </bottom>
    </border>
    <border>
      <left/>
      <right style="thin">
        <color rgb="FF7F7F7F"/>
      </right>
      <top/>
      <bottom/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7F7F7F"/>
      </right>
      <top/>
      <bottom style="thin">
        <color rgb="FFAEABAB"/>
      </bottom>
    </border>
    <border>
      <left/>
      <right style="thin">
        <color rgb="FF7F7F7F"/>
      </right>
      <top/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F7F7F"/>
      </right>
      <top/>
      <bottom/>
    </border>
    <border>
      <left/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EABAB"/>
      </top>
      <bottom/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B7B7B"/>
      </left>
      <right style="thin">
        <color rgb="FF7F7F7F"/>
      </right>
      <top style="thin">
        <color rgb="FFA5A5A5"/>
      </top>
      <bottom/>
    </border>
    <border>
      <left/>
      <right style="thin">
        <color rgb="FF7F7F7F"/>
      </right>
      <top style="thin">
        <color rgb="FFA5A5A5"/>
      </top>
      <bottom/>
    </border>
    <border>
      <left/>
      <right/>
      <top style="thin">
        <color rgb="FFA5A5A5"/>
      </top>
      <bottom/>
    </border>
    <border>
      <left style="thin">
        <color rgb="FF7F7F7F"/>
      </left>
      <right style="thin">
        <color rgb="FF7F7F7F"/>
      </right>
      <top/>
      <bottom style="thin">
        <color rgb="FF757070"/>
      </bottom>
    </border>
  </borders>
  <cellStyleXfs count="1">
    <xf borderId="0" fillId="0" fontId="0" numFmtId="0" applyAlignment="1" applyFont="1"/>
  </cellStyleXfs>
  <cellXfs count="346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2" fillId="3" fontId="1" numFmtId="164" xfId="0" applyAlignment="1" applyBorder="1" applyFill="1" applyFont="1" applyNumberFormat="1">
      <alignment horizontal="center" vertical="center"/>
    </xf>
    <xf borderId="3" fillId="4" fontId="1" numFmtId="164" xfId="0" applyAlignment="1" applyBorder="1" applyFill="1" applyFont="1" applyNumberFormat="1">
      <alignment horizontal="center" vertical="center"/>
    </xf>
    <xf borderId="4" fillId="5" fontId="1" numFmtId="164" xfId="0" applyAlignment="1" applyBorder="1" applyFill="1" applyFont="1" applyNumberForma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4" fillId="6" fontId="1" numFmtId="164" xfId="0" applyAlignment="1" applyBorder="1" applyFill="1" applyFont="1" applyNumberFormat="1">
      <alignment horizontal="center" vertical="center"/>
    </xf>
    <xf borderId="7" fillId="7" fontId="1" numFmtId="164" xfId="0" applyAlignment="1" applyBorder="1" applyFill="1" applyFont="1" applyNumberFormat="1">
      <alignment horizontal="center" vertical="center"/>
    </xf>
    <xf borderId="1" fillId="8" fontId="1" numFmtId="164" xfId="0" applyAlignment="1" applyBorder="1" applyFill="1" applyFont="1" applyNumberFormat="1">
      <alignment horizontal="center" vertical="center"/>
    </xf>
    <xf borderId="7" fillId="9" fontId="1" numFmtId="164" xfId="0" applyAlignment="1" applyBorder="1" applyFill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7" fontId="1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4" fillId="9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10" fontId="1" numFmtId="164" xfId="0" applyAlignment="1" applyBorder="1" applyFill="1" applyFont="1" applyNumberFormat="1">
      <alignment horizontal="center" vertical="center"/>
    </xf>
    <xf borderId="19" fillId="10" fontId="1" numFmtId="164" xfId="0" applyAlignment="1" applyBorder="1" applyFont="1" applyNumberFormat="1">
      <alignment horizontal="center" vertical="center"/>
    </xf>
    <xf borderId="20" fillId="10" fontId="1" numFmtId="164" xfId="0" applyAlignment="1" applyBorder="1" applyFont="1" applyNumberFormat="1">
      <alignment horizontal="center" vertical="center"/>
    </xf>
    <xf borderId="21" fillId="11" fontId="1" numFmtId="164" xfId="0" applyAlignment="1" applyBorder="1" applyFill="1" applyFont="1" applyNumberFormat="1">
      <alignment horizontal="center" vertical="center"/>
    </xf>
    <xf borderId="22" fillId="11" fontId="1" numFmtId="164" xfId="0" applyAlignment="1" applyBorder="1" applyFont="1" applyNumberFormat="1">
      <alignment horizontal="center" vertical="center"/>
    </xf>
    <xf borderId="23" fillId="11" fontId="1" numFmtId="164" xfId="0" applyAlignment="1" applyBorder="1" applyFont="1" applyNumberFormat="1">
      <alignment horizontal="center" vertical="center"/>
    </xf>
    <xf borderId="19" fillId="12" fontId="1" numFmtId="164" xfId="0" applyAlignment="1" applyBorder="1" applyFill="1" applyFont="1" applyNumberFormat="1">
      <alignment horizontal="center" vertical="center"/>
    </xf>
    <xf borderId="24" fillId="13" fontId="1" numFmtId="164" xfId="0" applyAlignment="1" applyBorder="1" applyFill="1" applyFont="1" applyNumberFormat="1">
      <alignment horizontal="center" vertical="center"/>
    </xf>
    <xf borderId="7" fillId="14" fontId="1" numFmtId="164" xfId="0" applyAlignment="1" applyBorder="1" applyFill="1" applyFont="1" applyNumberForma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25" fillId="3" fontId="1" numFmtId="164" xfId="0" applyAlignment="1" applyBorder="1" applyFont="1" applyNumberFormat="1">
      <alignment horizontal="center" vertical="center"/>
    </xf>
    <xf borderId="26" fillId="4" fontId="1" numFmtId="164" xfId="0" applyAlignment="1" applyBorder="1" applyFont="1" applyNumberFormat="1">
      <alignment horizontal="center" vertical="center"/>
    </xf>
    <xf borderId="25" fillId="15" fontId="1" numFmtId="164" xfId="0" applyAlignment="1" applyBorder="1" applyFill="1" applyFont="1" applyNumberFormat="1">
      <alignment horizontal="center" vertical="center"/>
    </xf>
    <xf borderId="27" fillId="15" fontId="1" numFmtId="164" xfId="0" applyAlignment="1" applyBorder="1" applyFont="1" applyNumberFormat="1">
      <alignment horizontal="center" vertical="center"/>
    </xf>
    <xf borderId="28" fillId="15" fontId="1" numFmtId="164" xfId="0" applyAlignment="1" applyBorder="1" applyFont="1" applyNumberFormat="1">
      <alignment horizontal="center" vertical="center"/>
    </xf>
    <xf borderId="25" fillId="16" fontId="1" numFmtId="164" xfId="0" applyAlignment="1" applyBorder="1" applyFill="1" applyFont="1" applyNumberFormat="1">
      <alignment horizontal="center" vertical="center"/>
    </xf>
    <xf borderId="27" fillId="16" fontId="1" numFmtId="164" xfId="0" applyAlignment="1" applyBorder="1" applyFont="1" applyNumberFormat="1">
      <alignment horizontal="center" vertical="center"/>
    </xf>
    <xf borderId="28" fillId="16" fontId="1" numFmtId="164" xfId="0" applyAlignment="1" applyBorder="1" applyFont="1" applyNumberFormat="1">
      <alignment horizontal="center" vertical="center"/>
    </xf>
    <xf borderId="24" fillId="17" fontId="1" numFmtId="164" xfId="0" applyAlignment="1" applyBorder="1" applyFill="1" applyFont="1" applyNumberFormat="1">
      <alignment horizontal="center" vertical="center"/>
    </xf>
    <xf borderId="29" fillId="18" fontId="1" numFmtId="164" xfId="0" applyAlignment="1" applyBorder="1" applyFill="1" applyFont="1" applyNumberFormat="1">
      <alignment horizontal="center" vertical="center"/>
    </xf>
    <xf borderId="30" fillId="19" fontId="1" numFmtId="164" xfId="0" applyAlignment="1" applyBorder="1" applyFill="1" applyFont="1" applyNumberFormat="1">
      <alignment horizontal="center" vertical="center"/>
    </xf>
    <xf borderId="31" fillId="3" fontId="1" numFmtId="164" xfId="0" applyAlignment="1" applyBorder="1" applyFont="1" applyNumberFormat="1">
      <alignment horizontal="center" vertical="center"/>
    </xf>
    <xf borderId="32" fillId="4" fontId="1" numFmtId="164" xfId="0" applyAlignment="1" applyBorder="1" applyFont="1" applyNumberFormat="1">
      <alignment horizontal="center" vertical="center"/>
    </xf>
    <xf borderId="31" fillId="15" fontId="1" numFmtId="164" xfId="0" applyAlignment="1" applyBorder="1" applyFont="1" applyNumberFormat="1">
      <alignment horizontal="center" vertical="center"/>
    </xf>
    <xf borderId="33" fillId="15" fontId="1" numFmtId="164" xfId="0" applyAlignment="1" applyBorder="1" applyFont="1" applyNumberFormat="1">
      <alignment horizontal="center" vertical="center"/>
    </xf>
    <xf borderId="34" fillId="15" fontId="1" numFmtId="164" xfId="0" applyAlignment="1" applyBorder="1" applyFont="1" applyNumberFormat="1">
      <alignment horizontal="center" vertical="center"/>
    </xf>
    <xf borderId="35" fillId="16" fontId="1" numFmtId="164" xfId="0" applyAlignment="1" applyBorder="1" applyFont="1" applyNumberFormat="1">
      <alignment horizontal="center" vertical="center"/>
    </xf>
    <xf borderId="33" fillId="16" fontId="1" numFmtId="164" xfId="0" applyAlignment="1" applyBorder="1" applyFont="1" applyNumberFormat="1">
      <alignment horizontal="center" vertical="center"/>
    </xf>
    <xf borderId="34" fillId="16" fontId="1" numFmtId="164" xfId="0" applyAlignment="1" applyBorder="1" applyFont="1" applyNumberFormat="1">
      <alignment horizontal="center" vertical="center"/>
    </xf>
    <xf borderId="36" fillId="17" fontId="1" numFmtId="164" xfId="0" applyAlignment="1" applyBorder="1" applyFont="1" applyNumberFormat="1">
      <alignment horizontal="center" vertical="center"/>
    </xf>
    <xf borderId="37" fillId="18" fontId="1" numFmtId="164" xfId="0" applyAlignment="1" applyBorder="1" applyFont="1" applyNumberFormat="1">
      <alignment horizontal="center" vertical="center"/>
    </xf>
    <xf borderId="38" fillId="19" fontId="1" numFmtId="164" xfId="0" applyAlignment="1" applyBorder="1" applyFont="1" applyNumberFormat="1">
      <alignment horizontal="center" vertical="center"/>
    </xf>
    <xf borderId="39" fillId="3" fontId="1" numFmtId="164" xfId="0" applyAlignment="1" applyBorder="1" applyFont="1" applyNumberFormat="1">
      <alignment horizontal="center" vertical="center"/>
    </xf>
    <xf borderId="40" fillId="4" fontId="1" numFmtId="164" xfId="0" applyAlignment="1" applyBorder="1" applyFont="1" applyNumberFormat="1">
      <alignment horizontal="center" vertical="center"/>
    </xf>
    <xf borderId="39" fillId="15" fontId="1" numFmtId="164" xfId="0" applyAlignment="1" applyBorder="1" applyFont="1" applyNumberFormat="1">
      <alignment horizontal="center" vertical="center"/>
    </xf>
    <xf borderId="41" fillId="15" fontId="1" numFmtId="164" xfId="0" applyAlignment="1" applyBorder="1" applyFont="1" applyNumberFormat="1">
      <alignment horizontal="center" vertical="center"/>
    </xf>
    <xf borderId="42" fillId="15" fontId="1" numFmtId="164" xfId="0" applyAlignment="1" applyBorder="1" applyFont="1" applyNumberFormat="1">
      <alignment horizontal="center" vertical="center"/>
    </xf>
    <xf borderId="39" fillId="16" fontId="1" numFmtId="164" xfId="0" applyAlignment="1" applyBorder="1" applyFont="1" applyNumberFormat="1">
      <alignment horizontal="center" vertical="center"/>
    </xf>
    <xf borderId="41" fillId="16" fontId="1" numFmtId="164" xfId="0" applyAlignment="1" applyBorder="1" applyFont="1" applyNumberFormat="1">
      <alignment horizontal="center" vertical="center"/>
    </xf>
    <xf borderId="42" fillId="16" fontId="1" numFmtId="164" xfId="0" applyAlignment="1" applyBorder="1" applyFont="1" applyNumberFormat="1">
      <alignment horizontal="center" vertical="center"/>
    </xf>
    <xf borderId="43" fillId="17" fontId="1" numFmtId="164" xfId="0" applyAlignment="1" applyBorder="1" applyFont="1" applyNumberFormat="1">
      <alignment horizontal="center" vertical="center"/>
    </xf>
    <xf borderId="44" fillId="18" fontId="1" numFmtId="164" xfId="0" applyAlignment="1" applyBorder="1" applyFont="1" applyNumberFormat="1">
      <alignment horizontal="center" vertical="center"/>
    </xf>
    <xf borderId="45" fillId="19" fontId="1" numFmtId="164" xfId="0" applyAlignment="1" applyBorder="1" applyFont="1" applyNumberFormat="1">
      <alignment horizontal="center" vertical="center"/>
    </xf>
    <xf borderId="46" fillId="3" fontId="1" numFmtId="164" xfId="0" applyAlignment="1" applyBorder="1" applyFont="1" applyNumberFormat="1">
      <alignment horizontal="center" vertical="center"/>
    </xf>
    <xf borderId="47" fillId="4" fontId="1" numFmtId="164" xfId="0" applyAlignment="1" applyBorder="1" applyFont="1" applyNumberFormat="1">
      <alignment horizontal="center" vertical="center"/>
    </xf>
    <xf borderId="46" fillId="15" fontId="1" numFmtId="164" xfId="0" applyAlignment="1" applyBorder="1" applyFont="1" applyNumberFormat="1">
      <alignment horizontal="center" vertical="center"/>
    </xf>
    <xf borderId="48" fillId="15" fontId="1" numFmtId="164" xfId="0" applyAlignment="1" applyBorder="1" applyFont="1" applyNumberFormat="1">
      <alignment horizontal="center" vertical="center"/>
    </xf>
    <xf borderId="47" fillId="15" fontId="1" numFmtId="164" xfId="0" applyAlignment="1" applyBorder="1" applyFont="1" applyNumberFormat="1">
      <alignment horizontal="center" vertical="center"/>
    </xf>
    <xf borderId="46" fillId="16" fontId="1" numFmtId="164" xfId="0" applyAlignment="1" applyBorder="1" applyFont="1" applyNumberFormat="1">
      <alignment horizontal="center" vertical="center"/>
    </xf>
    <xf borderId="48" fillId="16" fontId="1" numFmtId="164" xfId="0" applyAlignment="1" applyBorder="1" applyFont="1" applyNumberFormat="1">
      <alignment horizontal="center" vertical="center"/>
    </xf>
    <xf borderId="47" fillId="16" fontId="1" numFmtId="164" xfId="0" applyAlignment="1" applyBorder="1" applyFont="1" applyNumberFormat="1">
      <alignment horizontal="center" vertical="center"/>
    </xf>
    <xf borderId="49" fillId="17" fontId="1" numFmtId="164" xfId="0" applyAlignment="1" applyBorder="1" applyFont="1" applyNumberFormat="1">
      <alignment horizontal="center" vertical="center"/>
    </xf>
    <xf borderId="50" fillId="18" fontId="1" numFmtId="164" xfId="0" applyAlignment="1" applyBorder="1" applyFont="1" applyNumberFormat="1">
      <alignment horizontal="center" vertical="center"/>
    </xf>
    <xf borderId="51" fillId="19" fontId="1" numFmtId="164" xfId="0" applyAlignment="1" applyBorder="1" applyFont="1" applyNumberFormat="1">
      <alignment horizontal="center" vertical="center"/>
    </xf>
    <xf borderId="52" fillId="17" fontId="1" numFmtId="164" xfId="0" applyAlignment="1" applyBorder="1" applyFont="1" applyNumberFormat="1">
      <alignment horizontal="center" vertical="center"/>
    </xf>
    <xf borderId="53" fillId="18" fontId="1" numFmtId="164" xfId="0" applyAlignment="1" applyBorder="1" applyFont="1" applyNumberFormat="1">
      <alignment horizontal="center" vertical="center"/>
    </xf>
    <xf borderId="54" fillId="19" fontId="1" numFmtId="164" xfId="0" applyAlignment="1" applyBorder="1" applyFont="1" applyNumberFormat="1">
      <alignment horizontal="center" vertical="center"/>
    </xf>
    <xf borderId="55" fillId="17" fontId="1" numFmtId="164" xfId="0" applyAlignment="1" applyBorder="1" applyFont="1" applyNumberFormat="1">
      <alignment horizontal="center" vertical="center"/>
    </xf>
    <xf borderId="56" fillId="18" fontId="1" numFmtId="164" xfId="0" applyAlignment="1" applyBorder="1" applyFont="1" applyNumberFormat="1">
      <alignment horizontal="center" vertical="center"/>
    </xf>
    <xf borderId="57" fillId="19" fontId="1" numFmtId="164" xfId="0" applyAlignment="1" applyBorder="1" applyFont="1" applyNumberFormat="1">
      <alignment horizontal="center" vertical="center"/>
    </xf>
    <xf borderId="58" fillId="17" fontId="1" numFmtId="164" xfId="0" applyAlignment="1" applyBorder="1" applyFont="1" applyNumberFormat="1">
      <alignment horizontal="center" vertical="center"/>
    </xf>
    <xf borderId="42" fillId="4" fontId="1" numFmtId="164" xfId="0" applyAlignment="1" applyBorder="1" applyFont="1" applyNumberFormat="1">
      <alignment horizontal="center" vertical="center"/>
    </xf>
    <xf borderId="59" fillId="17" fontId="1" numFmtId="164" xfId="0" applyAlignment="1" applyBorder="1" applyFont="1" applyNumberFormat="1">
      <alignment horizontal="center" vertical="center"/>
    </xf>
    <xf borderId="60" fillId="3" fontId="1" numFmtId="164" xfId="0" applyAlignment="1" applyBorder="1" applyFont="1" applyNumberFormat="1">
      <alignment horizontal="center" vertical="center"/>
    </xf>
    <xf borderId="60" fillId="15" fontId="1" numFmtId="164" xfId="0" applyAlignment="1" applyBorder="1" applyFont="1" applyNumberFormat="1">
      <alignment horizontal="center" vertical="center"/>
    </xf>
    <xf borderId="61" fillId="15" fontId="1" numFmtId="164" xfId="0" applyAlignment="1" applyBorder="1" applyFont="1" applyNumberFormat="1">
      <alignment horizontal="center" vertical="center"/>
    </xf>
    <xf borderId="62" fillId="15" fontId="1" numFmtId="164" xfId="0" applyAlignment="1" applyBorder="1" applyFont="1" applyNumberFormat="1">
      <alignment horizontal="center" vertical="center"/>
    </xf>
    <xf borderId="60" fillId="16" fontId="1" numFmtId="164" xfId="0" applyAlignment="1" applyBorder="1" applyFont="1" applyNumberFormat="1">
      <alignment horizontal="center" vertical="center"/>
    </xf>
    <xf borderId="61" fillId="16" fontId="1" numFmtId="164" xfId="0" applyAlignment="1" applyBorder="1" applyFont="1" applyNumberFormat="1">
      <alignment horizontal="center" vertical="center"/>
    </xf>
    <xf borderId="62" fillId="16" fontId="1" numFmtId="164" xfId="0" applyAlignment="1" applyBorder="1" applyFont="1" applyNumberFormat="1">
      <alignment horizontal="center" vertical="center"/>
    </xf>
    <xf borderId="63" fillId="3" fontId="1" numFmtId="164" xfId="0" applyAlignment="1" applyBorder="1" applyFont="1" applyNumberFormat="1">
      <alignment horizontal="center" vertical="center"/>
    </xf>
    <xf borderId="63" fillId="15" fontId="1" numFmtId="164" xfId="0" applyAlignment="1" applyBorder="1" applyFont="1" applyNumberFormat="1">
      <alignment horizontal="center" vertical="center"/>
    </xf>
    <xf borderId="64" fillId="15" fontId="1" numFmtId="164" xfId="0" applyAlignment="1" applyBorder="1" applyFont="1" applyNumberFormat="1">
      <alignment horizontal="center" vertical="center"/>
    </xf>
    <xf borderId="65" fillId="15" fontId="1" numFmtId="164" xfId="0" applyAlignment="1" applyBorder="1" applyFont="1" applyNumberFormat="1">
      <alignment horizontal="center" vertical="center"/>
    </xf>
    <xf borderId="63" fillId="16" fontId="1" numFmtId="164" xfId="0" applyAlignment="1" applyBorder="1" applyFont="1" applyNumberFormat="1">
      <alignment horizontal="center" vertical="center"/>
    </xf>
    <xf borderId="64" fillId="16" fontId="1" numFmtId="164" xfId="0" applyAlignment="1" applyBorder="1" applyFont="1" applyNumberFormat="1">
      <alignment horizontal="center" vertical="center"/>
    </xf>
    <xf borderId="65" fillId="16" fontId="1" numFmtId="164" xfId="0" applyAlignment="1" applyBorder="1" applyFont="1" applyNumberFormat="1">
      <alignment horizontal="center" vertical="center"/>
    </xf>
    <xf borderId="66" fillId="3" fontId="1" numFmtId="164" xfId="0" applyAlignment="1" applyBorder="1" applyFont="1" applyNumberFormat="1">
      <alignment horizontal="center" vertical="center"/>
    </xf>
    <xf borderId="67" fillId="4" fontId="1" numFmtId="164" xfId="0" applyAlignment="1" applyBorder="1" applyFont="1" applyNumberFormat="1">
      <alignment horizontal="center" vertical="center"/>
    </xf>
    <xf borderId="66" fillId="15" fontId="1" numFmtId="164" xfId="0" applyAlignment="1" applyBorder="1" applyFont="1" applyNumberFormat="1">
      <alignment horizontal="center" vertical="center"/>
    </xf>
    <xf borderId="68" fillId="15" fontId="1" numFmtId="164" xfId="0" applyAlignment="1" applyBorder="1" applyFont="1" applyNumberFormat="1">
      <alignment horizontal="center" vertical="center"/>
    </xf>
    <xf borderId="67" fillId="15" fontId="1" numFmtId="164" xfId="0" applyAlignment="1" applyBorder="1" applyFont="1" applyNumberFormat="1">
      <alignment horizontal="center" vertical="center"/>
    </xf>
    <xf borderId="66" fillId="16" fontId="1" numFmtId="164" xfId="0" applyAlignment="1" applyBorder="1" applyFont="1" applyNumberFormat="1">
      <alignment horizontal="center" vertical="center"/>
    </xf>
    <xf borderId="68" fillId="16" fontId="1" numFmtId="164" xfId="0" applyAlignment="1" applyBorder="1" applyFont="1" applyNumberFormat="1">
      <alignment horizontal="center" vertical="center"/>
    </xf>
    <xf borderId="67" fillId="16" fontId="1" numFmtId="164" xfId="0" applyAlignment="1" applyBorder="1" applyFont="1" applyNumberFormat="1">
      <alignment horizontal="center" vertical="center"/>
    </xf>
    <xf borderId="69" fillId="4" fontId="1" numFmtId="164" xfId="0" applyAlignment="1" applyBorder="1" applyFont="1" applyNumberFormat="1">
      <alignment horizontal="center" vertical="center"/>
    </xf>
    <xf borderId="70" fillId="17" fontId="1" numFmtId="164" xfId="0" applyAlignment="1" applyBorder="1" applyFont="1" applyNumberFormat="1">
      <alignment horizontal="center" vertical="center"/>
    </xf>
    <xf borderId="71" fillId="3" fontId="1" numFmtId="164" xfId="0" applyAlignment="1" applyBorder="1" applyFont="1" applyNumberFormat="1">
      <alignment horizontal="center" vertical="center"/>
    </xf>
    <xf borderId="71" fillId="15" fontId="1" numFmtId="164" xfId="0" applyAlignment="1" applyBorder="1" applyFont="1" applyNumberFormat="1">
      <alignment horizontal="center" vertical="center"/>
    </xf>
    <xf borderId="72" fillId="4" fontId="1" numFmtId="164" xfId="0" applyAlignment="1" applyBorder="1" applyFont="1" applyNumberFormat="1">
      <alignment horizontal="center" vertical="center"/>
    </xf>
    <xf borderId="73" fillId="17" fontId="1" numFmtId="164" xfId="0" applyAlignment="1" applyBorder="1" applyFont="1" applyNumberFormat="1">
      <alignment horizontal="center" vertical="center"/>
    </xf>
    <xf borderId="74" fillId="3" fontId="1" numFmtId="164" xfId="0" applyAlignment="1" applyBorder="1" applyFont="1" applyNumberFormat="1">
      <alignment horizontal="center" vertical="center"/>
    </xf>
    <xf borderId="75" fillId="15" fontId="1" numFmtId="164" xfId="0" applyAlignment="1" applyBorder="1" applyFont="1" applyNumberFormat="1">
      <alignment horizontal="center" vertical="center"/>
    </xf>
    <xf borderId="40" fillId="15" fontId="1" numFmtId="164" xfId="0" applyAlignment="1" applyBorder="1" applyFont="1" applyNumberFormat="1">
      <alignment horizontal="center" vertical="center"/>
    </xf>
    <xf borderId="71" fillId="16" fontId="1" numFmtId="164" xfId="0" applyAlignment="1" applyBorder="1" applyFont="1" applyNumberFormat="1">
      <alignment horizontal="center" vertical="center"/>
    </xf>
    <xf borderId="75" fillId="16" fontId="1" numFmtId="164" xfId="0" applyAlignment="1" applyBorder="1" applyFont="1" applyNumberFormat="1">
      <alignment horizontal="center" vertical="center"/>
    </xf>
    <xf borderId="40" fillId="16" fontId="1" numFmtId="164" xfId="0" applyAlignment="1" applyBorder="1" applyFont="1" applyNumberFormat="1">
      <alignment horizontal="center" vertical="center"/>
    </xf>
    <xf borderId="68" fillId="16" fontId="1" numFmtId="164" xfId="0" applyAlignment="1" applyBorder="1" applyFont="1" applyNumberFormat="1">
      <alignment vertical="center"/>
    </xf>
    <xf borderId="67" fillId="16" fontId="1" numFmtId="164" xfId="0" applyAlignment="1" applyBorder="1" applyFont="1" applyNumberFormat="1">
      <alignment vertical="center"/>
    </xf>
    <xf borderId="53" fillId="17" fontId="1" numFmtId="164" xfId="0" applyAlignment="1" applyBorder="1" applyFont="1" applyNumberFormat="1">
      <alignment vertical="center"/>
    </xf>
    <xf borderId="53" fillId="18" fontId="1" numFmtId="164" xfId="0" applyAlignment="1" applyBorder="1" applyFont="1" applyNumberFormat="1">
      <alignment vertical="center"/>
    </xf>
    <xf borderId="76" fillId="19" fontId="1" numFmtId="164" xfId="0" applyAlignment="1" applyBorder="1" applyFont="1" applyNumberFormat="1">
      <alignment vertical="center"/>
    </xf>
    <xf borderId="77" fillId="3" fontId="1" numFmtId="164" xfId="0" applyAlignment="1" applyBorder="1" applyFont="1" applyNumberFormat="1">
      <alignment horizontal="center" vertical="center"/>
    </xf>
    <xf borderId="78" fillId="4" fontId="1" numFmtId="164" xfId="0" applyAlignment="1" applyBorder="1" applyFont="1" applyNumberFormat="1">
      <alignment horizontal="center" vertical="center"/>
    </xf>
    <xf borderId="77" fillId="15" fontId="1" numFmtId="164" xfId="0" applyAlignment="1" applyBorder="1" applyFont="1" applyNumberFormat="1">
      <alignment horizontal="center" vertical="center"/>
    </xf>
    <xf borderId="79" fillId="15" fontId="1" numFmtId="164" xfId="0" applyAlignment="1" applyBorder="1" applyFont="1" applyNumberFormat="1">
      <alignment horizontal="center" vertical="center"/>
    </xf>
    <xf borderId="78" fillId="15" fontId="1" numFmtId="164" xfId="0" applyAlignment="1" applyBorder="1" applyFont="1" applyNumberFormat="1">
      <alignment horizontal="center" vertical="center"/>
    </xf>
    <xf borderId="77" fillId="16" fontId="1" numFmtId="164" xfId="0" applyAlignment="1" applyBorder="1" applyFont="1" applyNumberFormat="1">
      <alignment horizontal="center" vertical="center"/>
    </xf>
    <xf borderId="79" fillId="16" fontId="1" numFmtId="164" xfId="0" applyAlignment="1" applyBorder="1" applyFont="1" applyNumberFormat="1">
      <alignment horizontal="center" vertical="center"/>
    </xf>
    <xf borderId="78" fillId="16" fontId="1" numFmtId="164" xfId="0" applyAlignment="1" applyBorder="1" applyFont="1" applyNumberFormat="1">
      <alignment horizontal="center" vertical="center"/>
    </xf>
    <xf borderId="80" fillId="17" fontId="1" numFmtId="164" xfId="0" applyAlignment="1" applyBorder="1" applyFont="1" applyNumberFormat="1">
      <alignment horizontal="center" vertical="center"/>
    </xf>
    <xf borderId="81" fillId="19" fontId="1" numFmtId="164" xfId="0" applyAlignment="1" applyBorder="1" applyFont="1" applyNumberFormat="1">
      <alignment horizontal="center" vertical="center"/>
    </xf>
    <xf borderId="82" fillId="3" fontId="1" numFmtId="164" xfId="0" applyAlignment="1" applyBorder="1" applyFont="1" applyNumberFormat="1">
      <alignment horizontal="center" vertical="center"/>
    </xf>
    <xf borderId="82" fillId="15" fontId="1" numFmtId="164" xfId="0" applyAlignment="1" applyBorder="1" applyFont="1" applyNumberFormat="1">
      <alignment horizontal="center" vertical="center"/>
    </xf>
    <xf borderId="83" fillId="15" fontId="1" numFmtId="164" xfId="0" applyAlignment="1" applyBorder="1" applyFont="1" applyNumberFormat="1">
      <alignment horizontal="center" vertical="center"/>
    </xf>
    <xf borderId="69" fillId="15" fontId="1" numFmtId="164" xfId="0" applyAlignment="1" applyBorder="1" applyFont="1" applyNumberFormat="1">
      <alignment horizontal="center" vertical="center"/>
    </xf>
    <xf borderId="82" fillId="16" fontId="1" numFmtId="164" xfId="0" applyAlignment="1" applyBorder="1" applyFont="1" applyNumberFormat="1">
      <alignment horizontal="center" vertical="center"/>
    </xf>
    <xf borderId="83" fillId="16" fontId="1" numFmtId="164" xfId="0" applyAlignment="1" applyBorder="1" applyFont="1" applyNumberFormat="1">
      <alignment horizontal="center" vertical="center"/>
    </xf>
    <xf borderId="69" fillId="16" fontId="1" numFmtId="164" xfId="0" applyAlignment="1" applyBorder="1" applyFont="1" applyNumberFormat="1">
      <alignment horizontal="center" vertical="center"/>
    </xf>
    <xf borderId="56" fillId="17" fontId="1" numFmtId="164" xfId="0" applyAlignment="1" applyBorder="1" applyFont="1" applyNumberFormat="1">
      <alignment vertical="center"/>
    </xf>
    <xf borderId="56" fillId="18" fontId="1" numFmtId="164" xfId="0" applyAlignment="1" applyBorder="1" applyFont="1" applyNumberFormat="1">
      <alignment vertical="center"/>
    </xf>
    <xf borderId="84" fillId="19" fontId="1" numFmtId="164" xfId="0" applyAlignment="1" applyBorder="1" applyFont="1" applyNumberFormat="1">
      <alignment vertical="center"/>
    </xf>
    <xf borderId="85" fillId="3" fontId="1" numFmtId="164" xfId="0" applyAlignment="1" applyBorder="1" applyFont="1" applyNumberFormat="1">
      <alignment horizontal="center" vertical="center"/>
    </xf>
    <xf borderId="86" fillId="4" fontId="1" numFmtId="164" xfId="0" applyAlignment="1" applyBorder="1" applyFont="1" applyNumberFormat="1">
      <alignment horizontal="center" vertical="center"/>
    </xf>
    <xf borderId="87" fillId="15" fontId="1" numFmtId="164" xfId="0" applyAlignment="1" applyBorder="1" applyFont="1" applyNumberFormat="1">
      <alignment horizontal="center" vertical="center"/>
    </xf>
    <xf borderId="88" fillId="15" fontId="1" numFmtId="164" xfId="0" applyAlignment="1" applyBorder="1" applyFont="1" applyNumberFormat="1">
      <alignment horizontal="center" vertical="center"/>
    </xf>
    <xf borderId="89" fillId="15" fontId="1" numFmtId="164" xfId="0" applyAlignment="1" applyBorder="1" applyFont="1" applyNumberFormat="1">
      <alignment horizontal="center" vertical="center"/>
    </xf>
    <xf borderId="87" fillId="16" fontId="1" numFmtId="164" xfId="0" applyAlignment="1" applyBorder="1" applyFont="1" applyNumberFormat="1">
      <alignment horizontal="center" vertical="center"/>
    </xf>
    <xf borderId="88" fillId="16" fontId="1" numFmtId="164" xfId="0" applyAlignment="1" applyBorder="1" applyFont="1" applyNumberFormat="1">
      <alignment horizontal="center" vertical="center"/>
    </xf>
    <xf borderId="89" fillId="16" fontId="1" numFmtId="164" xfId="0" applyAlignment="1" applyBorder="1" applyFont="1" applyNumberFormat="1">
      <alignment horizontal="center" vertical="center"/>
    </xf>
    <xf borderId="90" fillId="17" fontId="1" numFmtId="164" xfId="0" applyAlignment="1" applyBorder="1" applyFont="1" applyNumberFormat="1">
      <alignment horizontal="center" vertical="center"/>
    </xf>
    <xf borderId="90" fillId="18" fontId="1" numFmtId="164" xfId="0" applyAlignment="1" applyBorder="1" applyFont="1" applyNumberFormat="1">
      <alignment horizontal="center" vertical="center"/>
    </xf>
    <xf borderId="91" fillId="19" fontId="1" numFmtId="164" xfId="0" applyAlignment="1" applyBorder="1" applyFont="1" applyNumberFormat="1">
      <alignment horizontal="center" vertical="center"/>
    </xf>
    <xf borderId="92" fillId="0" fontId="2" numFmtId="0" xfId="0" applyAlignment="1" applyBorder="1" applyFont="1">
      <alignment vertical="center"/>
    </xf>
    <xf borderId="93" fillId="0" fontId="2" numFmtId="0" xfId="0" applyAlignment="1" applyBorder="1" applyFont="1">
      <alignment vertical="center"/>
    </xf>
    <xf borderId="94" fillId="0" fontId="2" numFmtId="0" xfId="0" applyAlignment="1" applyBorder="1" applyFont="1">
      <alignment vertical="center"/>
    </xf>
    <xf borderId="95" fillId="0" fontId="2" numFmtId="0" xfId="0" applyAlignment="1" applyBorder="1" applyFont="1">
      <alignment vertical="center"/>
    </xf>
    <xf borderId="96" fillId="0" fontId="2" numFmtId="0" xfId="0" applyAlignment="1" applyBorder="1" applyFont="1">
      <alignment vertical="center"/>
    </xf>
    <xf borderId="97" fillId="0" fontId="2" numFmtId="0" xfId="0" applyAlignment="1" applyBorder="1" applyFont="1">
      <alignment vertical="center"/>
    </xf>
    <xf borderId="98" fillId="15" fontId="1" numFmtId="164" xfId="0" applyAlignment="1" applyBorder="1" applyFont="1" applyNumberFormat="1">
      <alignment horizontal="center" vertical="center"/>
    </xf>
    <xf borderId="99" fillId="15" fontId="1" numFmtId="164" xfId="0" applyAlignment="1" applyBorder="1" applyFont="1" applyNumberFormat="1">
      <alignment horizontal="center" vertical="center"/>
    </xf>
    <xf borderId="100" fillId="15" fontId="1" numFmtId="164" xfId="0" applyAlignment="1" applyBorder="1" applyFont="1" applyNumberFormat="1">
      <alignment horizontal="center" vertical="center"/>
    </xf>
    <xf borderId="98" fillId="16" fontId="1" numFmtId="164" xfId="0" applyAlignment="1" applyBorder="1" applyFont="1" applyNumberFormat="1">
      <alignment horizontal="center" vertical="center"/>
    </xf>
    <xf borderId="99" fillId="16" fontId="1" numFmtId="164" xfId="0" applyAlignment="1" applyBorder="1" applyFont="1" applyNumberFormat="1">
      <alignment horizontal="center" vertical="center"/>
    </xf>
    <xf borderId="100" fillId="16" fontId="1" numFmtId="164" xfId="0" applyAlignment="1" applyBorder="1" applyFont="1" applyNumberFormat="1">
      <alignment horizontal="center" vertical="center"/>
    </xf>
    <xf borderId="101" fillId="0" fontId="2" numFmtId="0" xfId="0" applyAlignment="1" applyBorder="1" applyFont="1">
      <alignment vertical="center"/>
    </xf>
    <xf borderId="102" fillId="0" fontId="2" numFmtId="0" xfId="0" applyAlignment="1" applyBorder="1" applyFont="1">
      <alignment vertical="center"/>
    </xf>
    <xf borderId="103" fillId="3" fontId="1" numFmtId="164" xfId="0" applyAlignment="1" applyBorder="1" applyFont="1" applyNumberFormat="1">
      <alignment horizontal="center" vertical="center"/>
    </xf>
    <xf borderId="56" fillId="17" fontId="1" numFmtId="164" xfId="0" applyAlignment="1" applyBorder="1" applyFont="1" applyNumberFormat="1">
      <alignment horizontal="center" vertical="center"/>
    </xf>
    <xf borderId="56" fillId="18" fontId="1" numFmtId="164" xfId="0" applyAlignment="1" applyBorder="1" applyFont="1" applyNumberFormat="1">
      <alignment horizontal="center" readingOrder="0" vertical="center"/>
    </xf>
    <xf borderId="84" fillId="19" fontId="1" numFmtId="164" xfId="0" applyAlignment="1" applyBorder="1" applyFont="1" applyNumberFormat="1">
      <alignment horizontal="center" readingOrder="0" vertical="center"/>
    </xf>
    <xf borderId="104" fillId="2" fontId="1" numFmtId="164" xfId="0" applyAlignment="1" applyBorder="1" applyFont="1" applyNumberFormat="1">
      <alignment horizontal="center" vertical="center"/>
    </xf>
    <xf borderId="105" fillId="0" fontId="2" numFmtId="0" xfId="0" applyAlignment="1" applyBorder="1" applyFont="1">
      <alignment vertical="center"/>
    </xf>
    <xf borderId="104" fillId="5" fontId="1" numFmtId="164" xfId="0" applyAlignment="1" applyBorder="1" applyFont="1" applyNumberFormat="1">
      <alignment horizontal="center" vertical="center"/>
    </xf>
    <xf borderId="104" fillId="6" fontId="1" numFmtId="164" xfId="0" applyAlignment="1" applyBorder="1" applyFont="1" applyNumberForma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readingOrder="0" vertical="center"/>
    </xf>
    <xf borderId="1" fillId="9" fontId="1" numFmtId="164" xfId="0" applyAlignment="1" applyBorder="1" applyFont="1" applyNumberFormat="1">
      <alignment horizontal="center" vertical="center"/>
    </xf>
    <xf borderId="106" fillId="0" fontId="2" numFmtId="0" xfId="0" applyAlignment="1" applyBorder="1" applyFont="1">
      <alignment vertical="center"/>
    </xf>
    <xf borderId="107" fillId="0" fontId="2" numFmtId="0" xfId="0" applyAlignment="1" applyBorder="1" applyFont="1">
      <alignment vertical="center"/>
    </xf>
    <xf borderId="108" fillId="16" fontId="1" numFmtId="164" xfId="0" applyAlignment="1" applyBorder="1" applyFont="1" applyNumberFormat="1">
      <alignment horizontal="center" vertical="center"/>
    </xf>
    <xf borderId="109" fillId="17" fontId="1" numFmtId="164" xfId="0" applyAlignment="1" applyBorder="1" applyFont="1" applyNumberFormat="1">
      <alignment horizontal="center" vertical="center"/>
    </xf>
    <xf borderId="110" fillId="3" fontId="1" numFmtId="164" xfId="0" applyAlignment="1" applyBorder="1" applyFont="1" applyNumberFormat="1">
      <alignment horizontal="center" vertical="center"/>
    </xf>
    <xf borderId="111" fillId="4" fontId="1" numFmtId="164" xfId="0" applyAlignment="1" applyBorder="1" applyFont="1" applyNumberFormat="1">
      <alignment horizontal="center" vertical="center"/>
    </xf>
    <xf borderId="110" fillId="15" fontId="1" numFmtId="164" xfId="0" applyAlignment="1" applyBorder="1" applyFont="1" applyNumberFormat="1">
      <alignment horizontal="center" vertical="center"/>
    </xf>
    <xf borderId="112" fillId="15" fontId="1" numFmtId="164" xfId="0" applyAlignment="1" applyBorder="1" applyFont="1" applyNumberFormat="1">
      <alignment horizontal="center" vertical="center"/>
    </xf>
    <xf borderId="111" fillId="15" fontId="1" numFmtId="164" xfId="0" applyAlignment="1" applyBorder="1" applyFont="1" applyNumberFormat="1">
      <alignment horizontal="center" vertical="center"/>
    </xf>
    <xf borderId="110" fillId="16" fontId="1" numFmtId="164" xfId="0" applyAlignment="1" applyBorder="1" applyFont="1" applyNumberFormat="1">
      <alignment horizontal="center" vertical="center"/>
    </xf>
    <xf borderId="112" fillId="16" fontId="1" numFmtId="164" xfId="0" applyAlignment="1" applyBorder="1" applyFont="1" applyNumberFormat="1">
      <alignment horizontal="center" vertical="center"/>
    </xf>
    <xf borderId="111" fillId="16" fontId="1" numFmtId="164" xfId="0" applyAlignment="1" applyBorder="1" applyFont="1" applyNumberFormat="1">
      <alignment horizontal="center" vertical="center"/>
    </xf>
    <xf borderId="37" fillId="17" fontId="1" numFmtId="164" xfId="0" applyAlignment="1" applyBorder="1" applyFont="1" applyNumberFormat="1">
      <alignment vertical="center"/>
    </xf>
    <xf borderId="37" fillId="18" fontId="1" numFmtId="164" xfId="0" applyAlignment="1" applyBorder="1" applyFont="1" applyNumberFormat="1">
      <alignment vertical="center"/>
    </xf>
    <xf borderId="113" fillId="19" fontId="1" numFmtId="164" xfId="0" applyAlignment="1" applyBorder="1" applyFont="1" applyNumberFormat="1">
      <alignment vertical="center"/>
    </xf>
    <xf borderId="114" fillId="3" fontId="1" numFmtId="164" xfId="0" applyAlignment="1" applyBorder="1" applyFont="1" applyNumberFormat="1">
      <alignment horizontal="center" vertical="center"/>
    </xf>
    <xf borderId="29" fillId="17" fontId="1" numFmtId="164" xfId="0" applyAlignment="1" applyBorder="1" applyFont="1" applyNumberFormat="1">
      <alignment horizontal="center" vertical="center"/>
    </xf>
    <xf borderId="115" fillId="19" fontId="1" numFmtId="164" xfId="0" applyAlignment="1" applyBorder="1" applyFont="1" applyNumberFormat="1">
      <alignment horizontal="center" vertical="center"/>
    </xf>
    <xf borderId="116" fillId="17" fontId="1" numFmtId="164" xfId="0" applyAlignment="1" applyBorder="1" applyFont="1" applyNumberFormat="1">
      <alignment horizontal="center" vertical="center"/>
    </xf>
    <xf borderId="117" fillId="16" fontId="1" numFmtId="164" xfId="0" applyAlignment="1" applyBorder="1" applyFont="1" applyNumberFormat="1">
      <alignment horizontal="center" vertical="center"/>
    </xf>
    <xf borderId="86" fillId="16" fontId="1" numFmtId="164" xfId="0" applyAlignment="1" applyBorder="1" applyFont="1" applyNumberFormat="1">
      <alignment horizontal="center" vertical="center"/>
    </xf>
    <xf borderId="118" fillId="0" fontId="2" numFmtId="0" xfId="0" applyAlignment="1" applyBorder="1" applyFont="1">
      <alignment vertical="center"/>
    </xf>
    <xf borderId="119" fillId="0" fontId="2" numFmtId="0" xfId="0" applyAlignment="1" applyBorder="1" applyFont="1">
      <alignment vertical="center"/>
    </xf>
    <xf borderId="120" fillId="0" fontId="2" numFmtId="0" xfId="0" applyAlignment="1" applyBorder="1" applyFont="1">
      <alignment vertical="center"/>
    </xf>
    <xf borderId="121" fillId="0" fontId="2" numFmtId="0" xfId="0" applyAlignment="1" applyBorder="1" applyFont="1">
      <alignment vertical="center"/>
    </xf>
    <xf borderId="122" fillId="0" fontId="2" numFmtId="0" xfId="0" applyAlignment="1" applyBorder="1" applyFont="1">
      <alignment vertical="center"/>
    </xf>
    <xf borderId="123" fillId="0" fontId="2" numFmtId="0" xfId="0" applyAlignment="1" applyBorder="1" applyFont="1">
      <alignment vertical="center"/>
    </xf>
    <xf borderId="124" fillId="3" fontId="1" numFmtId="164" xfId="0" applyAlignment="1" applyBorder="1" applyFont="1" applyNumberFormat="1">
      <alignment horizontal="center" vertical="center"/>
    </xf>
    <xf borderId="125" fillId="4" fontId="1" numFmtId="164" xfId="0" applyAlignment="1" applyBorder="1" applyFont="1" applyNumberFormat="1">
      <alignment horizontal="center" vertical="center"/>
    </xf>
    <xf borderId="126" fillId="15" fontId="1" numFmtId="164" xfId="0" applyAlignment="1" applyBorder="1" applyFont="1" applyNumberFormat="1">
      <alignment horizontal="center" vertical="center"/>
    </xf>
    <xf borderId="127" fillId="15" fontId="1" numFmtId="164" xfId="0" applyAlignment="1" applyBorder="1" applyFont="1" applyNumberFormat="1">
      <alignment horizontal="center" vertical="center"/>
    </xf>
    <xf borderId="125" fillId="15" fontId="1" numFmtId="164" xfId="0" applyAlignment="1" applyBorder="1" applyFont="1" applyNumberFormat="1">
      <alignment horizontal="center" vertical="center"/>
    </xf>
    <xf borderId="126" fillId="16" fontId="1" numFmtId="164" xfId="0" applyAlignment="1" applyBorder="1" applyFont="1" applyNumberFormat="1">
      <alignment horizontal="center" vertical="center"/>
    </xf>
    <xf borderId="127" fillId="16" fontId="1" numFmtId="164" xfId="0" applyAlignment="1" applyBorder="1" applyFont="1" applyNumberFormat="1">
      <alignment horizontal="center" vertical="center"/>
    </xf>
    <xf borderId="125" fillId="16" fontId="1" numFmtId="164" xfId="0" applyAlignment="1" applyBorder="1" applyFont="1" applyNumberFormat="1">
      <alignment horizontal="center" vertical="center"/>
    </xf>
    <xf borderId="128" fillId="17" fontId="1" numFmtId="164" xfId="0" applyAlignment="1" applyBorder="1" applyFont="1" applyNumberFormat="1">
      <alignment horizontal="center" vertical="center"/>
    </xf>
    <xf borderId="129" fillId="18" fontId="1" numFmtId="164" xfId="0" applyAlignment="1" applyBorder="1" applyFont="1" applyNumberFormat="1">
      <alignment horizontal="center" vertical="center"/>
    </xf>
    <xf borderId="130" fillId="19" fontId="1" numFmtId="164" xfId="0" applyAlignment="1" applyBorder="1" applyFont="1" applyNumberFormat="1">
      <alignment horizontal="center" vertical="center"/>
    </xf>
    <xf borderId="131" fillId="4" fontId="1" numFmtId="164" xfId="0" applyAlignment="1" applyBorder="1" applyFont="1" applyNumberFormat="1">
      <alignment horizontal="center" vertical="center"/>
    </xf>
    <xf borderId="132" fillId="18" fontId="1" numFmtId="164" xfId="0" applyAlignment="1" applyBorder="1" applyFont="1" applyNumberFormat="1">
      <alignment horizontal="center" vertical="center"/>
    </xf>
    <xf borderId="133" fillId="19" fontId="1" numFmtId="164" xfId="0" applyAlignment="1" applyBorder="1" applyFont="1" applyNumberFormat="1">
      <alignment horizontal="center" vertical="center"/>
    </xf>
    <xf borderId="134" fillId="3" fontId="1" numFmtId="164" xfId="0" applyAlignment="1" applyBorder="1" applyFont="1" applyNumberForma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135" fillId="0" fontId="2" numFmtId="0" xfId="0" applyAlignment="1" applyBorder="1" applyFont="1">
      <alignment vertical="center"/>
    </xf>
    <xf borderId="136" fillId="0" fontId="2" numFmtId="0" xfId="0" applyAlignment="1" applyBorder="1" applyFont="1">
      <alignment vertical="center"/>
    </xf>
    <xf borderId="137" fillId="0" fontId="2" numFmtId="0" xfId="0" applyAlignment="1" applyBorder="1" applyFont="1">
      <alignment vertical="center"/>
    </xf>
    <xf borderId="138" fillId="0" fontId="2" numFmtId="0" xfId="0" applyAlignment="1" applyBorder="1" applyFont="1">
      <alignment vertical="center"/>
    </xf>
    <xf borderId="139" fillId="10" fontId="1" numFmtId="164" xfId="0" applyAlignment="1" applyBorder="1" applyFont="1" applyNumberFormat="1">
      <alignment horizontal="center" vertical="center"/>
    </xf>
    <xf borderId="140" fillId="10" fontId="1" numFmtId="164" xfId="0" applyAlignment="1" applyBorder="1" applyFont="1" applyNumberFormat="1">
      <alignment horizontal="center" vertical="center"/>
    </xf>
    <xf borderId="141" fillId="10" fontId="1" numFmtId="164" xfId="0" applyAlignment="1" applyBorder="1" applyFont="1" applyNumberFormat="1">
      <alignment horizontal="center" vertical="center"/>
    </xf>
    <xf borderId="142" fillId="11" fontId="1" numFmtId="164" xfId="0" applyAlignment="1" applyBorder="1" applyFont="1" applyNumberFormat="1">
      <alignment horizontal="center" vertical="center"/>
    </xf>
    <xf borderId="143" fillId="11" fontId="1" numFmtId="164" xfId="0" applyAlignment="1" applyBorder="1" applyFont="1" applyNumberFormat="1">
      <alignment horizontal="center" vertical="center"/>
    </xf>
    <xf borderId="144" fillId="11" fontId="1" numFmtId="164" xfId="0" applyAlignment="1" applyBorder="1" applyFont="1" applyNumberFormat="1">
      <alignment horizontal="center" vertical="center"/>
    </xf>
    <xf borderId="140" fillId="12" fontId="1" numFmtId="164" xfId="0" applyAlignment="1" applyBorder="1" applyFont="1" applyNumberFormat="1">
      <alignment horizontal="center" vertical="center"/>
    </xf>
    <xf borderId="145" fillId="13" fontId="1" numFmtId="164" xfId="0" applyAlignment="1" applyBorder="1" applyFont="1" applyNumberFormat="1">
      <alignment horizontal="center" vertical="center"/>
    </xf>
    <xf borderId="146" fillId="14" fontId="1" numFmtId="164" xfId="0" applyAlignment="1" applyBorder="1" applyFont="1" applyNumberFormat="1">
      <alignment horizontal="center" vertical="center"/>
    </xf>
    <xf quotePrefix="1" borderId="147" fillId="20" fontId="3" numFmtId="0" xfId="0" applyAlignment="1" applyBorder="1" applyFill="1" applyFont="1">
      <alignment horizontal="center" vertical="center"/>
    </xf>
    <xf borderId="148" fillId="0" fontId="2" numFmtId="0" xfId="0" applyAlignment="1" applyBorder="1" applyFont="1">
      <alignment vertical="center"/>
    </xf>
    <xf borderId="149" fillId="0" fontId="2" numFmtId="0" xfId="0" applyAlignment="1" applyBorder="1" applyFont="1">
      <alignment vertical="center"/>
    </xf>
    <xf borderId="150" fillId="2" fontId="1" numFmtId="164" xfId="0" applyAlignment="1" applyBorder="1" applyFont="1" applyNumberFormat="1">
      <alignment horizontal="center" vertical="center"/>
    </xf>
    <xf borderId="151" fillId="3" fontId="1" numFmtId="164" xfId="0" applyAlignment="1" applyBorder="1" applyFont="1" applyNumberFormat="1">
      <alignment horizontal="center" vertical="center"/>
    </xf>
    <xf borderId="152" fillId="4" fontId="1" numFmtId="164" xfId="0" applyAlignment="1" applyBorder="1" applyFont="1" applyNumberFormat="1">
      <alignment horizontal="center" vertical="center"/>
    </xf>
    <xf borderId="153" fillId="15" fontId="1" numFmtId="164" xfId="0" applyAlignment="1" applyBorder="1" applyFont="1" applyNumberFormat="1">
      <alignment horizontal="center" vertical="center"/>
    </xf>
    <xf borderId="154" fillId="15" fontId="1" numFmtId="164" xfId="0" applyAlignment="1" applyBorder="1" applyFont="1" applyNumberFormat="1">
      <alignment horizontal="center" vertical="center"/>
    </xf>
    <xf borderId="155" fillId="15" fontId="1" numFmtId="164" xfId="0" applyAlignment="1" applyBorder="1" applyFont="1" applyNumberFormat="1">
      <alignment horizontal="center" vertical="center"/>
    </xf>
    <xf borderId="156" fillId="16" fontId="1" numFmtId="164" xfId="0" applyAlignment="1" applyBorder="1" applyFont="1" applyNumberFormat="1">
      <alignment horizontal="center" vertical="center"/>
    </xf>
    <xf borderId="157" fillId="16" fontId="1" numFmtId="164" xfId="0" applyAlignment="1" applyBorder="1" applyFont="1" applyNumberFormat="1">
      <alignment horizontal="center" vertical="center"/>
    </xf>
    <xf borderId="155" fillId="16" fontId="1" numFmtId="164" xfId="0" applyAlignment="1" applyBorder="1" applyFont="1" applyNumberFormat="1">
      <alignment horizontal="center" vertical="center"/>
    </xf>
    <xf borderId="152" fillId="17" fontId="1" numFmtId="164" xfId="0" applyAlignment="1" applyBorder="1" applyFont="1" applyNumberFormat="1">
      <alignment horizontal="center" vertical="center"/>
    </xf>
    <xf borderId="152" fillId="18" fontId="1" numFmtId="164" xfId="0" applyAlignment="1" applyBorder="1" applyFont="1" applyNumberFormat="1">
      <alignment horizontal="center" vertical="center"/>
    </xf>
    <xf borderId="158" fillId="19" fontId="1" numFmtId="164" xfId="0" applyAlignment="1" applyBorder="1" applyFont="1" applyNumberFormat="1">
      <alignment horizontal="center" vertical="center"/>
    </xf>
    <xf borderId="159" fillId="0" fontId="2" numFmtId="0" xfId="0" applyAlignment="1" applyBorder="1" applyFont="1">
      <alignment vertical="center"/>
    </xf>
    <xf borderId="160" fillId="15" fontId="1" numFmtId="164" xfId="0" applyAlignment="1" applyBorder="1" applyFont="1" applyNumberFormat="1">
      <alignment horizontal="center" vertical="center"/>
    </xf>
    <xf borderId="161" fillId="15" fontId="1" numFmtId="164" xfId="0" applyAlignment="1" applyBorder="1" applyFont="1" applyNumberFormat="1">
      <alignment horizontal="center" vertical="center"/>
    </xf>
    <xf borderId="162" fillId="0" fontId="2" numFmtId="0" xfId="0" applyAlignment="1" applyBorder="1" applyFont="1">
      <alignment vertical="center"/>
    </xf>
    <xf borderId="163" fillId="15" fontId="1" numFmtId="164" xfId="0" applyAlignment="1" applyBorder="1" applyFont="1" applyNumberFormat="1">
      <alignment horizontal="center" vertical="center"/>
    </xf>
    <xf borderId="164" fillId="0" fontId="2" numFmtId="0" xfId="0" applyAlignment="1" applyBorder="1" applyFont="1">
      <alignment vertical="center"/>
    </xf>
    <xf borderId="165" fillId="15" fontId="1" numFmtId="164" xfId="0" applyAlignment="1" applyBorder="1" applyFont="1" applyNumberFormat="1">
      <alignment horizontal="center" vertical="center"/>
    </xf>
    <xf borderId="166" fillId="15" fontId="1" numFmtId="164" xfId="0" applyAlignment="1" applyBorder="1" applyFont="1" applyNumberFormat="1">
      <alignment horizontal="center" vertical="center"/>
    </xf>
    <xf borderId="32" fillId="15" fontId="1" numFmtId="164" xfId="0" applyAlignment="1" applyBorder="1" applyFont="1" applyNumberFormat="1">
      <alignment horizontal="center" vertical="center"/>
    </xf>
    <xf borderId="167" fillId="0" fontId="2" numFmtId="0" xfId="0" applyAlignment="1" applyBorder="1" applyFont="1">
      <alignment vertical="center"/>
    </xf>
    <xf borderId="168" fillId="15" fontId="1" numFmtId="164" xfId="0" applyAlignment="1" applyBorder="1" applyFont="1" applyNumberFormat="1">
      <alignment horizontal="center" vertical="center"/>
    </xf>
    <xf borderId="169" fillId="15" fontId="1" numFmtId="164" xfId="0" applyAlignment="1" applyBorder="1" applyFont="1" applyNumberFormat="1">
      <alignment horizontal="center" vertical="center"/>
    </xf>
    <xf borderId="170" fillId="16" fontId="1" numFmtId="164" xfId="0" applyAlignment="1" applyBorder="1" applyFont="1" applyNumberFormat="1">
      <alignment horizontal="center" vertical="center"/>
    </xf>
    <xf borderId="171" fillId="16" fontId="1" numFmtId="164" xfId="0" applyAlignment="1" applyBorder="1" applyFont="1" applyNumberFormat="1">
      <alignment horizontal="center" vertical="center"/>
    </xf>
    <xf borderId="172" fillId="0" fontId="2" numFmtId="0" xfId="0" applyAlignment="1" applyBorder="1" applyFont="1">
      <alignment vertical="center"/>
    </xf>
    <xf borderId="173" fillId="0" fontId="2" numFmtId="0" xfId="0" applyAlignment="1" applyBorder="1" applyFont="1">
      <alignment vertical="center"/>
    </xf>
    <xf borderId="174" fillId="16" fontId="1" numFmtId="164" xfId="0" applyAlignment="1" applyBorder="1" applyFont="1" applyNumberFormat="1">
      <alignment horizontal="center" vertical="center"/>
    </xf>
    <xf borderId="175" fillId="16" fontId="1" numFmtId="164" xfId="0" applyAlignment="1" applyBorder="1" applyFont="1" applyNumberFormat="1">
      <alignment horizontal="center" vertical="center"/>
    </xf>
    <xf borderId="72" fillId="16" fontId="1" numFmtId="164" xfId="0" applyAlignment="1" applyBorder="1" applyFont="1" applyNumberFormat="1">
      <alignment horizontal="center" vertical="center"/>
    </xf>
    <xf borderId="176" fillId="15" fontId="1" numFmtId="164" xfId="0" applyAlignment="1" applyBorder="1" applyFont="1" applyNumberFormat="1">
      <alignment horizontal="center" vertical="center"/>
    </xf>
    <xf borderId="177" fillId="15" fontId="1" numFmtId="164" xfId="0" applyAlignment="1" applyBorder="1" applyFont="1" applyNumberFormat="1">
      <alignment horizontal="center" vertical="center"/>
    </xf>
    <xf borderId="178" fillId="16" fontId="1" numFmtId="164" xfId="0" applyAlignment="1" applyBorder="1" applyFont="1" applyNumberFormat="1">
      <alignment horizontal="center" vertical="center"/>
    </xf>
    <xf borderId="179" fillId="16" fontId="1" numFmtId="164" xfId="0" applyAlignment="1" applyBorder="1" applyFont="1" applyNumberFormat="1">
      <alignment horizontal="center" vertical="center"/>
    </xf>
    <xf borderId="180" fillId="0" fontId="2" numFmtId="0" xfId="0" applyAlignment="1" applyBorder="1" applyFont="1">
      <alignment vertical="center"/>
    </xf>
    <xf borderId="181" fillId="0" fontId="2" numFmtId="0" xfId="0" applyAlignment="1" applyBorder="1" applyFont="1">
      <alignment vertical="center"/>
    </xf>
    <xf borderId="182" fillId="16" fontId="1" numFmtId="164" xfId="0" applyAlignment="1" applyBorder="1" applyFont="1" applyNumberFormat="1">
      <alignment horizontal="center" vertical="center"/>
    </xf>
    <xf borderId="183" fillId="16" fontId="1" numFmtId="164" xfId="0" applyAlignment="1" applyBorder="1" applyFont="1" applyNumberFormat="1">
      <alignment horizontal="center" vertical="center"/>
    </xf>
    <xf borderId="184" fillId="15" fontId="1" numFmtId="164" xfId="0" applyAlignment="1" applyBorder="1" applyFont="1" applyNumberFormat="1">
      <alignment horizontal="center" vertical="center"/>
    </xf>
    <xf borderId="185" fillId="15" fontId="1" numFmtId="164" xfId="0" applyAlignment="1" applyBorder="1" applyFont="1" applyNumberFormat="1">
      <alignment horizontal="center" vertical="center"/>
    </xf>
    <xf borderId="186" fillId="15" fontId="1" numFmtId="164" xfId="0" applyAlignment="1" applyBorder="1" applyFont="1" applyNumberFormat="1">
      <alignment horizontal="center" vertical="center"/>
    </xf>
    <xf borderId="187" fillId="0" fontId="2" numFmtId="0" xfId="0" applyAlignment="1" applyBorder="1" applyFont="1">
      <alignment vertical="center"/>
    </xf>
    <xf borderId="188" fillId="0" fontId="2" numFmtId="0" xfId="0" applyAlignment="1" applyBorder="1" applyFont="1">
      <alignment vertical="center"/>
    </xf>
    <xf borderId="189" fillId="0" fontId="2" numFmtId="0" xfId="0" applyAlignment="1" applyBorder="1" applyFont="1">
      <alignment vertical="center"/>
    </xf>
    <xf borderId="190" fillId="0" fontId="2" numFmtId="0" xfId="0" applyAlignment="1" applyBorder="1" applyFont="1">
      <alignment vertical="center"/>
    </xf>
    <xf borderId="191" fillId="16" fontId="1" numFmtId="164" xfId="0" applyAlignment="1" applyBorder="1" applyFont="1" applyNumberFormat="1">
      <alignment horizontal="center" vertical="center"/>
    </xf>
    <xf borderId="192" fillId="16" fontId="1" numFmtId="164" xfId="0" applyAlignment="1" applyBorder="1" applyFont="1" applyNumberFormat="1">
      <alignment horizontal="center" vertical="center"/>
    </xf>
    <xf borderId="32" fillId="16" fontId="1" numFmtId="164" xfId="0" applyAlignment="1" applyBorder="1" applyFont="1" applyNumberFormat="1">
      <alignment horizontal="center" vertical="center"/>
    </xf>
    <xf borderId="90" fillId="3" fontId="1" numFmtId="164" xfId="0" applyAlignment="1" applyBorder="1" applyFont="1" applyNumberFormat="1">
      <alignment horizontal="center" vertical="center"/>
    </xf>
    <xf borderId="90" fillId="4" fontId="1" numFmtId="164" xfId="0" applyAlignment="1" applyBorder="1" applyFont="1" applyNumberFormat="1">
      <alignment horizontal="center" vertical="center"/>
    </xf>
    <xf borderId="128" fillId="15" fontId="1" numFmtId="164" xfId="0" applyAlignment="1" applyBorder="1" applyFont="1" applyNumberFormat="1">
      <alignment horizontal="center" vertical="center"/>
    </xf>
    <xf borderId="193" fillId="15" fontId="1" numFmtId="164" xfId="0" applyAlignment="1" applyBorder="1" applyFont="1" applyNumberFormat="1">
      <alignment horizontal="center" vertical="center"/>
    </xf>
    <xf borderId="194" fillId="15" fontId="1" numFmtId="164" xfId="0" applyAlignment="1" applyBorder="1" applyFont="1" applyNumberFormat="1">
      <alignment horizontal="center" vertical="center"/>
    </xf>
    <xf borderId="85" fillId="16" fontId="1" numFmtId="164" xfId="0" applyAlignment="1" applyBorder="1" applyFont="1" applyNumberFormat="1">
      <alignment horizontal="center" vertical="center"/>
    </xf>
    <xf borderId="52" fillId="15" fontId="1" numFmtId="164" xfId="0" applyAlignment="1" applyBorder="1" applyFont="1" applyNumberFormat="1">
      <alignment horizontal="center" vertical="center"/>
    </xf>
    <xf borderId="195" fillId="15" fontId="1" numFmtId="164" xfId="0" applyAlignment="1" applyBorder="1" applyFont="1" applyNumberFormat="1">
      <alignment horizontal="center" vertical="center"/>
    </xf>
    <xf borderId="196" fillId="15" fontId="1" numFmtId="164" xfId="0" applyAlignment="1" applyBorder="1" applyFont="1" applyNumberFormat="1">
      <alignment horizontal="center" vertical="center"/>
    </xf>
    <xf borderId="197" fillId="15" fontId="1" numFmtId="164" xfId="0" applyAlignment="1" applyBorder="1" applyFont="1" applyNumberFormat="1">
      <alignment horizontal="center" vertical="center"/>
    </xf>
    <xf borderId="198" fillId="3" fontId="1" numFmtId="164" xfId="0" applyAlignment="1" applyBorder="1" applyFont="1" applyNumberFormat="1">
      <alignment horizontal="center" vertical="center"/>
    </xf>
    <xf borderId="199" fillId="4" fontId="1" numFmtId="164" xfId="0" applyAlignment="1" applyBorder="1" applyFont="1" applyNumberFormat="1">
      <alignment horizontal="center" vertical="center"/>
    </xf>
    <xf borderId="200" fillId="15" fontId="1" numFmtId="164" xfId="0" applyAlignment="1" applyBorder="1" applyFont="1" applyNumberFormat="1">
      <alignment horizontal="center" vertical="center"/>
    </xf>
    <xf borderId="201" fillId="15" fontId="1" numFmtId="164" xfId="0" applyAlignment="1" applyBorder="1" applyFont="1" applyNumberFormat="1">
      <alignment horizontal="center" vertical="center"/>
    </xf>
    <xf borderId="44" fillId="3" fontId="1" numFmtId="164" xfId="0" applyAlignment="1" applyBorder="1" applyFont="1" applyNumberFormat="1">
      <alignment horizontal="center" vertical="center"/>
    </xf>
    <xf borderId="73" fillId="4" fontId="1" numFmtId="164" xfId="0" applyAlignment="1" applyBorder="1" applyFont="1" applyNumberFormat="1">
      <alignment horizontal="center" vertical="center"/>
    </xf>
    <xf borderId="202" fillId="3" fontId="1" numFmtId="164" xfId="0" applyAlignment="1" applyBorder="1" applyFont="1" applyNumberFormat="1">
      <alignment horizontal="center" vertical="center"/>
    </xf>
    <xf borderId="203" fillId="4" fontId="1" numFmtId="164" xfId="0" applyAlignment="1" applyBorder="1" applyFont="1" applyNumberFormat="1">
      <alignment horizontal="center" vertical="center"/>
    </xf>
    <xf borderId="204" fillId="17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05" fillId="0" fontId="2" numFmtId="0" xfId="0" applyAlignment="1" applyBorder="1" applyFont="1">
      <alignment vertical="center"/>
    </xf>
    <xf borderId="206" fillId="11" fontId="1" numFmtId="164" xfId="0" applyAlignment="1" applyBorder="1" applyFont="1" applyNumberFormat="1">
      <alignment horizontal="center" vertical="center"/>
    </xf>
    <xf borderId="24" fillId="3" fontId="1" numFmtId="164" xfId="0" applyAlignment="1" applyBorder="1" applyFont="1" applyNumberFormat="1">
      <alignment horizontal="center" vertical="center"/>
    </xf>
    <xf borderId="207" fillId="4" fontId="1" numFmtId="164" xfId="0" applyAlignment="1" applyBorder="1" applyFont="1" applyNumberFormat="1">
      <alignment horizontal="center" vertical="center"/>
    </xf>
    <xf borderId="35" fillId="15" fontId="1" numFmtId="164" xfId="0" applyAlignment="1" applyBorder="1" applyFont="1" applyNumberFormat="1">
      <alignment horizontal="center" vertical="center"/>
    </xf>
    <xf borderId="208" fillId="15" fontId="1" numFmtId="164" xfId="0" applyAlignment="1" applyBorder="1" applyFont="1" applyNumberFormat="1">
      <alignment horizontal="center" vertical="center"/>
    </xf>
    <xf borderId="209" fillId="15" fontId="1" numFmtId="164" xfId="0" applyAlignment="1" applyBorder="1" applyFont="1" applyNumberFormat="1">
      <alignment horizontal="center" vertical="center"/>
    </xf>
    <xf borderId="208" fillId="16" fontId="1" numFmtId="164" xfId="0" applyAlignment="1" applyBorder="1" applyFont="1" applyNumberFormat="1">
      <alignment horizontal="center" vertical="center"/>
    </xf>
    <xf borderId="209" fillId="16" fontId="1" numFmtId="164" xfId="0" applyAlignment="1" applyBorder="1" applyFont="1" applyNumberFormat="1">
      <alignment horizontal="center" vertical="center"/>
    </xf>
    <xf borderId="31" fillId="16" fontId="1" numFmtId="164" xfId="0" applyAlignment="1" applyBorder="1" applyFont="1" applyNumberFormat="1">
      <alignment horizontal="center" vertical="center"/>
    </xf>
    <xf borderId="56" fillId="3" fontId="1" numFmtId="164" xfId="0" applyAlignment="1" applyBorder="1" applyFont="1" applyNumberFormat="1">
      <alignment horizontal="center" vertical="center"/>
    </xf>
    <xf borderId="116" fillId="4" fontId="1" numFmtId="164" xfId="0" applyAlignment="1" applyBorder="1" applyFont="1" applyNumberFormat="1">
      <alignment horizontal="center" vertical="center"/>
    </xf>
    <xf borderId="210" fillId="17" fontId="1" numFmtId="164" xfId="0" applyAlignment="1" applyBorder="1" applyFont="1" applyNumberFormat="1">
      <alignment horizontal="center" vertical="center"/>
    </xf>
    <xf borderId="211" fillId="3" fontId="1" numFmtId="164" xfId="0" applyAlignment="1" applyBorder="1" applyFont="1" applyNumberFormat="1">
      <alignment horizontal="center" vertical="center"/>
    </xf>
    <xf borderId="212" fillId="4" fontId="1" numFmtId="164" xfId="0" applyAlignment="1" applyBorder="1" applyFont="1" applyNumberFormat="1">
      <alignment horizontal="center" vertical="center"/>
    </xf>
    <xf borderId="213" fillId="4" fontId="1" numFmtId="164" xfId="0" applyAlignment="1" applyBorder="1" applyFont="1" applyNumberFormat="1">
      <alignment horizontal="center" vertical="center"/>
    </xf>
    <xf borderId="53" fillId="3" fontId="1" numFmtId="164" xfId="0" applyAlignment="1" applyBorder="1" applyFont="1" applyNumberFormat="1">
      <alignment horizontal="center" vertical="center"/>
    </xf>
    <xf borderId="214" fillId="4" fontId="1" numFmtId="164" xfId="0" applyAlignment="1" applyBorder="1" applyFont="1" applyNumberFormat="1">
      <alignment horizontal="center" vertical="center"/>
    </xf>
    <xf borderId="215" fillId="17" fontId="1" numFmtId="164" xfId="0" applyAlignment="1" applyBorder="1" applyFont="1" applyNumberFormat="1">
      <alignment horizontal="center" vertical="center"/>
    </xf>
    <xf borderId="50" fillId="4" fontId="1" numFmtId="164" xfId="0" applyAlignment="1" applyBorder="1" applyFont="1" applyNumberFormat="1">
      <alignment horizontal="center" vertical="center"/>
    </xf>
    <xf borderId="29" fillId="3" fontId="1" numFmtId="164" xfId="0" applyAlignment="1" applyBorder="1" applyFont="1" applyNumberFormat="1">
      <alignment horizontal="center" vertical="center"/>
    </xf>
    <xf borderId="216" fillId="4" fontId="1" numFmtId="164" xfId="0" applyAlignment="1" applyBorder="1" applyFont="1" applyNumberFormat="1">
      <alignment horizontal="center" vertical="center"/>
    </xf>
    <xf borderId="217" fillId="4" fontId="1" numFmtId="164" xfId="0" applyAlignment="1" applyBorder="1" applyFont="1" applyNumberFormat="1">
      <alignment horizontal="center" vertical="center"/>
    </xf>
    <xf borderId="218" fillId="3" fontId="1" numFmtId="164" xfId="0" applyAlignment="1" applyBorder="1" applyFont="1" applyNumberFormat="1">
      <alignment horizontal="center" vertical="center"/>
    </xf>
    <xf borderId="215" fillId="4" fontId="1" numFmtId="164" xfId="0" applyAlignment="1" applyBorder="1" applyFont="1" applyNumberFormat="1">
      <alignment horizontal="center" vertical="center"/>
    </xf>
    <xf borderId="50" fillId="3" fontId="1" numFmtId="164" xfId="0" applyAlignment="1" applyBorder="1" applyFont="1" applyNumberFormat="1">
      <alignment horizontal="center" vertical="center"/>
    </xf>
    <xf borderId="53" fillId="4" fontId="1" numFmtId="164" xfId="0" applyAlignment="1" applyBorder="1" applyFont="1" applyNumberFormat="1">
      <alignment horizontal="center" vertical="center"/>
    </xf>
    <xf borderId="219" fillId="3" fontId="1" numFmtId="164" xfId="0" applyAlignment="1" applyBorder="1" applyFont="1" applyNumberFormat="1">
      <alignment horizontal="center" vertical="center"/>
    </xf>
    <xf borderId="220" fillId="4" fontId="1" numFmtId="164" xfId="0" applyAlignment="1" applyBorder="1" applyFont="1" applyNumberFormat="1">
      <alignment horizontal="center" vertical="center"/>
    </xf>
    <xf borderId="221" fillId="3" fontId="1" numFmtId="164" xfId="0" applyAlignment="1" applyBorder="1" applyFont="1" applyNumberFormat="1">
      <alignment horizontal="center" vertical="center"/>
    </xf>
    <xf borderId="222" fillId="4" fontId="1" numFmtId="164" xfId="0" applyAlignment="1" applyBorder="1" applyFont="1" applyNumberFormat="1">
      <alignment horizontal="center" vertical="center"/>
    </xf>
    <xf borderId="223" fillId="3" fontId="1" numFmtId="164" xfId="0" applyAlignment="1" applyBorder="1" applyFont="1" applyNumberFormat="1">
      <alignment horizontal="center" vertical="center"/>
    </xf>
    <xf borderId="224" fillId="3" fontId="1" numFmtId="164" xfId="0" applyAlignment="1" applyBorder="1" applyFont="1" applyNumberFormat="1">
      <alignment horizontal="center" vertical="center"/>
    </xf>
    <xf borderId="225" fillId="4" fontId="1" numFmtId="164" xfId="0" applyAlignment="1" applyBorder="1" applyFont="1" applyNumberFormat="1">
      <alignment horizontal="center" vertical="center"/>
    </xf>
    <xf borderId="226" fillId="17" fontId="1" numFmtId="164" xfId="0" applyAlignment="1" applyBorder="1" applyFont="1" applyNumberFormat="1">
      <alignment horizontal="center" vertical="center"/>
    </xf>
    <xf borderId="53" fillId="17" fontId="1" numFmtId="164" xfId="0" applyAlignment="1" applyBorder="1" applyFont="1" applyNumberFormat="1">
      <alignment horizontal="center" vertical="center"/>
    </xf>
    <xf borderId="76" fillId="19" fontId="1" numFmtId="164" xfId="0" applyAlignment="1" applyBorder="1" applyFont="1" applyNumberFormat="1">
      <alignment horizontal="center" vertical="center"/>
    </xf>
    <xf borderId="227" fillId="3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7.86"/>
    <col customWidth="1" min="4" max="5" width="15.71"/>
    <col customWidth="1" min="6" max="6" width="31.29"/>
    <col customWidth="1" min="7" max="7" width="15.71"/>
    <col customWidth="1" min="8" max="8" width="25.57"/>
    <col customWidth="1" min="9" max="9" width="29.0"/>
    <col customWidth="1" min="10" max="10" width="15.71"/>
    <col customWidth="1" min="11" max="11" width="11.57"/>
    <col customWidth="1" min="12" max="12" width="15.86"/>
    <col customWidth="1" min="13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5"/>
      <c r="I1" s="6"/>
      <c r="J1" s="8" t="s">
        <v>5</v>
      </c>
      <c r="K1" s="9" t="s">
        <v>6</v>
      </c>
      <c r="L1" s="10" t="s">
        <v>7</v>
      </c>
    </row>
    <row r="2" ht="16.5" customHeight="1">
      <c r="A2" s="11"/>
      <c r="B2" s="12"/>
      <c r="C2" s="13"/>
      <c r="D2" s="14"/>
      <c r="E2" s="15"/>
      <c r="F2" s="16"/>
      <c r="G2" s="14"/>
      <c r="H2" s="15"/>
      <c r="I2" s="16"/>
      <c r="J2" s="17" t="s">
        <v>8</v>
      </c>
      <c r="K2" s="18"/>
      <c r="L2" s="19" t="s">
        <v>9</v>
      </c>
    </row>
    <row r="3" ht="16.5" customHeight="1">
      <c r="A3" s="18"/>
      <c r="B3" s="20"/>
      <c r="C3" s="21"/>
      <c r="D3" s="22" t="s">
        <v>10</v>
      </c>
      <c r="E3" s="23" t="s">
        <v>11</v>
      </c>
      <c r="F3" s="24" t="s">
        <v>12</v>
      </c>
      <c r="G3" s="25" t="s">
        <v>10</v>
      </c>
      <c r="H3" s="26" t="s">
        <v>11</v>
      </c>
      <c r="I3" s="27" t="s">
        <v>12</v>
      </c>
      <c r="J3" s="28" t="s">
        <v>10</v>
      </c>
      <c r="K3" s="29" t="s">
        <v>10</v>
      </c>
      <c r="L3" s="30" t="s">
        <v>10</v>
      </c>
    </row>
    <row r="4" ht="16.5" customHeight="1">
      <c r="A4" s="31">
        <v>12.0</v>
      </c>
      <c r="B4" s="32">
        <v>1.0</v>
      </c>
      <c r="C4" s="33" t="s">
        <v>13</v>
      </c>
      <c r="D4" s="34">
        <v>553300.0</v>
      </c>
      <c r="E4" s="35" t="s">
        <v>14</v>
      </c>
      <c r="F4" s="36" t="s">
        <v>15</v>
      </c>
      <c r="G4" s="37"/>
      <c r="H4" s="38"/>
      <c r="I4" s="39"/>
      <c r="J4" s="40">
        <f>D4</f>
        <v>553300</v>
      </c>
      <c r="K4" s="41">
        <v>460000.0</v>
      </c>
      <c r="L4" s="42">
        <f t="shared" ref="L4:L5" si="1">J4-K4</f>
        <v>93300</v>
      </c>
    </row>
    <row r="5" ht="16.5" customHeight="1">
      <c r="A5" s="12"/>
      <c r="B5" s="43">
        <v>2.0</v>
      </c>
      <c r="C5" s="44" t="s">
        <v>16</v>
      </c>
      <c r="D5" s="45"/>
      <c r="E5" s="46"/>
      <c r="F5" s="47"/>
      <c r="G5" s="48">
        <v>66300.0</v>
      </c>
      <c r="H5" s="49" t="s">
        <v>17</v>
      </c>
      <c r="I5" s="50" t="s">
        <v>18</v>
      </c>
      <c r="J5" s="51">
        <f>J4-G5</f>
        <v>487000</v>
      </c>
      <c r="K5" s="52">
        <f>K4</f>
        <v>460000</v>
      </c>
      <c r="L5" s="53">
        <f t="shared" si="1"/>
        <v>27000</v>
      </c>
    </row>
    <row r="6" ht="16.5" customHeight="1">
      <c r="A6" s="12"/>
      <c r="B6" s="54">
        <v>3.0</v>
      </c>
      <c r="C6" s="55" t="s">
        <v>1</v>
      </c>
      <c r="D6" s="56"/>
      <c r="E6" s="57"/>
      <c r="F6" s="58"/>
      <c r="G6" s="59"/>
      <c r="H6" s="60"/>
      <c r="I6" s="61"/>
      <c r="J6" s="62"/>
      <c r="K6" s="63"/>
      <c r="L6" s="64"/>
    </row>
    <row r="7" ht="16.5" customHeight="1">
      <c r="A7" s="12"/>
      <c r="B7" s="65">
        <v>4.0</v>
      </c>
      <c r="C7" s="66" t="s">
        <v>0</v>
      </c>
      <c r="D7" s="67"/>
      <c r="E7" s="68"/>
      <c r="F7" s="69"/>
      <c r="G7" s="70"/>
      <c r="H7" s="71"/>
      <c r="I7" s="72"/>
      <c r="J7" s="73"/>
      <c r="K7" s="74"/>
      <c r="L7" s="75"/>
    </row>
    <row r="8" ht="16.5" customHeight="1">
      <c r="A8" s="12"/>
      <c r="B8" s="65">
        <v>5.0</v>
      </c>
      <c r="C8" s="66" t="s">
        <v>19</v>
      </c>
      <c r="D8" s="67"/>
      <c r="E8" s="68"/>
      <c r="F8" s="69"/>
      <c r="G8" s="70"/>
      <c r="H8" s="71"/>
      <c r="I8" s="72"/>
      <c r="J8" s="76"/>
      <c r="K8" s="77"/>
      <c r="L8" s="78"/>
    </row>
    <row r="9" ht="16.5" customHeight="1">
      <c r="A9" s="12"/>
      <c r="B9" s="54">
        <v>6.0</v>
      </c>
      <c r="C9" s="66" t="s">
        <v>20</v>
      </c>
      <c r="D9" s="56"/>
      <c r="E9" s="57"/>
      <c r="F9" s="58"/>
      <c r="G9" s="59"/>
      <c r="H9" s="60"/>
      <c r="I9" s="61"/>
      <c r="J9" s="79"/>
      <c r="K9" s="80"/>
      <c r="L9" s="81"/>
    </row>
    <row r="10" ht="16.5" customHeight="1">
      <c r="A10" s="12"/>
      <c r="B10" s="65">
        <v>7.0</v>
      </c>
      <c r="C10" s="66" t="s">
        <v>21</v>
      </c>
      <c r="D10" s="67"/>
      <c r="E10" s="68"/>
      <c r="F10" s="69"/>
      <c r="G10" s="70"/>
      <c r="H10" s="71"/>
      <c r="I10" s="72"/>
      <c r="J10" s="82"/>
      <c r="K10" s="77"/>
      <c r="L10" s="78"/>
    </row>
    <row r="11" ht="16.5" customHeight="1">
      <c r="A11" s="12"/>
      <c r="B11" s="65">
        <v>8.0</v>
      </c>
      <c r="C11" s="83" t="s">
        <v>13</v>
      </c>
      <c r="D11" s="67"/>
      <c r="E11" s="68"/>
      <c r="F11" s="69"/>
      <c r="G11" s="70"/>
      <c r="H11" s="71"/>
      <c r="I11" s="72"/>
      <c r="J11" s="84"/>
      <c r="K11" s="77"/>
      <c r="L11" s="78"/>
    </row>
    <row r="12" ht="16.5" customHeight="1">
      <c r="A12" s="12"/>
      <c r="B12" s="85">
        <v>9.0</v>
      </c>
      <c r="C12" s="66" t="s">
        <v>16</v>
      </c>
      <c r="D12" s="86"/>
      <c r="E12" s="87"/>
      <c r="F12" s="88"/>
      <c r="G12" s="89"/>
      <c r="H12" s="90"/>
      <c r="I12" s="91"/>
      <c r="J12" s="82"/>
      <c r="K12" s="77"/>
      <c r="L12" s="78"/>
    </row>
    <row r="13" ht="16.5" customHeight="1">
      <c r="A13" s="12"/>
      <c r="B13" s="92">
        <v>10.0</v>
      </c>
      <c r="C13" s="55" t="s">
        <v>1</v>
      </c>
      <c r="D13" s="93"/>
      <c r="E13" s="94"/>
      <c r="F13" s="95"/>
      <c r="G13" s="96"/>
      <c r="H13" s="97"/>
      <c r="I13" s="98"/>
      <c r="J13" s="82"/>
      <c r="K13" s="74"/>
      <c r="L13" s="75"/>
    </row>
    <row r="14" ht="16.5" customHeight="1">
      <c r="A14" s="12"/>
      <c r="B14" s="99">
        <v>11.0</v>
      </c>
      <c r="C14" s="100" t="s">
        <v>0</v>
      </c>
      <c r="D14" s="101"/>
      <c r="E14" s="102"/>
      <c r="F14" s="103"/>
      <c r="G14" s="104"/>
      <c r="H14" s="105"/>
      <c r="I14" s="106"/>
      <c r="J14" s="76"/>
      <c r="K14" s="77"/>
      <c r="L14" s="78"/>
    </row>
    <row r="15" ht="16.5" customHeight="1">
      <c r="A15" s="12"/>
      <c r="B15" s="54">
        <v>12.0</v>
      </c>
      <c r="C15" s="107" t="s">
        <v>19</v>
      </c>
      <c r="D15" s="56"/>
      <c r="E15" s="57"/>
      <c r="F15" s="58"/>
      <c r="G15" s="59"/>
      <c r="H15" s="60"/>
      <c r="I15" s="61"/>
      <c r="J15" s="108"/>
      <c r="K15" s="80"/>
      <c r="L15" s="81"/>
    </row>
    <row r="16" ht="16.5" customHeight="1">
      <c r="A16" s="12"/>
      <c r="B16" s="65">
        <v>13.0</v>
      </c>
      <c r="C16" s="55" t="s">
        <v>20</v>
      </c>
      <c r="D16" s="56"/>
      <c r="E16" s="68"/>
      <c r="F16" s="69"/>
      <c r="G16" s="70"/>
      <c r="H16" s="71"/>
      <c r="I16" s="72"/>
      <c r="J16" s="79"/>
      <c r="K16" s="80"/>
      <c r="L16" s="81"/>
    </row>
    <row r="17" ht="16.5" customHeight="1">
      <c r="A17" s="12"/>
      <c r="B17" s="65">
        <v>14.0</v>
      </c>
      <c r="C17" s="66" t="s">
        <v>21</v>
      </c>
      <c r="D17" s="67"/>
      <c r="E17" s="68"/>
      <c r="F17" s="69"/>
      <c r="G17" s="70"/>
      <c r="H17" s="71"/>
      <c r="I17" s="72"/>
      <c r="J17" s="82"/>
      <c r="K17" s="77"/>
      <c r="L17" s="78"/>
    </row>
    <row r="18" ht="16.5" customHeight="1">
      <c r="A18" s="12"/>
      <c r="B18" s="65">
        <v>15.0</v>
      </c>
      <c r="C18" s="55" t="s">
        <v>13</v>
      </c>
      <c r="D18" s="67"/>
      <c r="E18" s="68"/>
      <c r="F18" s="69"/>
      <c r="G18" s="70"/>
      <c r="H18" s="71"/>
      <c r="I18" s="72"/>
      <c r="J18" s="84"/>
      <c r="K18" s="77"/>
      <c r="L18" s="78"/>
    </row>
    <row r="19" ht="16.5" customHeight="1">
      <c r="A19" s="12"/>
      <c r="B19" s="65">
        <v>16.0</v>
      </c>
      <c r="C19" s="100" t="s">
        <v>16</v>
      </c>
      <c r="D19" s="67"/>
      <c r="E19" s="68"/>
      <c r="F19" s="69"/>
      <c r="G19" s="70"/>
      <c r="H19" s="71"/>
      <c r="I19" s="72"/>
      <c r="J19" s="82"/>
      <c r="K19" s="77"/>
      <c r="L19" s="78"/>
    </row>
    <row r="20" ht="16.5" customHeight="1">
      <c r="A20" s="12"/>
      <c r="B20" s="54">
        <v>17.0</v>
      </c>
      <c r="C20" s="107" t="s">
        <v>1</v>
      </c>
      <c r="D20" s="67"/>
      <c r="E20" s="68"/>
      <c r="F20" s="69"/>
      <c r="G20" s="70"/>
      <c r="H20" s="71"/>
      <c r="I20" s="72"/>
      <c r="J20" s="82"/>
      <c r="K20" s="74"/>
      <c r="L20" s="75"/>
    </row>
    <row r="21" ht="16.5" customHeight="1">
      <c r="A21" s="12"/>
      <c r="B21" s="65">
        <v>18.0</v>
      </c>
      <c r="C21" s="100" t="s">
        <v>0</v>
      </c>
      <c r="D21" s="56"/>
      <c r="E21" s="57"/>
      <c r="F21" s="58"/>
      <c r="G21" s="59"/>
      <c r="H21" s="60"/>
      <c r="I21" s="61"/>
      <c r="J21" s="73"/>
      <c r="K21" s="74"/>
      <c r="L21" s="75"/>
    </row>
    <row r="22" ht="16.5" customHeight="1">
      <c r="A22" s="12"/>
      <c r="B22" s="109">
        <v>19.0</v>
      </c>
      <c r="C22" s="55" t="s">
        <v>19</v>
      </c>
      <c r="D22" s="110"/>
      <c r="E22" s="87"/>
      <c r="F22" s="88"/>
      <c r="G22" s="89"/>
      <c r="H22" s="90"/>
      <c r="I22" s="91"/>
      <c r="J22" s="76"/>
      <c r="K22" s="77"/>
      <c r="L22" s="78"/>
    </row>
    <row r="23" ht="16.5" customHeight="1">
      <c r="A23" s="12"/>
      <c r="B23" s="99">
        <v>20.0</v>
      </c>
      <c r="C23" s="66" t="s">
        <v>20</v>
      </c>
      <c r="D23" s="101"/>
      <c r="E23" s="102"/>
      <c r="F23" s="103"/>
      <c r="G23" s="104"/>
      <c r="H23" s="105"/>
      <c r="I23" s="106"/>
      <c r="J23" s="79"/>
      <c r="K23" s="80"/>
      <c r="L23" s="81"/>
    </row>
    <row r="24" ht="16.5" customHeight="1">
      <c r="A24" s="12"/>
      <c r="B24" s="54">
        <v>21.0</v>
      </c>
      <c r="C24" s="111" t="s">
        <v>21</v>
      </c>
      <c r="D24" s="56"/>
      <c r="E24" s="57"/>
      <c r="F24" s="58"/>
      <c r="G24" s="59"/>
      <c r="H24" s="60"/>
      <c r="I24" s="61"/>
      <c r="J24" s="112"/>
      <c r="K24" s="77"/>
      <c r="L24" s="78"/>
    </row>
    <row r="25" ht="16.5" customHeight="1">
      <c r="A25" s="12"/>
      <c r="B25" s="54">
        <v>22.0</v>
      </c>
      <c r="C25" s="55" t="s">
        <v>13</v>
      </c>
      <c r="D25" s="110"/>
      <c r="E25" s="57"/>
      <c r="F25" s="58"/>
      <c r="G25" s="59"/>
      <c r="H25" s="60"/>
      <c r="I25" s="61"/>
      <c r="J25" s="82"/>
      <c r="K25" s="77"/>
      <c r="L25" s="78"/>
    </row>
    <row r="26" ht="16.5" customHeight="1">
      <c r="A26" s="12"/>
      <c r="B26" s="65">
        <v>23.0</v>
      </c>
      <c r="C26" s="66" t="s">
        <v>16</v>
      </c>
      <c r="D26" s="67"/>
      <c r="E26" s="68"/>
      <c r="F26" s="69"/>
      <c r="G26" s="70"/>
      <c r="H26" s="71"/>
      <c r="I26" s="72"/>
      <c r="J26" s="73"/>
      <c r="K26" s="74"/>
      <c r="L26" s="75"/>
    </row>
    <row r="27" ht="16.5" customHeight="1">
      <c r="A27" s="12"/>
      <c r="B27" s="113">
        <v>24.0</v>
      </c>
      <c r="C27" s="55" t="s">
        <v>1</v>
      </c>
      <c r="D27" s="110"/>
      <c r="E27" s="114"/>
      <c r="F27" s="115"/>
      <c r="G27" s="116"/>
      <c r="H27" s="117"/>
      <c r="I27" s="118"/>
      <c r="J27" s="73"/>
      <c r="K27" s="74"/>
      <c r="L27" s="75"/>
    </row>
    <row r="28" ht="16.5" customHeight="1">
      <c r="A28" s="12"/>
      <c r="B28" s="99">
        <v>25.0</v>
      </c>
      <c r="C28" s="100" t="s">
        <v>0</v>
      </c>
      <c r="D28" s="101"/>
      <c r="E28" s="102"/>
      <c r="F28" s="103"/>
      <c r="G28" s="104"/>
      <c r="H28" s="119"/>
      <c r="I28" s="120"/>
      <c r="J28" s="121"/>
      <c r="K28" s="122"/>
      <c r="L28" s="123"/>
    </row>
    <row r="29" ht="16.5" customHeight="1">
      <c r="A29" s="12"/>
      <c r="B29" s="113">
        <v>26.0</v>
      </c>
      <c r="C29" s="55" t="s">
        <v>19</v>
      </c>
      <c r="D29" s="110"/>
      <c r="E29" s="114"/>
      <c r="F29" s="115"/>
      <c r="G29" s="116"/>
      <c r="H29" s="117"/>
      <c r="I29" s="118"/>
      <c r="J29" s="62"/>
      <c r="K29" s="63"/>
      <c r="L29" s="64"/>
    </row>
    <row r="30" ht="16.5" customHeight="1">
      <c r="A30" s="12"/>
      <c r="B30" s="124">
        <v>27.0</v>
      </c>
      <c r="C30" s="125" t="s">
        <v>20</v>
      </c>
      <c r="D30" s="126"/>
      <c r="E30" s="127"/>
      <c r="F30" s="128"/>
      <c r="G30" s="129">
        <v>27000.0</v>
      </c>
      <c r="H30" s="130" t="s">
        <v>22</v>
      </c>
      <c r="I30" s="131" t="s">
        <v>18</v>
      </c>
      <c r="J30" s="132">
        <f>J5-27000</f>
        <v>460000</v>
      </c>
      <c r="K30" s="41">
        <v>460000.0</v>
      </c>
      <c r="L30" s="133">
        <f>J30-K30</f>
        <v>0</v>
      </c>
    </row>
    <row r="31" ht="16.5" customHeight="1">
      <c r="A31" s="12"/>
      <c r="B31" s="134">
        <v>28.0</v>
      </c>
      <c r="C31" s="107" t="s">
        <v>21</v>
      </c>
      <c r="D31" s="135"/>
      <c r="E31" s="136"/>
      <c r="F31" s="137"/>
      <c r="G31" s="138"/>
      <c r="H31" s="139"/>
      <c r="I31" s="140"/>
      <c r="J31" s="141"/>
      <c r="K31" s="142"/>
      <c r="L31" s="143"/>
    </row>
    <row r="32" ht="16.5" customHeight="1">
      <c r="A32" s="12"/>
      <c r="B32" s="109">
        <v>29.0</v>
      </c>
      <c r="C32" s="55" t="s">
        <v>13</v>
      </c>
      <c r="D32" s="110"/>
      <c r="E32" s="114"/>
      <c r="F32" s="115"/>
      <c r="G32" s="116"/>
      <c r="H32" s="117"/>
      <c r="I32" s="118"/>
      <c r="J32" s="112"/>
      <c r="K32" s="63"/>
      <c r="L32" s="64"/>
    </row>
    <row r="33" ht="16.5" customHeight="1">
      <c r="A33" s="12"/>
      <c r="B33" s="144">
        <v>30.0</v>
      </c>
      <c r="C33" s="145" t="s">
        <v>16</v>
      </c>
      <c r="D33" s="146"/>
      <c r="E33" s="147"/>
      <c r="F33" s="148"/>
      <c r="G33" s="149">
        <v>10000.0</v>
      </c>
      <c r="H33" s="150" t="s">
        <v>23</v>
      </c>
      <c r="I33" s="151" t="s">
        <v>24</v>
      </c>
      <c r="J33" s="152">
        <f>J30-SUM(G33:G36)</f>
        <v>420000</v>
      </c>
      <c r="K33" s="153">
        <f>K30-SUM(G33:G36)</f>
        <v>420000</v>
      </c>
      <c r="L33" s="154">
        <f>J33-K33</f>
        <v>0</v>
      </c>
    </row>
    <row r="34" ht="16.5" customHeight="1">
      <c r="A34" s="12"/>
      <c r="B34" s="155"/>
      <c r="C34" s="156"/>
      <c r="D34" s="56"/>
      <c r="E34" s="57"/>
      <c r="F34" s="58"/>
      <c r="G34" s="59">
        <v>10000.0</v>
      </c>
      <c r="H34" s="60" t="s">
        <v>25</v>
      </c>
      <c r="I34" s="61" t="s">
        <v>24</v>
      </c>
      <c r="J34" s="157"/>
      <c r="K34" s="157"/>
      <c r="L34" s="158"/>
    </row>
    <row r="35" ht="16.5" customHeight="1">
      <c r="A35" s="12"/>
      <c r="B35" s="155"/>
      <c r="C35" s="156"/>
      <c r="D35" s="56"/>
      <c r="E35" s="57"/>
      <c r="F35" s="58"/>
      <c r="G35" s="59">
        <v>10000.0</v>
      </c>
      <c r="H35" s="60" t="s">
        <v>26</v>
      </c>
      <c r="I35" s="61" t="s">
        <v>24</v>
      </c>
      <c r="J35" s="157"/>
      <c r="K35" s="157"/>
      <c r="L35" s="158"/>
    </row>
    <row r="36" ht="16.5" customHeight="1">
      <c r="A36" s="12"/>
      <c r="B36" s="159"/>
      <c r="C36" s="160"/>
      <c r="D36" s="161"/>
      <c r="E36" s="162"/>
      <c r="F36" s="163"/>
      <c r="G36" s="164">
        <v>10000.0</v>
      </c>
      <c r="H36" s="165" t="s">
        <v>27</v>
      </c>
      <c r="I36" s="166" t="s">
        <v>24</v>
      </c>
      <c r="J36" s="167"/>
      <c r="K36" s="167"/>
      <c r="L36" s="168"/>
    </row>
    <row r="37" ht="16.5" customHeight="1">
      <c r="A37" s="20"/>
      <c r="B37" s="169">
        <v>31.0</v>
      </c>
      <c r="C37" s="107" t="s">
        <v>1</v>
      </c>
      <c r="D37" s="135"/>
      <c r="E37" s="136"/>
      <c r="F37" s="137"/>
      <c r="G37" s="138"/>
      <c r="H37" s="139"/>
      <c r="I37" s="140"/>
      <c r="J37" s="170">
        <v>420000.0</v>
      </c>
      <c r="K37" s="171">
        <v>420000.0</v>
      </c>
      <c r="L37" s="172">
        <v>0.0</v>
      </c>
    </row>
    <row r="38" ht="16.5" customHeight="1">
      <c r="A38" s="173" t="s">
        <v>28</v>
      </c>
      <c r="B38" s="5"/>
      <c r="C38" s="174"/>
      <c r="D38" s="175">
        <f>SUM(D4:D35)</f>
        <v>553300</v>
      </c>
      <c r="E38" s="5"/>
      <c r="F38" s="174"/>
      <c r="G38" s="176">
        <f>SUM(G4:G37)</f>
        <v>133300</v>
      </c>
      <c r="H38" s="5"/>
      <c r="I38" s="174"/>
      <c r="J38" s="177">
        <f>J37</f>
        <v>420000</v>
      </c>
      <c r="K38" s="178">
        <v>420000.0</v>
      </c>
      <c r="L38" s="179">
        <f>L37</f>
        <v>0</v>
      </c>
    </row>
    <row r="39" ht="16.5" customHeight="1">
      <c r="A39" s="180"/>
      <c r="B39" s="15"/>
      <c r="C39" s="181"/>
      <c r="D39" s="180"/>
      <c r="E39" s="15"/>
      <c r="F39" s="181"/>
      <c r="G39" s="180"/>
      <c r="H39" s="15"/>
      <c r="I39" s="181"/>
      <c r="J39" s="18"/>
      <c r="K39" s="18"/>
      <c r="L39" s="18"/>
    </row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8">
    <mergeCell ref="B33:B36"/>
    <mergeCell ref="C33:C36"/>
    <mergeCell ref="A38:C39"/>
    <mergeCell ref="D38:F39"/>
    <mergeCell ref="G38:I39"/>
    <mergeCell ref="J38:J39"/>
    <mergeCell ref="K38:K39"/>
    <mergeCell ref="L38:L39"/>
    <mergeCell ref="J33:J36"/>
    <mergeCell ref="K33:K36"/>
    <mergeCell ref="L33:L36"/>
    <mergeCell ref="A1:A3"/>
    <mergeCell ref="B1:B3"/>
    <mergeCell ref="C1:C3"/>
    <mergeCell ref="D1:F2"/>
    <mergeCell ref="G1:I2"/>
    <mergeCell ref="K1:K2"/>
    <mergeCell ref="A4:A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7.86"/>
    <col customWidth="1" min="4" max="5" width="15.71"/>
    <col customWidth="1" min="6" max="6" width="31.29"/>
    <col customWidth="1" min="7" max="7" width="15.71"/>
    <col customWidth="1" min="8" max="8" width="25.57"/>
    <col customWidth="1" min="9" max="9" width="29.0"/>
    <col customWidth="1" min="10" max="10" width="15.71"/>
    <col customWidth="1" min="11" max="11" width="11.57"/>
    <col customWidth="1" min="12" max="12" width="15.86"/>
    <col customWidth="1" min="13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5"/>
      <c r="I1" s="6"/>
      <c r="J1" s="8" t="s">
        <v>5</v>
      </c>
      <c r="K1" s="9" t="s">
        <v>6</v>
      </c>
      <c r="L1" s="10" t="s">
        <v>7</v>
      </c>
    </row>
    <row r="2" ht="16.5" customHeight="1">
      <c r="A2" s="11"/>
      <c r="B2" s="12"/>
      <c r="C2" s="13"/>
      <c r="D2" s="14"/>
      <c r="E2" s="15"/>
      <c r="F2" s="16"/>
      <c r="G2" s="14"/>
      <c r="H2" s="15"/>
      <c r="I2" s="16"/>
      <c r="J2" s="17" t="s">
        <v>8</v>
      </c>
      <c r="K2" s="18"/>
      <c r="L2" s="19" t="s">
        <v>9</v>
      </c>
    </row>
    <row r="3" ht="16.5" customHeight="1">
      <c r="A3" s="18"/>
      <c r="B3" s="20"/>
      <c r="C3" s="21"/>
      <c r="D3" s="22" t="s">
        <v>10</v>
      </c>
      <c r="E3" s="23" t="s">
        <v>11</v>
      </c>
      <c r="F3" s="24" t="s">
        <v>12</v>
      </c>
      <c r="G3" s="25" t="s">
        <v>10</v>
      </c>
      <c r="H3" s="26" t="s">
        <v>11</v>
      </c>
      <c r="I3" s="27" t="s">
        <v>12</v>
      </c>
      <c r="J3" s="28" t="s">
        <v>10</v>
      </c>
      <c r="K3" s="29" t="s">
        <v>10</v>
      </c>
      <c r="L3" s="30" t="s">
        <v>10</v>
      </c>
    </row>
    <row r="4" ht="16.5" customHeight="1">
      <c r="A4" s="31">
        <v>11.0</v>
      </c>
      <c r="B4" s="32">
        <v>1.0</v>
      </c>
      <c r="C4" s="33" t="s">
        <v>20</v>
      </c>
      <c r="D4" s="34">
        <v>881300.0</v>
      </c>
      <c r="E4" s="35" t="s">
        <v>14</v>
      </c>
      <c r="F4" s="36" t="s">
        <v>15</v>
      </c>
      <c r="G4" s="37"/>
      <c r="H4" s="38"/>
      <c r="I4" s="39"/>
      <c r="J4" s="40">
        <f>D4</f>
        <v>881300</v>
      </c>
      <c r="K4" s="41">
        <v>460000.0</v>
      </c>
      <c r="L4" s="42">
        <f>J4-K4</f>
        <v>421300</v>
      </c>
    </row>
    <row r="5" ht="16.5" customHeight="1">
      <c r="A5" s="12"/>
      <c r="B5" s="54">
        <v>2.0</v>
      </c>
      <c r="C5" s="66" t="s">
        <v>21</v>
      </c>
      <c r="D5" s="56"/>
      <c r="E5" s="57"/>
      <c r="F5" s="58"/>
      <c r="G5" s="182"/>
      <c r="H5" s="60"/>
      <c r="I5" s="61"/>
      <c r="J5" s="82"/>
      <c r="K5" s="77"/>
      <c r="L5" s="78"/>
    </row>
    <row r="6" ht="16.5" customHeight="1">
      <c r="A6" s="12"/>
      <c r="B6" s="65">
        <v>3.0</v>
      </c>
      <c r="C6" s="83" t="s">
        <v>13</v>
      </c>
      <c r="D6" s="67"/>
      <c r="E6" s="68"/>
      <c r="F6" s="69"/>
      <c r="G6" s="70"/>
      <c r="H6" s="71"/>
      <c r="I6" s="72"/>
      <c r="J6" s="82"/>
      <c r="K6" s="74"/>
      <c r="L6" s="75"/>
    </row>
    <row r="7" ht="16.5" customHeight="1">
      <c r="A7" s="12"/>
      <c r="B7" s="65">
        <v>4.0</v>
      </c>
      <c r="C7" s="66" t="s">
        <v>16</v>
      </c>
      <c r="D7" s="67"/>
      <c r="E7" s="68"/>
      <c r="F7" s="69"/>
      <c r="G7" s="70"/>
      <c r="H7" s="71"/>
      <c r="I7" s="72"/>
      <c r="J7" s="73"/>
      <c r="K7" s="74"/>
      <c r="L7" s="75"/>
    </row>
    <row r="8" ht="16.5" customHeight="1">
      <c r="A8" s="12"/>
      <c r="B8" s="65">
        <v>5.0</v>
      </c>
      <c r="C8" s="55" t="s">
        <v>1</v>
      </c>
      <c r="D8" s="67"/>
      <c r="E8" s="68"/>
      <c r="F8" s="69"/>
      <c r="G8" s="70"/>
      <c r="H8" s="71"/>
      <c r="I8" s="72"/>
      <c r="J8" s="76"/>
      <c r="K8" s="77"/>
      <c r="L8" s="78"/>
    </row>
    <row r="9" ht="16.5" customHeight="1">
      <c r="A9" s="12"/>
      <c r="B9" s="54">
        <v>6.0</v>
      </c>
      <c r="C9" s="66" t="s">
        <v>0</v>
      </c>
      <c r="D9" s="56"/>
      <c r="E9" s="57"/>
      <c r="F9" s="58"/>
      <c r="G9" s="59"/>
      <c r="H9" s="60"/>
      <c r="I9" s="61"/>
      <c r="J9" s="79"/>
      <c r="K9" s="80"/>
      <c r="L9" s="81"/>
    </row>
    <row r="10" ht="16.5" customHeight="1">
      <c r="A10" s="12"/>
      <c r="B10" s="65">
        <v>7.0</v>
      </c>
      <c r="C10" s="66" t="s">
        <v>19</v>
      </c>
      <c r="D10" s="67"/>
      <c r="E10" s="68"/>
      <c r="F10" s="69"/>
      <c r="G10" s="70"/>
      <c r="H10" s="71"/>
      <c r="I10" s="72"/>
      <c r="J10" s="82"/>
      <c r="K10" s="77"/>
      <c r="L10" s="78"/>
    </row>
    <row r="11" ht="16.5" customHeight="1">
      <c r="A11" s="12"/>
      <c r="B11" s="65">
        <v>8.0</v>
      </c>
      <c r="C11" s="66" t="s">
        <v>20</v>
      </c>
      <c r="D11" s="67"/>
      <c r="E11" s="68"/>
      <c r="F11" s="69"/>
      <c r="G11" s="70"/>
      <c r="H11" s="71"/>
      <c r="I11" s="72"/>
      <c r="J11" s="84"/>
      <c r="K11" s="77"/>
      <c r="L11" s="78"/>
    </row>
    <row r="12" ht="16.5" customHeight="1">
      <c r="A12" s="12"/>
      <c r="B12" s="85">
        <v>9.0</v>
      </c>
      <c r="C12" s="66" t="s">
        <v>21</v>
      </c>
      <c r="D12" s="86"/>
      <c r="E12" s="87"/>
      <c r="F12" s="88"/>
      <c r="G12" s="89"/>
      <c r="H12" s="90"/>
      <c r="I12" s="91"/>
      <c r="J12" s="82"/>
      <c r="K12" s="77"/>
      <c r="L12" s="78"/>
    </row>
    <row r="13" ht="16.5" customHeight="1">
      <c r="A13" s="12"/>
      <c r="B13" s="92">
        <v>10.0</v>
      </c>
      <c r="C13" s="55" t="s">
        <v>13</v>
      </c>
      <c r="D13" s="93"/>
      <c r="E13" s="94"/>
      <c r="F13" s="95"/>
      <c r="G13" s="96"/>
      <c r="H13" s="97"/>
      <c r="I13" s="98"/>
      <c r="J13" s="82"/>
      <c r="K13" s="74"/>
      <c r="L13" s="75"/>
    </row>
    <row r="14" ht="16.5" customHeight="1">
      <c r="A14" s="12"/>
      <c r="B14" s="124">
        <v>11.0</v>
      </c>
      <c r="C14" s="125" t="s">
        <v>16</v>
      </c>
      <c r="D14" s="126"/>
      <c r="E14" s="127"/>
      <c r="F14" s="128"/>
      <c r="G14" s="129">
        <v>300000.0</v>
      </c>
      <c r="H14" s="130" t="s">
        <v>29</v>
      </c>
      <c r="I14" s="131" t="s">
        <v>30</v>
      </c>
      <c r="J14" s="183">
        <f>J4-G14</f>
        <v>581300</v>
      </c>
      <c r="K14" s="41">
        <f>K4</f>
        <v>460000</v>
      </c>
      <c r="L14" s="133">
        <f>J14-K14</f>
        <v>121300</v>
      </c>
    </row>
    <row r="15" ht="16.5" customHeight="1">
      <c r="A15" s="12"/>
      <c r="B15" s="54">
        <v>12.0</v>
      </c>
      <c r="C15" s="55" t="s">
        <v>1</v>
      </c>
      <c r="D15" s="56"/>
      <c r="E15" s="57"/>
      <c r="F15" s="58"/>
      <c r="G15" s="59"/>
      <c r="H15" s="60"/>
      <c r="I15" s="61"/>
      <c r="J15" s="108"/>
      <c r="K15" s="80"/>
      <c r="L15" s="81"/>
    </row>
    <row r="16" ht="16.5" customHeight="1">
      <c r="A16" s="12"/>
      <c r="B16" s="65">
        <v>13.0</v>
      </c>
      <c r="C16" s="66" t="s">
        <v>0</v>
      </c>
      <c r="D16" s="56"/>
      <c r="E16" s="68"/>
      <c r="F16" s="69"/>
      <c r="G16" s="70"/>
      <c r="H16" s="71"/>
      <c r="I16" s="72"/>
      <c r="J16" s="79"/>
      <c r="K16" s="80"/>
      <c r="L16" s="81"/>
    </row>
    <row r="17" ht="16.5" customHeight="1">
      <c r="A17" s="12"/>
      <c r="B17" s="65">
        <v>14.0</v>
      </c>
      <c r="C17" s="66" t="s">
        <v>19</v>
      </c>
      <c r="D17" s="67"/>
      <c r="E17" s="68"/>
      <c r="F17" s="69"/>
      <c r="G17" s="70"/>
      <c r="H17" s="71"/>
      <c r="I17" s="72"/>
      <c r="J17" s="82"/>
      <c r="K17" s="77"/>
      <c r="L17" s="78"/>
    </row>
    <row r="18" ht="16.5" customHeight="1">
      <c r="A18" s="12"/>
      <c r="B18" s="65">
        <v>15.0</v>
      </c>
      <c r="C18" s="66" t="s">
        <v>20</v>
      </c>
      <c r="D18" s="67"/>
      <c r="E18" s="68"/>
      <c r="F18" s="69"/>
      <c r="G18" s="70"/>
      <c r="H18" s="71"/>
      <c r="I18" s="72"/>
      <c r="J18" s="84"/>
      <c r="K18" s="77"/>
      <c r="L18" s="78"/>
    </row>
    <row r="19" ht="16.5" customHeight="1">
      <c r="A19" s="12"/>
      <c r="B19" s="65">
        <v>16.0</v>
      </c>
      <c r="C19" s="66" t="s">
        <v>21</v>
      </c>
      <c r="D19" s="67"/>
      <c r="E19" s="68"/>
      <c r="F19" s="69"/>
      <c r="G19" s="70"/>
      <c r="H19" s="71"/>
      <c r="I19" s="72"/>
      <c r="J19" s="82"/>
      <c r="K19" s="77"/>
      <c r="L19" s="78"/>
    </row>
    <row r="20" ht="16.5" customHeight="1">
      <c r="A20" s="12"/>
      <c r="B20" s="54">
        <v>17.0</v>
      </c>
      <c r="C20" s="83" t="s">
        <v>13</v>
      </c>
      <c r="D20" s="67"/>
      <c r="E20" s="68"/>
      <c r="F20" s="69"/>
      <c r="G20" s="70"/>
      <c r="H20" s="71"/>
      <c r="I20" s="72"/>
      <c r="J20" s="82"/>
      <c r="K20" s="74"/>
      <c r="L20" s="75"/>
    </row>
    <row r="21" ht="16.5" customHeight="1">
      <c r="A21" s="12"/>
      <c r="B21" s="65">
        <v>18.0</v>
      </c>
      <c r="C21" s="66" t="s">
        <v>16</v>
      </c>
      <c r="D21" s="56"/>
      <c r="E21" s="57"/>
      <c r="F21" s="58"/>
      <c r="G21" s="59"/>
      <c r="H21" s="60"/>
      <c r="I21" s="61"/>
      <c r="J21" s="73"/>
      <c r="K21" s="74"/>
      <c r="L21" s="75"/>
    </row>
    <row r="22" ht="16.5" customHeight="1">
      <c r="A22" s="12"/>
      <c r="B22" s="109">
        <v>19.0</v>
      </c>
      <c r="C22" s="55" t="s">
        <v>1</v>
      </c>
      <c r="D22" s="110"/>
      <c r="E22" s="87"/>
      <c r="F22" s="88"/>
      <c r="G22" s="89"/>
      <c r="H22" s="90"/>
      <c r="I22" s="91"/>
      <c r="J22" s="76"/>
      <c r="K22" s="77"/>
      <c r="L22" s="78"/>
    </row>
    <row r="23" ht="16.5" customHeight="1">
      <c r="A23" s="12"/>
      <c r="B23" s="99">
        <v>20.0</v>
      </c>
      <c r="C23" s="66" t="s">
        <v>0</v>
      </c>
      <c r="D23" s="101"/>
      <c r="E23" s="102"/>
      <c r="F23" s="103"/>
      <c r="G23" s="104"/>
      <c r="H23" s="105"/>
      <c r="I23" s="106"/>
      <c r="J23" s="79"/>
      <c r="K23" s="80"/>
      <c r="L23" s="81"/>
    </row>
    <row r="24" ht="16.5" customHeight="1">
      <c r="A24" s="12"/>
      <c r="B24" s="54">
        <v>21.0</v>
      </c>
      <c r="C24" s="55" t="s">
        <v>19</v>
      </c>
      <c r="D24" s="56"/>
      <c r="E24" s="57"/>
      <c r="F24" s="58"/>
      <c r="G24" s="59"/>
      <c r="H24" s="60"/>
      <c r="I24" s="61"/>
      <c r="J24" s="112"/>
      <c r="K24" s="77"/>
      <c r="L24" s="78"/>
    </row>
    <row r="25" ht="16.5" customHeight="1">
      <c r="A25" s="12"/>
      <c r="B25" s="54">
        <v>22.0</v>
      </c>
      <c r="C25" s="55" t="s">
        <v>20</v>
      </c>
      <c r="D25" s="110"/>
      <c r="E25" s="57"/>
      <c r="F25" s="58"/>
      <c r="G25" s="59"/>
      <c r="H25" s="60"/>
      <c r="I25" s="61"/>
      <c r="J25" s="82"/>
      <c r="K25" s="77"/>
      <c r="L25" s="78"/>
    </row>
    <row r="26" ht="16.5" customHeight="1">
      <c r="A26" s="12"/>
      <c r="B26" s="65">
        <v>23.0</v>
      </c>
      <c r="C26" s="66" t="s">
        <v>21</v>
      </c>
      <c r="D26" s="67"/>
      <c r="E26" s="68"/>
      <c r="F26" s="69"/>
      <c r="G26" s="70"/>
      <c r="H26" s="71"/>
      <c r="I26" s="72"/>
      <c r="J26" s="73"/>
      <c r="K26" s="74"/>
      <c r="L26" s="75"/>
    </row>
    <row r="27" ht="16.5" customHeight="1">
      <c r="A27" s="12"/>
      <c r="B27" s="113">
        <v>24.0</v>
      </c>
      <c r="C27" s="55" t="s">
        <v>13</v>
      </c>
      <c r="D27" s="110"/>
      <c r="E27" s="114"/>
      <c r="F27" s="115"/>
      <c r="G27" s="116"/>
      <c r="H27" s="117"/>
      <c r="I27" s="118"/>
      <c r="J27" s="73"/>
      <c r="K27" s="74"/>
      <c r="L27" s="75"/>
    </row>
    <row r="28" ht="16.5" customHeight="1">
      <c r="A28" s="12"/>
      <c r="B28" s="99">
        <v>25.0</v>
      </c>
      <c r="C28" s="100" t="s">
        <v>16</v>
      </c>
      <c r="D28" s="101"/>
      <c r="E28" s="102"/>
      <c r="F28" s="103"/>
      <c r="G28" s="104"/>
      <c r="H28" s="119"/>
      <c r="I28" s="120"/>
      <c r="J28" s="121"/>
      <c r="K28" s="122"/>
      <c r="L28" s="123"/>
    </row>
    <row r="29" ht="16.5" customHeight="1">
      <c r="A29" s="12"/>
      <c r="B29" s="169">
        <v>26.0</v>
      </c>
      <c r="C29" s="107" t="s">
        <v>1</v>
      </c>
      <c r="D29" s="135"/>
      <c r="E29" s="136"/>
      <c r="F29" s="137"/>
      <c r="G29" s="138"/>
      <c r="H29" s="139"/>
      <c r="I29" s="140"/>
      <c r="J29" s="108"/>
      <c r="K29" s="80"/>
      <c r="L29" s="81"/>
    </row>
    <row r="30" ht="16.5" customHeight="1">
      <c r="A30" s="12"/>
      <c r="B30" s="109">
        <v>27.0</v>
      </c>
      <c r="C30" s="55" t="s">
        <v>0</v>
      </c>
      <c r="D30" s="110"/>
      <c r="E30" s="114"/>
      <c r="F30" s="115"/>
      <c r="G30" s="116"/>
      <c r="H30" s="117"/>
      <c r="I30" s="118"/>
      <c r="J30" s="112"/>
      <c r="K30" s="63"/>
      <c r="L30" s="64"/>
    </row>
    <row r="31" ht="16.5" customHeight="1">
      <c r="A31" s="12"/>
      <c r="B31" s="184">
        <v>28.0</v>
      </c>
      <c r="C31" s="185" t="s">
        <v>19</v>
      </c>
      <c r="D31" s="186"/>
      <c r="E31" s="187"/>
      <c r="F31" s="188"/>
      <c r="G31" s="189"/>
      <c r="H31" s="190"/>
      <c r="I31" s="191"/>
      <c r="J31" s="192"/>
      <c r="K31" s="193"/>
      <c r="L31" s="194"/>
    </row>
    <row r="32" ht="16.5" customHeight="1">
      <c r="A32" s="12"/>
      <c r="B32" s="195">
        <v>29.0</v>
      </c>
      <c r="C32" s="125" t="s">
        <v>20</v>
      </c>
      <c r="D32" s="126"/>
      <c r="E32" s="127"/>
      <c r="F32" s="128"/>
      <c r="G32" s="129">
        <v>28000.0</v>
      </c>
      <c r="H32" s="130" t="s">
        <v>31</v>
      </c>
      <c r="I32" s="131" t="s">
        <v>32</v>
      </c>
      <c r="J32" s="196">
        <f>J14-G32</f>
        <v>553300</v>
      </c>
      <c r="K32" s="41">
        <f>K14</f>
        <v>460000</v>
      </c>
      <c r="L32" s="197">
        <f>J32-K32</f>
        <v>93300</v>
      </c>
    </row>
    <row r="33" ht="16.5" customHeight="1">
      <c r="A33" s="20"/>
      <c r="B33" s="54">
        <v>30.0</v>
      </c>
      <c r="C33" s="83" t="s">
        <v>21</v>
      </c>
      <c r="D33" s="56"/>
      <c r="E33" s="57"/>
      <c r="F33" s="58"/>
      <c r="G33" s="59"/>
      <c r="H33" s="60"/>
      <c r="I33" s="61"/>
      <c r="J33" s="198"/>
      <c r="K33" s="80"/>
      <c r="L33" s="81"/>
    </row>
    <row r="34" ht="16.5" customHeight="1">
      <c r="A34" s="173" t="s">
        <v>28</v>
      </c>
      <c r="B34" s="5"/>
      <c r="C34" s="174"/>
      <c r="D34" s="175">
        <f>SUM(D4:D33)</f>
        <v>881300</v>
      </c>
      <c r="E34" s="5"/>
      <c r="F34" s="174"/>
      <c r="G34" s="176">
        <f>SUM(G4:G33)</f>
        <v>328000</v>
      </c>
      <c r="H34" s="5"/>
      <c r="I34" s="174"/>
      <c r="J34" s="177">
        <f t="shared" ref="J34:L34" si="1">J32</f>
        <v>553300</v>
      </c>
      <c r="K34" s="9">
        <f t="shared" si="1"/>
        <v>460000</v>
      </c>
      <c r="L34" s="179">
        <f t="shared" si="1"/>
        <v>93300</v>
      </c>
    </row>
    <row r="35" ht="16.5" customHeight="1">
      <c r="A35" s="180"/>
      <c r="B35" s="15"/>
      <c r="C35" s="181"/>
      <c r="D35" s="180"/>
      <c r="E35" s="15"/>
      <c r="F35" s="181"/>
      <c r="G35" s="180"/>
      <c r="H35" s="15"/>
      <c r="I35" s="181"/>
      <c r="J35" s="18"/>
      <c r="K35" s="18"/>
      <c r="L35" s="18"/>
    </row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3">
    <mergeCell ref="A34:C35"/>
    <mergeCell ref="D34:F35"/>
    <mergeCell ref="G34:I35"/>
    <mergeCell ref="J34:J35"/>
    <mergeCell ref="K34:K35"/>
    <mergeCell ref="L34:L35"/>
    <mergeCell ref="A1:A3"/>
    <mergeCell ref="B1:B3"/>
    <mergeCell ref="C1:C3"/>
    <mergeCell ref="D1:F2"/>
    <mergeCell ref="G1:I2"/>
    <mergeCell ref="K1:K2"/>
    <mergeCell ref="A4:A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7.86"/>
    <col customWidth="1" min="4" max="5" width="15.71"/>
    <col customWidth="1" min="6" max="6" width="31.29"/>
    <col customWidth="1" min="7" max="7" width="15.71"/>
    <col customWidth="1" min="8" max="8" width="25.57"/>
    <col customWidth="1" min="9" max="9" width="29.0"/>
    <col customWidth="1" min="10" max="10" width="15.71"/>
    <col customWidth="1" min="11" max="11" width="11.57"/>
    <col customWidth="1" min="12" max="12" width="15.86"/>
    <col customWidth="1" min="13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5"/>
      <c r="I1" s="6"/>
      <c r="J1" s="8" t="s">
        <v>5</v>
      </c>
      <c r="K1" s="9" t="s">
        <v>6</v>
      </c>
      <c r="L1" s="10" t="s">
        <v>7</v>
      </c>
    </row>
    <row r="2" ht="16.5" customHeight="1">
      <c r="A2" s="11"/>
      <c r="B2" s="12"/>
      <c r="C2" s="13"/>
      <c r="D2" s="14"/>
      <c r="E2" s="15"/>
      <c r="F2" s="16"/>
      <c r="G2" s="14"/>
      <c r="H2" s="15"/>
      <c r="I2" s="16"/>
      <c r="J2" s="17" t="s">
        <v>8</v>
      </c>
      <c r="K2" s="18"/>
      <c r="L2" s="19" t="s">
        <v>9</v>
      </c>
    </row>
    <row r="3" ht="16.5" customHeight="1">
      <c r="A3" s="18"/>
      <c r="B3" s="20"/>
      <c r="C3" s="21"/>
      <c r="D3" s="22" t="s">
        <v>10</v>
      </c>
      <c r="E3" s="23" t="s">
        <v>11</v>
      </c>
      <c r="F3" s="24" t="s">
        <v>12</v>
      </c>
      <c r="G3" s="25" t="s">
        <v>10</v>
      </c>
      <c r="H3" s="26" t="s">
        <v>11</v>
      </c>
      <c r="I3" s="27" t="s">
        <v>12</v>
      </c>
      <c r="J3" s="28" t="s">
        <v>10</v>
      </c>
      <c r="K3" s="29" t="s">
        <v>10</v>
      </c>
      <c r="L3" s="30" t="s">
        <v>10</v>
      </c>
    </row>
    <row r="4" ht="16.5" customHeight="1">
      <c r="A4" s="31">
        <v>10.0</v>
      </c>
      <c r="B4" s="32">
        <v>1.0</v>
      </c>
      <c r="C4" s="33" t="s">
        <v>1</v>
      </c>
      <c r="D4" s="34">
        <v>1098100.0</v>
      </c>
      <c r="E4" s="35" t="s">
        <v>14</v>
      </c>
      <c r="F4" s="36" t="s">
        <v>33</v>
      </c>
      <c r="G4" s="37"/>
      <c r="H4" s="38"/>
      <c r="I4" s="39"/>
      <c r="J4" s="40">
        <f>D4</f>
        <v>1098100</v>
      </c>
      <c r="K4" s="41">
        <v>460000.0</v>
      </c>
      <c r="L4" s="42">
        <f>J4-K4</f>
        <v>638100</v>
      </c>
    </row>
    <row r="5" ht="16.5" customHeight="1">
      <c r="A5" s="12"/>
      <c r="B5" s="54">
        <v>2.0</v>
      </c>
      <c r="C5" s="66" t="s">
        <v>0</v>
      </c>
      <c r="D5" s="56"/>
      <c r="E5" s="57"/>
      <c r="F5" s="58"/>
      <c r="G5" s="182"/>
      <c r="H5" s="60"/>
      <c r="I5" s="61"/>
      <c r="J5" s="82"/>
      <c r="K5" s="77"/>
      <c r="L5" s="78"/>
    </row>
    <row r="6" ht="16.5" customHeight="1">
      <c r="A6" s="12"/>
      <c r="B6" s="65">
        <v>3.0</v>
      </c>
      <c r="C6" s="66" t="s">
        <v>19</v>
      </c>
      <c r="D6" s="67"/>
      <c r="E6" s="68"/>
      <c r="F6" s="69"/>
      <c r="G6" s="70"/>
      <c r="H6" s="71"/>
      <c r="I6" s="72"/>
      <c r="J6" s="82"/>
      <c r="K6" s="74"/>
      <c r="L6" s="75"/>
    </row>
    <row r="7" ht="16.5" customHeight="1">
      <c r="A7" s="12"/>
      <c r="B7" s="65">
        <v>4.0</v>
      </c>
      <c r="C7" s="66" t="s">
        <v>20</v>
      </c>
      <c r="D7" s="67"/>
      <c r="E7" s="68"/>
      <c r="F7" s="69"/>
      <c r="G7" s="70"/>
      <c r="H7" s="71"/>
      <c r="I7" s="72"/>
      <c r="J7" s="73"/>
      <c r="K7" s="74"/>
      <c r="L7" s="75"/>
    </row>
    <row r="8" ht="16.5" customHeight="1">
      <c r="A8" s="12"/>
      <c r="B8" s="65">
        <v>5.0</v>
      </c>
      <c r="C8" s="66" t="s">
        <v>21</v>
      </c>
      <c r="D8" s="67"/>
      <c r="E8" s="68"/>
      <c r="F8" s="69"/>
      <c r="G8" s="70"/>
      <c r="H8" s="71"/>
      <c r="I8" s="72"/>
      <c r="J8" s="76"/>
      <c r="K8" s="77"/>
      <c r="L8" s="78"/>
    </row>
    <row r="9" ht="16.5" customHeight="1">
      <c r="A9" s="12"/>
      <c r="B9" s="54">
        <v>6.0</v>
      </c>
      <c r="C9" s="83" t="s">
        <v>13</v>
      </c>
      <c r="D9" s="56"/>
      <c r="E9" s="57"/>
      <c r="F9" s="58"/>
      <c r="G9" s="59"/>
      <c r="H9" s="60"/>
      <c r="I9" s="61"/>
      <c r="J9" s="79"/>
      <c r="K9" s="80"/>
      <c r="L9" s="81"/>
    </row>
    <row r="10" ht="16.5" customHeight="1">
      <c r="A10" s="12"/>
      <c r="B10" s="65">
        <v>7.0</v>
      </c>
      <c r="C10" s="66" t="s">
        <v>16</v>
      </c>
      <c r="D10" s="67"/>
      <c r="E10" s="68"/>
      <c r="F10" s="69"/>
      <c r="G10" s="70"/>
      <c r="H10" s="71"/>
      <c r="I10" s="72"/>
      <c r="J10" s="82"/>
      <c r="K10" s="77"/>
      <c r="L10" s="78"/>
    </row>
    <row r="11" ht="16.5" customHeight="1">
      <c r="A11" s="12"/>
      <c r="B11" s="65">
        <v>8.0</v>
      </c>
      <c r="C11" s="55" t="s">
        <v>1</v>
      </c>
      <c r="D11" s="67"/>
      <c r="E11" s="68"/>
      <c r="F11" s="69"/>
      <c r="G11" s="70"/>
      <c r="H11" s="71"/>
      <c r="I11" s="72"/>
      <c r="J11" s="84"/>
      <c r="K11" s="77"/>
      <c r="L11" s="78"/>
    </row>
    <row r="12" ht="16.5" customHeight="1">
      <c r="A12" s="12"/>
      <c r="B12" s="85">
        <v>9.0</v>
      </c>
      <c r="C12" s="66" t="s">
        <v>0</v>
      </c>
      <c r="D12" s="86"/>
      <c r="E12" s="87"/>
      <c r="F12" s="88"/>
      <c r="G12" s="89"/>
      <c r="H12" s="90"/>
      <c r="I12" s="91"/>
      <c r="J12" s="82"/>
      <c r="K12" s="77"/>
      <c r="L12" s="78"/>
    </row>
    <row r="13" ht="16.5" customHeight="1">
      <c r="A13" s="12"/>
      <c r="B13" s="99">
        <v>10.0</v>
      </c>
      <c r="C13" s="66" t="s">
        <v>19</v>
      </c>
      <c r="D13" s="101"/>
      <c r="E13" s="102"/>
      <c r="F13" s="103"/>
      <c r="G13" s="104"/>
      <c r="H13" s="105"/>
      <c r="I13" s="106"/>
      <c r="J13" s="82"/>
      <c r="K13" s="74"/>
      <c r="L13" s="75"/>
    </row>
    <row r="14" ht="16.5" customHeight="1">
      <c r="A14" s="12"/>
      <c r="B14" s="54">
        <v>11.0</v>
      </c>
      <c r="C14" s="66" t="s">
        <v>20</v>
      </c>
      <c r="D14" s="56"/>
      <c r="E14" s="57"/>
      <c r="F14" s="58"/>
      <c r="G14" s="59"/>
      <c r="H14" s="60"/>
      <c r="I14" s="61"/>
      <c r="J14" s="73"/>
      <c r="K14" s="74"/>
      <c r="L14" s="75"/>
    </row>
    <row r="15" ht="16.5" customHeight="1">
      <c r="A15" s="12"/>
      <c r="B15" s="54">
        <v>12.0</v>
      </c>
      <c r="C15" s="66" t="s">
        <v>21</v>
      </c>
      <c r="D15" s="67"/>
      <c r="E15" s="68"/>
      <c r="F15" s="69"/>
      <c r="G15" s="70"/>
      <c r="H15" s="71"/>
      <c r="I15" s="72"/>
      <c r="J15" s="76"/>
      <c r="K15" s="77"/>
      <c r="L15" s="78"/>
    </row>
    <row r="16" ht="16.5" customHeight="1">
      <c r="A16" s="12"/>
      <c r="B16" s="65">
        <v>13.0</v>
      </c>
      <c r="C16" s="83" t="s">
        <v>13</v>
      </c>
      <c r="D16" s="56"/>
      <c r="E16" s="68"/>
      <c r="F16" s="69"/>
      <c r="G16" s="70"/>
      <c r="H16" s="71"/>
      <c r="I16" s="72"/>
      <c r="J16" s="79"/>
      <c r="K16" s="80"/>
      <c r="L16" s="81"/>
    </row>
    <row r="17" ht="16.5" customHeight="1">
      <c r="A17" s="12"/>
      <c r="B17" s="65">
        <v>14.0</v>
      </c>
      <c r="C17" s="66" t="s">
        <v>16</v>
      </c>
      <c r="D17" s="67"/>
      <c r="E17" s="68"/>
      <c r="F17" s="69"/>
      <c r="G17" s="70"/>
      <c r="H17" s="71"/>
      <c r="I17" s="72"/>
      <c r="J17" s="82"/>
      <c r="K17" s="77"/>
      <c r="L17" s="78"/>
    </row>
    <row r="18" ht="16.5" customHeight="1">
      <c r="A18" s="12"/>
      <c r="B18" s="65">
        <v>15.0</v>
      </c>
      <c r="C18" s="55" t="s">
        <v>1</v>
      </c>
      <c r="D18" s="67"/>
      <c r="E18" s="68"/>
      <c r="F18" s="69"/>
      <c r="G18" s="70"/>
      <c r="H18" s="71"/>
      <c r="I18" s="72"/>
      <c r="J18" s="84"/>
      <c r="K18" s="77"/>
      <c r="L18" s="78"/>
    </row>
    <row r="19" ht="16.5" customHeight="1">
      <c r="A19" s="12"/>
      <c r="B19" s="65">
        <v>16.0</v>
      </c>
      <c r="C19" s="66" t="s">
        <v>0</v>
      </c>
      <c r="D19" s="67"/>
      <c r="E19" s="68"/>
      <c r="F19" s="69"/>
      <c r="G19" s="70"/>
      <c r="H19" s="71"/>
      <c r="I19" s="72"/>
      <c r="J19" s="82"/>
      <c r="K19" s="77"/>
      <c r="L19" s="78"/>
    </row>
    <row r="20" ht="16.5" customHeight="1">
      <c r="A20" s="12"/>
      <c r="B20" s="54">
        <v>17.0</v>
      </c>
      <c r="C20" s="66" t="s">
        <v>19</v>
      </c>
      <c r="D20" s="67"/>
      <c r="E20" s="68"/>
      <c r="F20" s="69"/>
      <c r="G20" s="70"/>
      <c r="H20" s="71"/>
      <c r="I20" s="72"/>
      <c r="J20" s="82"/>
      <c r="K20" s="74"/>
      <c r="L20" s="75"/>
    </row>
    <row r="21" ht="16.5" customHeight="1">
      <c r="A21" s="12"/>
      <c r="B21" s="65">
        <v>18.0</v>
      </c>
      <c r="C21" s="66" t="s">
        <v>20</v>
      </c>
      <c r="D21" s="56"/>
      <c r="E21" s="57"/>
      <c r="F21" s="58"/>
      <c r="G21" s="59"/>
      <c r="H21" s="60"/>
      <c r="I21" s="61"/>
      <c r="J21" s="73"/>
      <c r="K21" s="74"/>
      <c r="L21" s="75"/>
    </row>
    <row r="22" ht="16.5" customHeight="1">
      <c r="A22" s="12"/>
      <c r="B22" s="109">
        <v>19.0</v>
      </c>
      <c r="C22" s="66" t="s">
        <v>21</v>
      </c>
      <c r="D22" s="110"/>
      <c r="E22" s="87"/>
      <c r="F22" s="88"/>
      <c r="G22" s="89"/>
      <c r="H22" s="90"/>
      <c r="I22" s="91"/>
      <c r="J22" s="76"/>
      <c r="K22" s="77"/>
      <c r="L22" s="78"/>
    </row>
    <row r="23" ht="16.5" customHeight="1">
      <c r="A23" s="12"/>
      <c r="B23" s="99">
        <v>20.0</v>
      </c>
      <c r="C23" s="83" t="s">
        <v>13</v>
      </c>
      <c r="D23" s="101"/>
      <c r="E23" s="102"/>
      <c r="F23" s="103"/>
      <c r="G23" s="104"/>
      <c r="H23" s="105"/>
      <c r="I23" s="106"/>
      <c r="J23" s="79"/>
      <c r="K23" s="80"/>
      <c r="L23" s="81"/>
    </row>
    <row r="24" ht="16.5" customHeight="1">
      <c r="A24" s="12"/>
      <c r="B24" s="54">
        <v>21.0</v>
      </c>
      <c r="C24" s="66" t="s">
        <v>16</v>
      </c>
      <c r="D24" s="56"/>
      <c r="E24" s="57"/>
      <c r="F24" s="58"/>
      <c r="G24" s="59"/>
      <c r="H24" s="60"/>
      <c r="I24" s="61"/>
      <c r="J24" s="112"/>
      <c r="K24" s="77"/>
      <c r="L24" s="78"/>
    </row>
    <row r="25" ht="16.5" customHeight="1">
      <c r="A25" s="12"/>
      <c r="B25" s="54">
        <v>22.0</v>
      </c>
      <c r="C25" s="55" t="s">
        <v>1</v>
      </c>
      <c r="D25" s="110"/>
      <c r="E25" s="57"/>
      <c r="F25" s="58"/>
      <c r="G25" s="59"/>
      <c r="H25" s="60"/>
      <c r="I25" s="61"/>
      <c r="J25" s="82"/>
      <c r="K25" s="77"/>
      <c r="L25" s="78"/>
    </row>
    <row r="26" ht="16.5" customHeight="1">
      <c r="A26" s="12"/>
      <c r="B26" s="65">
        <v>23.0</v>
      </c>
      <c r="C26" s="66" t="s">
        <v>0</v>
      </c>
      <c r="D26" s="67"/>
      <c r="E26" s="68"/>
      <c r="F26" s="69"/>
      <c r="G26" s="70"/>
      <c r="H26" s="71"/>
      <c r="I26" s="72"/>
      <c r="J26" s="73"/>
      <c r="K26" s="74"/>
      <c r="L26" s="75"/>
    </row>
    <row r="27" ht="16.5" customHeight="1">
      <c r="A27" s="12"/>
      <c r="B27" s="113">
        <v>24.0</v>
      </c>
      <c r="C27" s="55" t="s">
        <v>19</v>
      </c>
      <c r="D27" s="110"/>
      <c r="E27" s="114"/>
      <c r="F27" s="115"/>
      <c r="G27" s="116"/>
      <c r="H27" s="117"/>
      <c r="I27" s="118"/>
      <c r="J27" s="73"/>
      <c r="K27" s="74"/>
      <c r="L27" s="75"/>
    </row>
    <row r="28" ht="16.5" customHeight="1">
      <c r="A28" s="12"/>
      <c r="B28" s="144">
        <v>25.0</v>
      </c>
      <c r="C28" s="145" t="s">
        <v>20</v>
      </c>
      <c r="D28" s="146"/>
      <c r="E28" s="147"/>
      <c r="F28" s="148"/>
      <c r="G28" s="149">
        <v>59000.0</v>
      </c>
      <c r="H28" s="199" t="s">
        <v>34</v>
      </c>
      <c r="I28" s="200" t="s">
        <v>35</v>
      </c>
      <c r="J28" s="152">
        <f>J4-SUM(G28:G29)</f>
        <v>997800</v>
      </c>
      <c r="K28" s="153">
        <f>K4</f>
        <v>460000</v>
      </c>
      <c r="L28" s="154">
        <f>J28-K28</f>
        <v>537800</v>
      </c>
    </row>
    <row r="29" ht="16.5" customHeight="1">
      <c r="A29" s="12"/>
      <c r="B29" s="201"/>
      <c r="C29" s="202"/>
      <c r="D29" s="67"/>
      <c r="E29" s="68"/>
      <c r="F29" s="69"/>
      <c r="G29" s="70">
        <v>41300.0</v>
      </c>
      <c r="H29" s="203"/>
      <c r="I29" s="204"/>
      <c r="J29" s="205"/>
      <c r="K29" s="205"/>
      <c r="L29" s="206"/>
    </row>
    <row r="30" ht="16.5" customHeight="1">
      <c r="A30" s="12"/>
      <c r="B30" s="207">
        <v>26.0</v>
      </c>
      <c r="C30" s="208" t="s">
        <v>21</v>
      </c>
      <c r="D30" s="209"/>
      <c r="E30" s="210"/>
      <c r="F30" s="211"/>
      <c r="G30" s="212"/>
      <c r="H30" s="213"/>
      <c r="I30" s="214"/>
      <c r="J30" s="215"/>
      <c r="K30" s="216"/>
      <c r="L30" s="217"/>
    </row>
    <row r="31" ht="16.5" customHeight="1">
      <c r="A31" s="12"/>
      <c r="B31" s="109">
        <v>27.0</v>
      </c>
      <c r="C31" s="55" t="s">
        <v>13</v>
      </c>
      <c r="D31" s="110"/>
      <c r="E31" s="114"/>
      <c r="F31" s="115"/>
      <c r="G31" s="116"/>
      <c r="H31" s="117"/>
      <c r="I31" s="118"/>
      <c r="J31" s="112"/>
      <c r="K31" s="63"/>
      <c r="L31" s="64"/>
    </row>
    <row r="32" ht="16.5" customHeight="1">
      <c r="A32" s="12"/>
      <c r="B32" s="144">
        <v>28.0</v>
      </c>
      <c r="C32" s="145" t="s">
        <v>16</v>
      </c>
      <c r="D32" s="209"/>
      <c r="E32" s="210"/>
      <c r="F32" s="211"/>
      <c r="G32" s="212">
        <v>15500.0</v>
      </c>
      <c r="H32" s="213" t="s">
        <v>36</v>
      </c>
      <c r="I32" s="214" t="s">
        <v>37</v>
      </c>
      <c r="J32" s="152">
        <f>J28-SUM(G32:G35)</f>
        <v>901300</v>
      </c>
      <c r="K32" s="153">
        <f>K28</f>
        <v>460000</v>
      </c>
      <c r="L32" s="154">
        <f>J32-K32</f>
        <v>441300</v>
      </c>
    </row>
    <row r="33" ht="16.5" customHeight="1">
      <c r="A33" s="12"/>
      <c r="B33" s="155"/>
      <c r="C33" s="156"/>
      <c r="D33" s="56"/>
      <c r="E33" s="57"/>
      <c r="F33" s="58"/>
      <c r="G33" s="59">
        <v>30000.0</v>
      </c>
      <c r="H33" s="60" t="s">
        <v>38</v>
      </c>
      <c r="I33" s="61" t="s">
        <v>39</v>
      </c>
      <c r="J33" s="157"/>
      <c r="K33" s="157"/>
      <c r="L33" s="158"/>
    </row>
    <row r="34" ht="16.5" customHeight="1">
      <c r="A34" s="12"/>
      <c r="B34" s="155"/>
      <c r="C34" s="156"/>
      <c r="D34" s="86"/>
      <c r="E34" s="87"/>
      <c r="F34" s="88"/>
      <c r="G34" s="104">
        <v>18000.0</v>
      </c>
      <c r="H34" s="105" t="s">
        <v>40</v>
      </c>
      <c r="I34" s="106" t="s">
        <v>41</v>
      </c>
      <c r="J34" s="157"/>
      <c r="K34" s="157"/>
      <c r="L34" s="158"/>
    </row>
    <row r="35" ht="16.5" customHeight="1">
      <c r="A35" s="12"/>
      <c r="B35" s="201"/>
      <c r="C35" s="202"/>
      <c r="D35" s="186"/>
      <c r="E35" s="187"/>
      <c r="F35" s="188"/>
      <c r="G35" s="116">
        <v>33000.0</v>
      </c>
      <c r="H35" s="117" t="s">
        <v>42</v>
      </c>
      <c r="I35" s="118" t="s">
        <v>43</v>
      </c>
      <c r="J35" s="205"/>
      <c r="K35" s="205"/>
      <c r="L35" s="206"/>
    </row>
    <row r="36" ht="16.5" customHeight="1">
      <c r="A36" s="12"/>
      <c r="B36" s="195">
        <v>29.0</v>
      </c>
      <c r="C36" s="125" t="s">
        <v>1</v>
      </c>
      <c r="D36" s="126"/>
      <c r="E36" s="127"/>
      <c r="F36" s="128"/>
      <c r="G36" s="129">
        <v>20000.0</v>
      </c>
      <c r="H36" s="130" t="s">
        <v>44</v>
      </c>
      <c r="I36" s="131" t="s">
        <v>45</v>
      </c>
      <c r="J36" s="196">
        <f>J32-G36</f>
        <v>881300</v>
      </c>
      <c r="K36" s="41">
        <f>K32</f>
        <v>460000</v>
      </c>
      <c r="L36" s="197">
        <f>J36-K36</f>
        <v>421300</v>
      </c>
    </row>
    <row r="37" ht="16.5" customHeight="1">
      <c r="A37" s="12"/>
      <c r="B37" s="54">
        <v>30.0</v>
      </c>
      <c r="C37" s="83" t="s">
        <v>0</v>
      </c>
      <c r="D37" s="56"/>
      <c r="E37" s="57"/>
      <c r="F37" s="58"/>
      <c r="G37" s="59"/>
      <c r="H37" s="60"/>
      <c r="I37" s="61"/>
      <c r="J37" s="198"/>
      <c r="K37" s="80"/>
      <c r="L37" s="81"/>
    </row>
    <row r="38" ht="16.5" customHeight="1">
      <c r="A38" s="20"/>
      <c r="B38" s="85">
        <v>31.0</v>
      </c>
      <c r="C38" s="218" t="s">
        <v>19</v>
      </c>
      <c r="D38" s="67"/>
      <c r="E38" s="68"/>
      <c r="F38" s="69"/>
      <c r="G38" s="70"/>
      <c r="H38" s="71"/>
      <c r="I38" s="72"/>
      <c r="J38" s="198"/>
      <c r="K38" s="219"/>
      <c r="L38" s="220"/>
    </row>
    <row r="39" ht="16.5" customHeight="1">
      <c r="A39" s="173" t="s">
        <v>28</v>
      </c>
      <c r="B39" s="5"/>
      <c r="C39" s="174"/>
      <c r="D39" s="175">
        <f>SUM(D4:D32)</f>
        <v>1098100</v>
      </c>
      <c r="E39" s="5"/>
      <c r="F39" s="174"/>
      <c r="G39" s="176">
        <f>SUM(G4:G37)</f>
        <v>216800</v>
      </c>
      <c r="H39" s="5"/>
      <c r="I39" s="174"/>
      <c r="J39" s="177">
        <f t="shared" ref="J39:L39" si="1">J36</f>
        <v>881300</v>
      </c>
      <c r="K39" s="9">
        <f t="shared" si="1"/>
        <v>460000</v>
      </c>
      <c r="L39" s="179">
        <f t="shared" si="1"/>
        <v>421300</v>
      </c>
    </row>
    <row r="40" ht="16.5" customHeight="1">
      <c r="A40" s="180"/>
      <c r="B40" s="15"/>
      <c r="C40" s="181"/>
      <c r="D40" s="180"/>
      <c r="E40" s="15"/>
      <c r="F40" s="181"/>
      <c r="G40" s="180"/>
      <c r="H40" s="15"/>
      <c r="I40" s="181"/>
      <c r="J40" s="18"/>
      <c r="K40" s="18"/>
      <c r="L40" s="18"/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5">
    <mergeCell ref="B28:B29"/>
    <mergeCell ref="C28:C29"/>
    <mergeCell ref="H28:H29"/>
    <mergeCell ref="I28:I29"/>
    <mergeCell ref="J28:J29"/>
    <mergeCell ref="K28:K29"/>
    <mergeCell ref="L28:L29"/>
    <mergeCell ref="B32:B35"/>
    <mergeCell ref="C32:C35"/>
    <mergeCell ref="A39:C40"/>
    <mergeCell ref="J32:J35"/>
    <mergeCell ref="K32:K35"/>
    <mergeCell ref="L32:L35"/>
    <mergeCell ref="D39:F40"/>
    <mergeCell ref="G39:I40"/>
    <mergeCell ref="J39:J40"/>
    <mergeCell ref="K39:K40"/>
    <mergeCell ref="L39:L40"/>
    <mergeCell ref="A1:A3"/>
    <mergeCell ref="B1:B3"/>
    <mergeCell ref="C1:C3"/>
    <mergeCell ref="D1:F2"/>
    <mergeCell ref="G1:I2"/>
    <mergeCell ref="K1:K2"/>
    <mergeCell ref="A4:A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7.86"/>
    <col customWidth="1" min="4" max="5" width="15.71"/>
    <col customWidth="1" min="6" max="6" width="31.29"/>
    <col customWidth="1" min="7" max="7" width="15.71"/>
    <col customWidth="1" min="8" max="8" width="22.29"/>
    <col customWidth="1" min="9" max="9" width="29.0"/>
    <col customWidth="1" min="10" max="10" width="15.71"/>
    <col customWidth="1" min="11" max="11" width="11.57"/>
    <col customWidth="1" min="12" max="12" width="15.86"/>
    <col customWidth="1" min="13" max="26" width="12.57"/>
  </cols>
  <sheetData>
    <row r="1" ht="16.5" customHeight="1">
      <c r="A1" s="1" t="s">
        <v>0</v>
      </c>
      <c r="B1" s="221" t="s">
        <v>1</v>
      </c>
      <c r="C1" s="222" t="s">
        <v>2</v>
      </c>
      <c r="D1" s="4" t="s">
        <v>3</v>
      </c>
      <c r="E1" s="5"/>
      <c r="F1" s="6"/>
      <c r="G1" s="7" t="s">
        <v>4</v>
      </c>
      <c r="H1" s="5"/>
      <c r="I1" s="6"/>
      <c r="J1" s="8" t="s">
        <v>5</v>
      </c>
      <c r="K1" s="9" t="s">
        <v>6</v>
      </c>
      <c r="L1" s="10" t="s">
        <v>7</v>
      </c>
    </row>
    <row r="2" ht="16.5" customHeight="1">
      <c r="A2" s="11"/>
      <c r="B2" s="223"/>
      <c r="C2" s="12"/>
      <c r="D2" s="14"/>
      <c r="E2" s="15"/>
      <c r="F2" s="16"/>
      <c r="G2" s="14"/>
      <c r="H2" s="15"/>
      <c r="I2" s="16"/>
      <c r="J2" s="17" t="s">
        <v>8</v>
      </c>
      <c r="K2" s="18"/>
      <c r="L2" s="19" t="s">
        <v>9</v>
      </c>
    </row>
    <row r="3" ht="16.5" customHeight="1">
      <c r="A3" s="224"/>
      <c r="B3" s="225"/>
      <c r="C3" s="226"/>
      <c r="D3" s="227" t="s">
        <v>10</v>
      </c>
      <c r="E3" s="228" t="s">
        <v>11</v>
      </c>
      <c r="F3" s="229" t="s">
        <v>12</v>
      </c>
      <c r="G3" s="230" t="s">
        <v>10</v>
      </c>
      <c r="H3" s="231" t="s">
        <v>11</v>
      </c>
      <c r="I3" s="232" t="s">
        <v>12</v>
      </c>
      <c r="J3" s="233" t="s">
        <v>10</v>
      </c>
      <c r="K3" s="234" t="s">
        <v>10</v>
      </c>
      <c r="L3" s="235" t="s">
        <v>10</v>
      </c>
    </row>
    <row r="4" ht="16.5" customHeight="1">
      <c r="A4" s="236" t="s">
        <v>46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8"/>
    </row>
    <row r="5" ht="16.5" customHeight="1">
      <c r="A5" s="239">
        <v>8.0</v>
      </c>
      <c r="B5" s="240">
        <v>26.0</v>
      </c>
      <c r="C5" s="241" t="s">
        <v>16</v>
      </c>
      <c r="D5" s="242">
        <v>30000.0</v>
      </c>
      <c r="E5" s="243" t="s">
        <v>47</v>
      </c>
      <c r="F5" s="244" t="s">
        <v>48</v>
      </c>
      <c r="G5" s="245">
        <v>37600.0</v>
      </c>
      <c r="H5" s="246" t="s">
        <v>14</v>
      </c>
      <c r="I5" s="247" t="s">
        <v>49</v>
      </c>
      <c r="J5" s="248">
        <v>1510000.0</v>
      </c>
      <c r="K5" s="249">
        <v>370000.0</v>
      </c>
      <c r="L5" s="250">
        <v>0.0</v>
      </c>
    </row>
    <row r="6" ht="16.5" customHeight="1">
      <c r="A6" s="12"/>
      <c r="B6" s="251"/>
      <c r="C6" s="157"/>
      <c r="D6" s="252">
        <v>30000.0</v>
      </c>
      <c r="E6" s="253" t="s">
        <v>44</v>
      </c>
      <c r="F6" s="156"/>
      <c r="G6" s="155"/>
      <c r="H6" s="254"/>
      <c r="I6" s="156"/>
      <c r="J6" s="157"/>
      <c r="K6" s="157"/>
      <c r="L6" s="158"/>
    </row>
    <row r="7" ht="16.5" customHeight="1">
      <c r="A7" s="12"/>
      <c r="B7" s="251"/>
      <c r="C7" s="157"/>
      <c r="D7" s="252">
        <v>30000.0</v>
      </c>
      <c r="E7" s="255" t="s">
        <v>50</v>
      </c>
      <c r="F7" s="156"/>
      <c r="G7" s="155"/>
      <c r="H7" s="254"/>
      <c r="I7" s="156"/>
      <c r="J7" s="157"/>
      <c r="K7" s="157"/>
      <c r="L7" s="158"/>
    </row>
    <row r="8" ht="16.5" customHeight="1">
      <c r="A8" s="12"/>
      <c r="B8" s="251"/>
      <c r="C8" s="157"/>
      <c r="D8" s="252">
        <v>30000.0</v>
      </c>
      <c r="E8" s="255" t="s">
        <v>23</v>
      </c>
      <c r="F8" s="156"/>
      <c r="G8" s="155"/>
      <c r="H8" s="254"/>
      <c r="I8" s="156"/>
      <c r="J8" s="157"/>
      <c r="K8" s="157"/>
      <c r="L8" s="158"/>
    </row>
    <row r="9" ht="16.5" customHeight="1">
      <c r="A9" s="12"/>
      <c r="B9" s="251"/>
      <c r="C9" s="157"/>
      <c r="D9" s="252">
        <v>30000.0</v>
      </c>
      <c r="E9" s="255" t="s">
        <v>51</v>
      </c>
      <c r="F9" s="156"/>
      <c r="G9" s="155"/>
      <c r="H9" s="254"/>
      <c r="I9" s="156"/>
      <c r="J9" s="157"/>
      <c r="K9" s="157"/>
      <c r="L9" s="158"/>
    </row>
    <row r="10" ht="16.5" customHeight="1">
      <c r="A10" s="12"/>
      <c r="B10" s="251"/>
      <c r="C10" s="157"/>
      <c r="D10" s="252">
        <v>30000.0</v>
      </c>
      <c r="E10" s="255" t="s">
        <v>52</v>
      </c>
      <c r="F10" s="156"/>
      <c r="G10" s="155"/>
      <c r="H10" s="254"/>
      <c r="I10" s="156"/>
      <c r="J10" s="157"/>
      <c r="K10" s="157"/>
      <c r="L10" s="158"/>
    </row>
    <row r="11" ht="16.5" customHeight="1">
      <c r="A11" s="12"/>
      <c r="B11" s="251"/>
      <c r="C11" s="157"/>
      <c r="D11" s="252">
        <v>30000.0</v>
      </c>
      <c r="E11" s="255" t="s">
        <v>14</v>
      </c>
      <c r="F11" s="156"/>
      <c r="G11" s="155"/>
      <c r="H11" s="254"/>
      <c r="I11" s="156"/>
      <c r="J11" s="157"/>
      <c r="K11" s="157"/>
      <c r="L11" s="158"/>
    </row>
    <row r="12" ht="16.5" customHeight="1">
      <c r="A12" s="12"/>
      <c r="B12" s="251"/>
      <c r="C12" s="157"/>
      <c r="D12" s="252">
        <v>30000.0</v>
      </c>
      <c r="E12" s="255" t="s">
        <v>53</v>
      </c>
      <c r="F12" s="156"/>
      <c r="G12" s="155"/>
      <c r="H12" s="254"/>
      <c r="I12" s="156"/>
      <c r="J12" s="157"/>
      <c r="K12" s="157"/>
      <c r="L12" s="158"/>
    </row>
    <row r="13" ht="16.5" customHeight="1">
      <c r="A13" s="12"/>
      <c r="B13" s="251"/>
      <c r="C13" s="157"/>
      <c r="D13" s="252">
        <v>30000.0</v>
      </c>
      <c r="E13" s="255" t="s">
        <v>54</v>
      </c>
      <c r="F13" s="156"/>
      <c r="G13" s="155"/>
      <c r="H13" s="254"/>
      <c r="I13" s="156"/>
      <c r="J13" s="157"/>
      <c r="K13" s="157"/>
      <c r="L13" s="158"/>
    </row>
    <row r="14" ht="16.5" customHeight="1">
      <c r="A14" s="12"/>
      <c r="B14" s="251"/>
      <c r="C14" s="157"/>
      <c r="D14" s="252">
        <v>30000.0</v>
      </c>
      <c r="E14" s="255" t="s">
        <v>55</v>
      </c>
      <c r="F14" s="156"/>
      <c r="G14" s="155"/>
      <c r="H14" s="254"/>
      <c r="I14" s="156"/>
      <c r="J14" s="157"/>
      <c r="K14" s="157"/>
      <c r="L14" s="158"/>
    </row>
    <row r="15" ht="16.5" customHeight="1">
      <c r="A15" s="12"/>
      <c r="B15" s="251"/>
      <c r="C15" s="157"/>
      <c r="D15" s="252">
        <v>30000.0</v>
      </c>
      <c r="E15" s="255" t="s">
        <v>56</v>
      </c>
      <c r="F15" s="156"/>
      <c r="G15" s="155"/>
      <c r="H15" s="254"/>
      <c r="I15" s="156"/>
      <c r="J15" s="157"/>
      <c r="K15" s="157"/>
      <c r="L15" s="158"/>
    </row>
    <row r="16" ht="16.5" customHeight="1">
      <c r="A16" s="12"/>
      <c r="B16" s="251"/>
      <c r="C16" s="157"/>
      <c r="D16" s="252">
        <v>30000.0</v>
      </c>
      <c r="E16" s="255" t="s">
        <v>57</v>
      </c>
      <c r="F16" s="156"/>
      <c r="G16" s="155"/>
      <c r="H16" s="254"/>
      <c r="I16" s="156"/>
      <c r="J16" s="157"/>
      <c r="K16" s="157"/>
      <c r="L16" s="158"/>
    </row>
    <row r="17" ht="16.5" customHeight="1">
      <c r="A17" s="12"/>
      <c r="B17" s="251"/>
      <c r="C17" s="157"/>
      <c r="D17" s="252">
        <v>30000.0</v>
      </c>
      <c r="E17" s="255" t="s">
        <v>58</v>
      </c>
      <c r="F17" s="204"/>
      <c r="G17" s="155"/>
      <c r="H17" s="254"/>
      <c r="I17" s="156"/>
      <c r="J17" s="157"/>
      <c r="K17" s="157"/>
      <c r="L17" s="158"/>
    </row>
    <row r="18" ht="16.5" customHeight="1">
      <c r="A18" s="12"/>
      <c r="B18" s="256"/>
      <c r="C18" s="205"/>
      <c r="D18" s="257">
        <v>30000.0</v>
      </c>
      <c r="E18" s="258" t="s">
        <v>59</v>
      </c>
      <c r="F18" s="259" t="s">
        <v>60</v>
      </c>
      <c r="G18" s="201"/>
      <c r="H18" s="260"/>
      <c r="I18" s="202"/>
      <c r="J18" s="205"/>
      <c r="K18" s="205"/>
      <c r="L18" s="206"/>
    </row>
    <row r="19" ht="16.5" customHeight="1">
      <c r="A19" s="12"/>
      <c r="B19" s="240">
        <v>27.0</v>
      </c>
      <c r="C19" s="241" t="s">
        <v>1</v>
      </c>
      <c r="D19" s="261">
        <v>30000.0</v>
      </c>
      <c r="E19" s="262" t="s">
        <v>61</v>
      </c>
      <c r="F19" s="244" t="s">
        <v>48</v>
      </c>
      <c r="G19" s="263">
        <v>10000.0</v>
      </c>
      <c r="H19" s="264" t="s">
        <v>23</v>
      </c>
      <c r="I19" s="118" t="s">
        <v>62</v>
      </c>
      <c r="J19" s="248">
        <f>SUM(D19:E28)+J5-SUM(G19:G29)</f>
        <v>1550000</v>
      </c>
      <c r="K19" s="249">
        <v>430000.0</v>
      </c>
      <c r="L19" s="250">
        <f>J19-K19</f>
        <v>1120000</v>
      </c>
    </row>
    <row r="20" ht="16.5" customHeight="1">
      <c r="A20" s="12"/>
      <c r="B20" s="251"/>
      <c r="C20" s="157"/>
      <c r="D20" s="265"/>
      <c r="E20" s="266"/>
      <c r="F20" s="156"/>
      <c r="G20" s="267">
        <v>10000.0</v>
      </c>
      <c r="H20" s="268" t="s">
        <v>55</v>
      </c>
      <c r="I20" s="269" t="s">
        <v>62</v>
      </c>
      <c r="J20" s="157"/>
      <c r="K20" s="157"/>
      <c r="L20" s="158"/>
    </row>
    <row r="21" ht="16.5" customHeight="1">
      <c r="A21" s="12"/>
      <c r="B21" s="251"/>
      <c r="C21" s="157"/>
      <c r="D21" s="270">
        <v>30000.0</v>
      </c>
      <c r="E21" s="271" t="s">
        <v>63</v>
      </c>
      <c r="F21" s="156"/>
      <c r="G21" s="272">
        <v>10000.0</v>
      </c>
      <c r="H21" s="273" t="s">
        <v>53</v>
      </c>
      <c r="I21" s="61" t="s">
        <v>62</v>
      </c>
      <c r="J21" s="157"/>
      <c r="K21" s="157"/>
      <c r="L21" s="158"/>
    </row>
    <row r="22" ht="16.5" customHeight="1">
      <c r="A22" s="12"/>
      <c r="B22" s="251"/>
      <c r="C22" s="157"/>
      <c r="D22" s="274"/>
      <c r="E22" s="275"/>
      <c r="F22" s="156"/>
      <c r="G22" s="276">
        <v>10000.0</v>
      </c>
      <c r="H22" s="277" t="s">
        <v>64</v>
      </c>
      <c r="I22" s="91" t="s">
        <v>62</v>
      </c>
      <c r="J22" s="157"/>
      <c r="K22" s="157"/>
      <c r="L22" s="158"/>
    </row>
    <row r="23" ht="16.5" customHeight="1">
      <c r="A23" s="12"/>
      <c r="B23" s="251"/>
      <c r="C23" s="157"/>
      <c r="D23" s="278">
        <v>30000.0</v>
      </c>
      <c r="E23" s="279" t="s">
        <v>64</v>
      </c>
      <c r="F23" s="156"/>
      <c r="G23" s="267">
        <v>10000.0</v>
      </c>
      <c r="H23" s="268" t="s">
        <v>52</v>
      </c>
      <c r="I23" s="269" t="s">
        <v>62</v>
      </c>
      <c r="J23" s="157"/>
      <c r="K23" s="157"/>
      <c r="L23" s="158"/>
    </row>
    <row r="24" ht="16.5" customHeight="1">
      <c r="A24" s="12"/>
      <c r="B24" s="251"/>
      <c r="C24" s="157"/>
      <c r="D24" s="274"/>
      <c r="E24" s="275"/>
      <c r="F24" s="156"/>
      <c r="G24" s="263">
        <v>10000.0</v>
      </c>
      <c r="H24" s="264" t="s">
        <v>57</v>
      </c>
      <c r="I24" s="118" t="s">
        <v>62</v>
      </c>
      <c r="J24" s="157"/>
      <c r="K24" s="157"/>
      <c r="L24" s="158"/>
    </row>
    <row r="25" ht="16.5" customHeight="1">
      <c r="A25" s="12"/>
      <c r="B25" s="251"/>
      <c r="C25" s="157"/>
      <c r="D25" s="278">
        <v>30000.0</v>
      </c>
      <c r="E25" s="279" t="s">
        <v>65</v>
      </c>
      <c r="F25" s="156"/>
      <c r="G25" s="267">
        <v>10000.0</v>
      </c>
      <c r="H25" s="268" t="s">
        <v>66</v>
      </c>
      <c r="I25" s="269" t="s">
        <v>62</v>
      </c>
      <c r="J25" s="157"/>
      <c r="K25" s="157"/>
      <c r="L25" s="158"/>
    </row>
    <row r="26" ht="16.5" customHeight="1">
      <c r="A26" s="12"/>
      <c r="B26" s="251"/>
      <c r="C26" s="157"/>
      <c r="D26" s="274"/>
      <c r="E26" s="275"/>
      <c r="F26" s="204"/>
      <c r="G26" s="263">
        <v>10000.0</v>
      </c>
      <c r="H26" s="264" t="s">
        <v>51</v>
      </c>
      <c r="I26" s="118" t="s">
        <v>62</v>
      </c>
      <c r="J26" s="157"/>
      <c r="K26" s="157"/>
      <c r="L26" s="158"/>
    </row>
    <row r="27" ht="16.5" customHeight="1">
      <c r="A27" s="12"/>
      <c r="B27" s="251"/>
      <c r="C27" s="157"/>
      <c r="D27" s="278">
        <v>30000.0</v>
      </c>
      <c r="E27" s="279" t="s">
        <v>67</v>
      </c>
      <c r="F27" s="280" t="s">
        <v>60</v>
      </c>
      <c r="G27" s="276">
        <v>10000.0</v>
      </c>
      <c r="H27" s="277" t="s">
        <v>68</v>
      </c>
      <c r="I27" s="91" t="s">
        <v>62</v>
      </c>
      <c r="J27" s="157"/>
      <c r="K27" s="157"/>
      <c r="L27" s="158"/>
    </row>
    <row r="28" ht="16.5" customHeight="1">
      <c r="A28" s="12"/>
      <c r="B28" s="251"/>
      <c r="C28" s="157"/>
      <c r="D28" s="281"/>
      <c r="E28" s="282"/>
      <c r="F28" s="156"/>
      <c r="G28" s="276">
        <v>10000.0</v>
      </c>
      <c r="H28" s="277" t="s">
        <v>44</v>
      </c>
      <c r="I28" s="91" t="s">
        <v>62</v>
      </c>
      <c r="J28" s="157"/>
      <c r="K28" s="157"/>
      <c r="L28" s="158"/>
    </row>
    <row r="29" ht="16.5" customHeight="1">
      <c r="A29" s="12"/>
      <c r="B29" s="256"/>
      <c r="C29" s="205"/>
      <c r="D29" s="283"/>
      <c r="E29" s="284"/>
      <c r="F29" s="202"/>
      <c r="G29" s="285">
        <v>10000.0</v>
      </c>
      <c r="H29" s="286" t="s">
        <v>69</v>
      </c>
      <c r="I29" s="287" t="s">
        <v>70</v>
      </c>
      <c r="J29" s="205"/>
      <c r="K29" s="205"/>
      <c r="L29" s="206"/>
    </row>
    <row r="30" ht="16.5" customHeight="1">
      <c r="A30" s="12"/>
      <c r="B30" s="288">
        <v>28.0</v>
      </c>
      <c r="C30" s="289" t="s">
        <v>0</v>
      </c>
      <c r="D30" s="290">
        <v>30000.0</v>
      </c>
      <c r="E30" s="291" t="s">
        <v>71</v>
      </c>
      <c r="F30" s="292" t="s">
        <v>48</v>
      </c>
      <c r="G30" s="293">
        <v>250000.0</v>
      </c>
      <c r="H30" s="199" t="s">
        <v>72</v>
      </c>
      <c r="I30" s="200" t="s">
        <v>73</v>
      </c>
      <c r="J30" s="152">
        <f>J19+SUM(D30:E33)-G30</f>
        <v>1420000</v>
      </c>
      <c r="K30" s="153">
        <v>470000.0</v>
      </c>
      <c r="L30" s="154">
        <f>J30-K30</f>
        <v>950000</v>
      </c>
    </row>
    <row r="31" ht="16.5" customHeight="1">
      <c r="A31" s="12"/>
      <c r="B31" s="157"/>
      <c r="C31" s="157"/>
      <c r="D31" s="294">
        <v>30000.0</v>
      </c>
      <c r="E31" s="295" t="s">
        <v>74</v>
      </c>
      <c r="F31" s="296" t="s">
        <v>60</v>
      </c>
      <c r="G31" s="155"/>
      <c r="H31" s="254"/>
      <c r="I31" s="156"/>
      <c r="J31" s="157"/>
      <c r="K31" s="157"/>
      <c r="L31" s="158"/>
    </row>
    <row r="32" ht="16.5" customHeight="1">
      <c r="A32" s="12"/>
      <c r="B32" s="157"/>
      <c r="C32" s="157"/>
      <c r="D32" s="294">
        <v>30000.0</v>
      </c>
      <c r="E32" s="295" t="s">
        <v>75</v>
      </c>
      <c r="F32" s="156"/>
      <c r="G32" s="155"/>
      <c r="H32" s="254"/>
      <c r="I32" s="156"/>
      <c r="J32" s="157"/>
      <c r="K32" s="157"/>
      <c r="L32" s="158"/>
    </row>
    <row r="33" ht="16.5" customHeight="1">
      <c r="A33" s="12"/>
      <c r="B33" s="205"/>
      <c r="C33" s="205"/>
      <c r="D33" s="257">
        <v>30000.0</v>
      </c>
      <c r="E33" s="297" t="s">
        <v>76</v>
      </c>
      <c r="F33" s="202"/>
      <c r="G33" s="201"/>
      <c r="H33" s="260"/>
      <c r="I33" s="202"/>
      <c r="J33" s="205"/>
      <c r="K33" s="205"/>
      <c r="L33" s="206"/>
    </row>
    <row r="34" ht="16.5" customHeight="1">
      <c r="A34" s="12"/>
      <c r="B34" s="298">
        <v>29.0</v>
      </c>
      <c r="C34" s="299" t="s">
        <v>19</v>
      </c>
      <c r="D34" s="300">
        <v>30000.0</v>
      </c>
      <c r="E34" s="301" t="s">
        <v>77</v>
      </c>
      <c r="F34" s="128" t="s">
        <v>60</v>
      </c>
      <c r="G34" s="129">
        <v>30000.0</v>
      </c>
      <c r="H34" s="130" t="s">
        <v>77</v>
      </c>
      <c r="I34" s="131" t="s">
        <v>78</v>
      </c>
      <c r="J34" s="132">
        <f t="shared" ref="J34:K34" si="1">J30</f>
        <v>1420000</v>
      </c>
      <c r="K34" s="41">
        <f t="shared" si="1"/>
        <v>470000</v>
      </c>
      <c r="L34" s="133">
        <f>J34-K34</f>
        <v>950000</v>
      </c>
    </row>
    <row r="35" ht="16.5" customHeight="1">
      <c r="A35" s="12"/>
      <c r="B35" s="302">
        <v>30.0</v>
      </c>
      <c r="C35" s="303" t="s">
        <v>20</v>
      </c>
      <c r="D35" s="110"/>
      <c r="E35" s="114"/>
      <c r="F35" s="115"/>
      <c r="G35" s="116"/>
      <c r="H35" s="117"/>
      <c r="I35" s="118"/>
      <c r="J35" s="112"/>
      <c r="K35" s="63"/>
      <c r="L35" s="64"/>
    </row>
    <row r="36" ht="16.5" customHeight="1">
      <c r="A36" s="20"/>
      <c r="B36" s="304">
        <v>31.0</v>
      </c>
      <c r="C36" s="305" t="s">
        <v>21</v>
      </c>
      <c r="D36" s="146"/>
      <c r="E36" s="147"/>
      <c r="F36" s="148"/>
      <c r="G36" s="149">
        <v>30000.0</v>
      </c>
      <c r="H36" s="150" t="s">
        <v>59</v>
      </c>
      <c r="I36" s="151" t="s">
        <v>78</v>
      </c>
      <c r="J36" s="306">
        <f>J34-G36</f>
        <v>1390000</v>
      </c>
      <c r="K36" s="41">
        <f>460000</f>
        <v>460000</v>
      </c>
      <c r="L36" s="133">
        <f>J36-K36</f>
        <v>930000</v>
      </c>
    </row>
    <row r="37" ht="16.5" customHeight="1">
      <c r="A37" s="173" t="s">
        <v>79</v>
      </c>
      <c r="B37" s="5"/>
      <c r="C37" s="174"/>
      <c r="D37" s="175">
        <f>SUM(D5:D36)</f>
        <v>720000</v>
      </c>
      <c r="E37" s="5"/>
      <c r="F37" s="174"/>
      <c r="G37" s="176">
        <f>SUM(G5:G36)</f>
        <v>457600</v>
      </c>
      <c r="H37" s="5"/>
      <c r="I37" s="174"/>
      <c r="J37" s="177">
        <f t="shared" ref="J37:L37" si="2">J36</f>
        <v>1390000</v>
      </c>
      <c r="K37" s="9">
        <f t="shared" si="2"/>
        <v>460000</v>
      </c>
      <c r="L37" s="179">
        <f t="shared" si="2"/>
        <v>930000</v>
      </c>
    </row>
    <row r="38" ht="16.5" customHeight="1">
      <c r="A38" s="180"/>
      <c r="B38" s="15"/>
      <c r="C38" s="181"/>
      <c r="D38" s="180"/>
      <c r="E38" s="15"/>
      <c r="F38" s="181"/>
      <c r="G38" s="180"/>
      <c r="H38" s="15"/>
      <c r="I38" s="181"/>
      <c r="J38" s="18"/>
      <c r="K38" s="18"/>
      <c r="L38" s="18"/>
    </row>
    <row r="39" ht="16.5" customHeight="1">
      <c r="K39" s="307"/>
    </row>
    <row r="40" ht="16.5" customHeight="1">
      <c r="K40" s="307"/>
    </row>
    <row r="41" ht="16.5" customHeight="1">
      <c r="K41" s="307"/>
    </row>
    <row r="42" ht="16.5" customHeight="1">
      <c r="A42" s="1" t="s">
        <v>0</v>
      </c>
      <c r="B42" s="221" t="s">
        <v>1</v>
      </c>
      <c r="C42" s="222" t="s">
        <v>2</v>
      </c>
      <c r="D42" s="4" t="s">
        <v>3</v>
      </c>
      <c r="E42" s="5"/>
      <c r="F42" s="6"/>
      <c r="G42" s="7" t="s">
        <v>4</v>
      </c>
      <c r="H42" s="5"/>
      <c r="I42" s="6"/>
      <c r="J42" s="8" t="s">
        <v>5</v>
      </c>
      <c r="K42" s="9" t="s">
        <v>6</v>
      </c>
      <c r="L42" s="10" t="s">
        <v>7</v>
      </c>
    </row>
    <row r="43" ht="16.5" customHeight="1">
      <c r="A43" s="11"/>
      <c r="B43" s="223"/>
      <c r="C43" s="12"/>
      <c r="D43" s="14"/>
      <c r="E43" s="15"/>
      <c r="F43" s="16"/>
      <c r="G43" s="14"/>
      <c r="H43" s="15"/>
      <c r="I43" s="16"/>
      <c r="J43" s="17" t="s">
        <v>8</v>
      </c>
      <c r="K43" s="18"/>
      <c r="L43" s="19" t="s">
        <v>9</v>
      </c>
    </row>
    <row r="44" ht="16.5" customHeight="1">
      <c r="A44" s="18"/>
      <c r="B44" s="308"/>
      <c r="C44" s="20"/>
      <c r="D44" s="22" t="s">
        <v>10</v>
      </c>
      <c r="E44" s="23" t="s">
        <v>11</v>
      </c>
      <c r="F44" s="24" t="s">
        <v>12</v>
      </c>
      <c r="G44" s="25" t="s">
        <v>10</v>
      </c>
      <c r="H44" s="309" t="s">
        <v>11</v>
      </c>
      <c r="I44" s="27" t="s">
        <v>12</v>
      </c>
      <c r="J44" s="28" t="s">
        <v>10</v>
      </c>
      <c r="K44" s="29" t="s">
        <v>10</v>
      </c>
      <c r="L44" s="30" t="s">
        <v>10</v>
      </c>
    </row>
    <row r="45" ht="16.5" customHeight="1">
      <c r="A45" s="31">
        <v>9.0</v>
      </c>
      <c r="B45" s="310">
        <v>1.0</v>
      </c>
      <c r="C45" s="311" t="s">
        <v>13</v>
      </c>
      <c r="D45" s="312">
        <v>1390000.0</v>
      </c>
      <c r="E45" s="313" t="s">
        <v>14</v>
      </c>
      <c r="F45" s="314" t="s">
        <v>80</v>
      </c>
      <c r="G45" s="48"/>
      <c r="H45" s="315"/>
      <c r="I45" s="316"/>
      <c r="J45" s="40">
        <f>D45</f>
        <v>1390000</v>
      </c>
      <c r="K45" s="41">
        <v>460000.0</v>
      </c>
      <c r="L45" s="42">
        <f t="shared" ref="L45:L46" si="3">J45-K45</f>
        <v>930000</v>
      </c>
    </row>
    <row r="46" ht="16.5" customHeight="1">
      <c r="A46" s="12"/>
      <c r="B46" s="288">
        <v>2.0</v>
      </c>
      <c r="C46" s="289" t="s">
        <v>16</v>
      </c>
      <c r="D46" s="209"/>
      <c r="E46" s="210"/>
      <c r="F46" s="211"/>
      <c r="G46" s="212">
        <v>3000.0</v>
      </c>
      <c r="H46" s="213" t="s">
        <v>81</v>
      </c>
      <c r="I46" s="214" t="s">
        <v>82</v>
      </c>
      <c r="J46" s="152">
        <f>J45-SUM(G46:G48)</f>
        <v>1363100</v>
      </c>
      <c r="K46" s="153">
        <f>K45</f>
        <v>460000</v>
      </c>
      <c r="L46" s="154">
        <f t="shared" si="3"/>
        <v>903100</v>
      </c>
    </row>
    <row r="47" ht="16.5" customHeight="1">
      <c r="A47" s="12"/>
      <c r="B47" s="157"/>
      <c r="C47" s="157"/>
      <c r="D47" s="101"/>
      <c r="E47" s="102"/>
      <c r="F47" s="103"/>
      <c r="G47" s="104">
        <v>3900.0</v>
      </c>
      <c r="H47" s="246" t="s">
        <v>83</v>
      </c>
      <c r="I47" s="247" t="s">
        <v>84</v>
      </c>
      <c r="J47" s="157"/>
      <c r="K47" s="157"/>
      <c r="L47" s="158"/>
    </row>
    <row r="48" ht="16.5" customHeight="1">
      <c r="A48" s="12"/>
      <c r="B48" s="205"/>
      <c r="C48" s="205"/>
      <c r="D48" s="45"/>
      <c r="E48" s="46"/>
      <c r="F48" s="47"/>
      <c r="G48" s="317">
        <v>20000.0</v>
      </c>
      <c r="H48" s="260"/>
      <c r="I48" s="202"/>
      <c r="J48" s="205"/>
      <c r="K48" s="205"/>
      <c r="L48" s="206"/>
    </row>
    <row r="49" ht="16.5" customHeight="1">
      <c r="A49" s="12"/>
      <c r="B49" s="288">
        <v>3.0</v>
      </c>
      <c r="C49" s="289" t="s">
        <v>1</v>
      </c>
      <c r="D49" s="146"/>
      <c r="E49" s="147"/>
      <c r="F49" s="148"/>
      <c r="G49" s="149">
        <v>7000.0</v>
      </c>
      <c r="H49" s="150" t="s">
        <v>85</v>
      </c>
      <c r="I49" s="200" t="s">
        <v>86</v>
      </c>
      <c r="J49" s="152">
        <f>J46-SUM(G49:G50)</f>
        <v>1353100</v>
      </c>
      <c r="K49" s="153">
        <f>K46</f>
        <v>460000</v>
      </c>
      <c r="L49" s="154">
        <f>J49-K49</f>
        <v>893100</v>
      </c>
    </row>
    <row r="50" ht="16.5" customHeight="1">
      <c r="A50" s="12"/>
      <c r="B50" s="205"/>
      <c r="C50" s="205"/>
      <c r="D50" s="45"/>
      <c r="E50" s="46"/>
      <c r="F50" s="47"/>
      <c r="G50" s="317">
        <v>3000.0</v>
      </c>
      <c r="H50" s="49" t="s">
        <v>87</v>
      </c>
      <c r="I50" s="202"/>
      <c r="J50" s="205"/>
      <c r="K50" s="205"/>
      <c r="L50" s="206"/>
    </row>
    <row r="51" ht="16.5" customHeight="1">
      <c r="A51" s="12"/>
      <c r="B51" s="318">
        <v>4.0</v>
      </c>
      <c r="C51" s="319" t="s">
        <v>0</v>
      </c>
      <c r="D51" s="135"/>
      <c r="E51" s="136"/>
      <c r="F51" s="137"/>
      <c r="G51" s="138"/>
      <c r="H51" s="139"/>
      <c r="I51" s="140"/>
      <c r="J51" s="320"/>
      <c r="K51" s="80"/>
      <c r="L51" s="81"/>
    </row>
    <row r="52" ht="16.5" customHeight="1">
      <c r="A52" s="12"/>
      <c r="B52" s="321">
        <v>5.0</v>
      </c>
      <c r="C52" s="322" t="s">
        <v>19</v>
      </c>
      <c r="D52" s="56"/>
      <c r="E52" s="57"/>
      <c r="F52" s="58"/>
      <c r="G52" s="59"/>
      <c r="H52" s="60"/>
      <c r="I52" s="61"/>
      <c r="J52" s="198"/>
      <c r="K52" s="80"/>
      <c r="L52" s="81"/>
    </row>
    <row r="53" ht="16.5" customHeight="1">
      <c r="A53" s="12"/>
      <c r="B53" s="302">
        <v>6.0</v>
      </c>
      <c r="C53" s="323" t="s">
        <v>20</v>
      </c>
      <c r="D53" s="110"/>
      <c r="E53" s="114"/>
      <c r="F53" s="115"/>
      <c r="G53" s="116"/>
      <c r="H53" s="117"/>
      <c r="I53" s="118"/>
      <c r="J53" s="112"/>
      <c r="K53" s="74"/>
      <c r="L53" s="75"/>
    </row>
    <row r="54" ht="16.5" customHeight="1">
      <c r="A54" s="12"/>
      <c r="B54" s="324">
        <v>7.0</v>
      </c>
      <c r="C54" s="325" t="s">
        <v>21</v>
      </c>
      <c r="D54" s="101"/>
      <c r="E54" s="102"/>
      <c r="F54" s="103"/>
      <c r="G54" s="104"/>
      <c r="H54" s="105"/>
      <c r="I54" s="106"/>
      <c r="J54" s="326"/>
      <c r="K54" s="77"/>
      <c r="L54" s="78"/>
    </row>
    <row r="55" ht="16.5" customHeight="1">
      <c r="A55" s="12"/>
      <c r="B55" s="302">
        <v>8.0</v>
      </c>
      <c r="C55" s="327" t="s">
        <v>13</v>
      </c>
      <c r="D55" s="110"/>
      <c r="E55" s="114"/>
      <c r="F55" s="115"/>
      <c r="G55" s="116"/>
      <c r="H55" s="117"/>
      <c r="I55" s="118"/>
      <c r="J55" s="112"/>
      <c r="K55" s="63"/>
      <c r="L55" s="64"/>
    </row>
    <row r="56" ht="16.5" customHeight="1">
      <c r="A56" s="12"/>
      <c r="B56" s="328">
        <v>9.0</v>
      </c>
      <c r="C56" s="299" t="s">
        <v>16</v>
      </c>
      <c r="D56" s="126"/>
      <c r="E56" s="127"/>
      <c r="F56" s="128"/>
      <c r="G56" s="129">
        <v>24000.0</v>
      </c>
      <c r="H56" s="130" t="s">
        <v>88</v>
      </c>
      <c r="I56" s="131" t="s">
        <v>18</v>
      </c>
      <c r="J56" s="183">
        <f>J49-G56</f>
        <v>1329100</v>
      </c>
      <c r="K56" s="41">
        <f>K46</f>
        <v>460000</v>
      </c>
      <c r="L56" s="133">
        <f>J56-K56</f>
        <v>869100</v>
      </c>
    </row>
    <row r="57" ht="16.5" customHeight="1">
      <c r="A57" s="12"/>
      <c r="B57" s="318">
        <v>10.0</v>
      </c>
      <c r="C57" s="329" t="s">
        <v>1</v>
      </c>
      <c r="D57" s="135"/>
      <c r="E57" s="136"/>
      <c r="F57" s="137"/>
      <c r="G57" s="138"/>
      <c r="H57" s="139"/>
      <c r="I57" s="140"/>
      <c r="J57" s="108"/>
      <c r="K57" s="80"/>
      <c r="L57" s="81"/>
    </row>
    <row r="58" ht="16.5" customHeight="1">
      <c r="A58" s="12"/>
      <c r="B58" s="321">
        <v>11.0</v>
      </c>
      <c r="C58" s="319" t="s">
        <v>0</v>
      </c>
      <c r="D58" s="56"/>
      <c r="E58" s="57"/>
      <c r="F58" s="58"/>
      <c r="G58" s="59"/>
      <c r="H58" s="60"/>
      <c r="I58" s="61"/>
      <c r="J58" s="62"/>
      <c r="K58" s="80"/>
      <c r="L58" s="81"/>
    </row>
    <row r="59" ht="16.5" customHeight="1">
      <c r="A59" s="12"/>
      <c r="B59" s="302">
        <v>12.0</v>
      </c>
      <c r="C59" s="322" t="s">
        <v>19</v>
      </c>
      <c r="D59" s="86"/>
      <c r="E59" s="87"/>
      <c r="F59" s="88"/>
      <c r="G59" s="89"/>
      <c r="H59" s="90"/>
      <c r="I59" s="91"/>
      <c r="J59" s="82"/>
      <c r="K59" s="74"/>
      <c r="L59" s="75"/>
    </row>
    <row r="60" ht="16.5" customHeight="1">
      <c r="A60" s="12"/>
      <c r="B60" s="328">
        <v>13.0</v>
      </c>
      <c r="C60" s="299" t="s">
        <v>20</v>
      </c>
      <c r="D60" s="126"/>
      <c r="E60" s="127"/>
      <c r="F60" s="128"/>
      <c r="G60" s="129">
        <v>231000.0</v>
      </c>
      <c r="H60" s="130" t="s">
        <v>89</v>
      </c>
      <c r="I60" s="131" t="s">
        <v>90</v>
      </c>
      <c r="J60" s="183">
        <f>J56-G60</f>
        <v>1098100</v>
      </c>
      <c r="K60" s="41">
        <f>K56</f>
        <v>460000</v>
      </c>
      <c r="L60" s="133">
        <f>J60-K60</f>
        <v>638100</v>
      </c>
    </row>
    <row r="61" ht="16.5" customHeight="1">
      <c r="A61" s="12"/>
      <c r="B61" s="318">
        <v>14.0</v>
      </c>
      <c r="C61" s="330" t="s">
        <v>21</v>
      </c>
      <c r="D61" s="135"/>
      <c r="E61" s="136"/>
      <c r="F61" s="137"/>
      <c r="G61" s="138"/>
      <c r="H61" s="139"/>
      <c r="I61" s="140"/>
      <c r="J61" s="108"/>
      <c r="K61" s="80"/>
      <c r="L61" s="81"/>
    </row>
    <row r="62" ht="16.5" customHeight="1">
      <c r="A62" s="12"/>
      <c r="B62" s="321">
        <v>15.0</v>
      </c>
      <c r="C62" s="330" t="s">
        <v>13</v>
      </c>
      <c r="D62" s="56"/>
      <c r="E62" s="57"/>
      <c r="F62" s="58"/>
      <c r="G62" s="59"/>
      <c r="H62" s="60"/>
      <c r="I62" s="61"/>
      <c r="J62" s="62"/>
      <c r="K62" s="80"/>
      <c r="L62" s="81"/>
    </row>
    <row r="63" ht="16.5" customHeight="1">
      <c r="A63" s="12"/>
      <c r="B63" s="331">
        <v>16.0</v>
      </c>
      <c r="C63" s="329" t="s">
        <v>16</v>
      </c>
      <c r="D63" s="67"/>
      <c r="E63" s="68"/>
      <c r="F63" s="69"/>
      <c r="G63" s="70"/>
      <c r="H63" s="71"/>
      <c r="I63" s="72"/>
      <c r="J63" s="82"/>
      <c r="K63" s="77"/>
      <c r="L63" s="78"/>
    </row>
    <row r="64" ht="16.5" customHeight="1">
      <c r="A64" s="12"/>
      <c r="B64" s="321">
        <v>17.0</v>
      </c>
      <c r="C64" s="332" t="s">
        <v>1</v>
      </c>
      <c r="D64" s="67"/>
      <c r="E64" s="68"/>
      <c r="F64" s="69"/>
      <c r="G64" s="70"/>
      <c r="H64" s="71"/>
      <c r="I64" s="72"/>
      <c r="J64" s="84"/>
      <c r="K64" s="77"/>
      <c r="L64" s="78"/>
    </row>
    <row r="65" ht="16.5" customHeight="1">
      <c r="A65" s="12"/>
      <c r="B65" s="331">
        <v>18.0</v>
      </c>
      <c r="C65" s="319" t="s">
        <v>0</v>
      </c>
      <c r="D65" s="56"/>
      <c r="E65" s="57"/>
      <c r="F65" s="58"/>
      <c r="G65" s="59"/>
      <c r="H65" s="60"/>
      <c r="I65" s="61"/>
      <c r="J65" s="82"/>
      <c r="K65" s="77"/>
      <c r="L65" s="78"/>
    </row>
    <row r="66" ht="16.5" customHeight="1">
      <c r="A66" s="12"/>
      <c r="B66" s="302">
        <v>19.0</v>
      </c>
      <c r="C66" s="322" t="s">
        <v>19</v>
      </c>
      <c r="D66" s="110"/>
      <c r="E66" s="87"/>
      <c r="F66" s="88"/>
      <c r="G66" s="89"/>
      <c r="H66" s="90"/>
      <c r="I66" s="91"/>
      <c r="J66" s="82"/>
      <c r="K66" s="74"/>
      <c r="L66" s="75"/>
    </row>
    <row r="67" ht="16.5" customHeight="1">
      <c r="A67" s="12"/>
      <c r="B67" s="333">
        <v>20.0</v>
      </c>
      <c r="C67" s="323" t="s">
        <v>20</v>
      </c>
      <c r="D67" s="93"/>
      <c r="E67" s="94"/>
      <c r="F67" s="95"/>
      <c r="G67" s="96"/>
      <c r="H67" s="97"/>
      <c r="I67" s="98"/>
      <c r="J67" s="73"/>
      <c r="K67" s="74"/>
      <c r="L67" s="75"/>
    </row>
    <row r="68" ht="16.5" customHeight="1">
      <c r="A68" s="12"/>
      <c r="B68" s="324">
        <v>21.0</v>
      </c>
      <c r="C68" s="325" t="s">
        <v>21</v>
      </c>
      <c r="D68" s="101"/>
      <c r="E68" s="102"/>
      <c r="F68" s="103"/>
      <c r="G68" s="104"/>
      <c r="H68" s="105"/>
      <c r="I68" s="106"/>
      <c r="J68" s="76"/>
      <c r="K68" s="77"/>
      <c r="L68" s="78"/>
    </row>
    <row r="69" ht="16.5" customHeight="1">
      <c r="A69" s="12"/>
      <c r="B69" s="321">
        <v>22.0</v>
      </c>
      <c r="C69" s="334" t="s">
        <v>13</v>
      </c>
      <c r="D69" s="110"/>
      <c r="E69" s="57"/>
      <c r="F69" s="58"/>
      <c r="G69" s="59"/>
      <c r="H69" s="60"/>
      <c r="I69" s="61"/>
      <c r="J69" s="79"/>
      <c r="K69" s="80"/>
      <c r="L69" s="81"/>
    </row>
    <row r="70" ht="16.5" customHeight="1">
      <c r="A70" s="12"/>
      <c r="B70" s="331">
        <v>23.0</v>
      </c>
      <c r="C70" s="329" t="s">
        <v>16</v>
      </c>
      <c r="D70" s="67"/>
      <c r="E70" s="68"/>
      <c r="F70" s="69"/>
      <c r="G70" s="70"/>
      <c r="H70" s="71"/>
      <c r="I70" s="72"/>
      <c r="J70" s="112"/>
      <c r="K70" s="77"/>
      <c r="L70" s="78"/>
    </row>
    <row r="71" ht="16.5" customHeight="1">
      <c r="A71" s="12"/>
      <c r="B71" s="335">
        <v>24.0</v>
      </c>
      <c r="C71" s="336" t="s">
        <v>1</v>
      </c>
      <c r="D71" s="56"/>
      <c r="E71" s="57"/>
      <c r="F71" s="58"/>
      <c r="G71" s="59"/>
      <c r="H71" s="60"/>
      <c r="I71" s="61"/>
      <c r="J71" s="82"/>
      <c r="K71" s="77"/>
      <c r="L71" s="78"/>
    </row>
    <row r="72" ht="16.5" customHeight="1">
      <c r="A72" s="12"/>
      <c r="B72" s="337">
        <v>25.0</v>
      </c>
      <c r="C72" s="319" t="s">
        <v>0</v>
      </c>
      <c r="D72" s="67"/>
      <c r="E72" s="68"/>
      <c r="F72" s="69"/>
      <c r="G72" s="70"/>
      <c r="H72" s="90"/>
      <c r="I72" s="72"/>
      <c r="J72" s="84"/>
      <c r="K72" s="77"/>
      <c r="L72" s="78"/>
    </row>
    <row r="73" ht="16.5" customHeight="1">
      <c r="A73" s="12"/>
      <c r="B73" s="335">
        <v>26.0</v>
      </c>
      <c r="C73" s="338" t="s">
        <v>19</v>
      </c>
      <c r="D73" s="86"/>
      <c r="E73" s="87"/>
      <c r="F73" s="88"/>
      <c r="G73" s="89"/>
      <c r="H73" s="90"/>
      <c r="I73" s="91"/>
      <c r="J73" s="82"/>
      <c r="K73" s="74"/>
      <c r="L73" s="75"/>
    </row>
    <row r="74" ht="16.5" customHeight="1">
      <c r="A74" s="12"/>
      <c r="B74" s="339">
        <v>27.0</v>
      </c>
      <c r="C74" s="334" t="s">
        <v>20</v>
      </c>
      <c r="D74" s="101"/>
      <c r="E74" s="102"/>
      <c r="F74" s="103"/>
      <c r="G74" s="104"/>
      <c r="H74" s="105"/>
      <c r="I74" s="106"/>
      <c r="J74" s="326"/>
      <c r="K74" s="77"/>
      <c r="L74" s="78"/>
    </row>
    <row r="75" ht="16.5" customHeight="1">
      <c r="A75" s="12"/>
      <c r="B75" s="340">
        <v>28.0</v>
      </c>
      <c r="C75" s="341" t="s">
        <v>21</v>
      </c>
      <c r="D75" s="93"/>
      <c r="E75" s="94"/>
      <c r="F75" s="95"/>
      <c r="G75" s="96"/>
      <c r="H75" s="97"/>
      <c r="I75" s="98"/>
      <c r="J75" s="342"/>
      <c r="K75" s="74"/>
      <c r="L75" s="75"/>
    </row>
    <row r="76" ht="16.5" customHeight="1">
      <c r="A76" s="12"/>
      <c r="B76" s="339">
        <v>29.0</v>
      </c>
      <c r="C76" s="334" t="s">
        <v>13</v>
      </c>
      <c r="D76" s="101"/>
      <c r="E76" s="102"/>
      <c r="F76" s="103"/>
      <c r="G76" s="104"/>
      <c r="H76" s="105"/>
      <c r="I76" s="106"/>
      <c r="J76" s="343"/>
      <c r="K76" s="77"/>
      <c r="L76" s="344"/>
    </row>
    <row r="77" ht="16.5" customHeight="1">
      <c r="A77" s="12"/>
      <c r="B77" s="318">
        <v>30.0</v>
      </c>
      <c r="C77" s="329" t="s">
        <v>1</v>
      </c>
      <c r="D77" s="56"/>
      <c r="E77" s="57"/>
      <c r="F77" s="58"/>
      <c r="G77" s="59"/>
      <c r="H77" s="60"/>
      <c r="I77" s="61"/>
      <c r="J77" s="198"/>
      <c r="K77" s="80"/>
      <c r="L77" s="81"/>
    </row>
    <row r="78" ht="16.5" customHeight="1">
      <c r="A78" s="20"/>
      <c r="B78" s="345">
        <v>31.0</v>
      </c>
      <c r="C78" s="303" t="s">
        <v>0</v>
      </c>
      <c r="D78" s="56"/>
      <c r="E78" s="57"/>
      <c r="F78" s="58"/>
      <c r="G78" s="59"/>
      <c r="H78" s="60"/>
      <c r="I78" s="61"/>
      <c r="J78" s="198"/>
      <c r="K78" s="219"/>
      <c r="L78" s="220"/>
    </row>
    <row r="79" ht="16.5" customHeight="1">
      <c r="A79" s="173" t="s">
        <v>79</v>
      </c>
      <c r="B79" s="5"/>
      <c r="C79" s="174"/>
      <c r="D79" s="175">
        <f>SUM(D45:D78)</f>
        <v>1390000</v>
      </c>
      <c r="E79" s="5"/>
      <c r="F79" s="174"/>
      <c r="G79" s="176">
        <f>SUM(G45:G78)</f>
        <v>291900</v>
      </c>
      <c r="H79" s="5"/>
      <c r="I79" s="174"/>
      <c r="J79" s="177">
        <f t="shared" ref="J79:L79" si="4">J60</f>
        <v>1098100</v>
      </c>
      <c r="K79" s="9">
        <f t="shared" si="4"/>
        <v>460000</v>
      </c>
      <c r="L79" s="179">
        <f t="shared" si="4"/>
        <v>638100</v>
      </c>
    </row>
    <row r="80" ht="16.5" customHeight="1">
      <c r="A80" s="180"/>
      <c r="B80" s="15"/>
      <c r="C80" s="181"/>
      <c r="D80" s="180"/>
      <c r="E80" s="15"/>
      <c r="F80" s="181"/>
      <c r="G80" s="180"/>
      <c r="H80" s="15"/>
      <c r="I80" s="181"/>
      <c r="J80" s="18"/>
      <c r="K80" s="18"/>
      <c r="L80" s="18"/>
    </row>
    <row r="81" ht="16.5" customHeight="1">
      <c r="K81" s="307"/>
    </row>
    <row r="82" ht="16.5" customHeight="1">
      <c r="K82" s="307"/>
    </row>
    <row r="83" ht="16.5" customHeight="1">
      <c r="K83" s="307"/>
    </row>
    <row r="84" ht="16.5" customHeight="1">
      <c r="K84" s="307"/>
    </row>
    <row r="85" ht="16.5" customHeight="1">
      <c r="K85" s="307"/>
    </row>
    <row r="86" ht="16.5" customHeight="1">
      <c r="K86" s="307"/>
    </row>
    <row r="87" ht="16.5" customHeight="1">
      <c r="K87" s="307"/>
    </row>
    <row r="88" ht="16.5" customHeight="1">
      <c r="K88" s="307"/>
    </row>
    <row r="89" ht="16.5" customHeight="1">
      <c r="K89" s="307"/>
    </row>
    <row r="90" ht="16.5" customHeight="1">
      <c r="K90" s="307"/>
    </row>
    <row r="91" ht="16.5" customHeight="1">
      <c r="K91" s="307"/>
    </row>
    <row r="92" ht="16.5" customHeight="1">
      <c r="K92" s="307"/>
    </row>
    <row r="93" ht="16.5" customHeight="1">
      <c r="K93" s="307"/>
    </row>
    <row r="94" ht="16.5" customHeight="1">
      <c r="K94" s="307"/>
    </row>
    <row r="95" ht="16.5" customHeight="1">
      <c r="K95" s="307"/>
    </row>
    <row r="96" ht="16.5" customHeight="1">
      <c r="K96" s="307"/>
    </row>
    <row r="97" ht="16.5" customHeight="1">
      <c r="K97" s="307"/>
    </row>
    <row r="98" ht="16.5" customHeight="1">
      <c r="K98" s="307"/>
    </row>
    <row r="99" ht="16.5" customHeight="1">
      <c r="K99" s="307"/>
    </row>
    <row r="100" ht="16.5" customHeight="1">
      <c r="K100" s="307"/>
    </row>
    <row r="101" ht="16.5" customHeight="1">
      <c r="K101" s="307"/>
    </row>
    <row r="102" ht="16.5" customHeight="1">
      <c r="K102" s="307"/>
    </row>
    <row r="103" ht="16.5" customHeight="1">
      <c r="K103" s="307"/>
    </row>
    <row r="104" ht="16.5" customHeight="1">
      <c r="K104" s="307"/>
    </row>
    <row r="105" ht="16.5" customHeight="1">
      <c r="K105" s="307"/>
    </row>
    <row r="106" ht="16.5" customHeight="1">
      <c r="K106" s="307"/>
    </row>
    <row r="107" ht="16.5" customHeight="1">
      <c r="K107" s="307"/>
    </row>
    <row r="108" ht="16.5" customHeight="1">
      <c r="K108" s="307"/>
    </row>
    <row r="109" ht="16.5" customHeight="1">
      <c r="K109" s="307"/>
    </row>
    <row r="110" ht="16.5" customHeight="1">
      <c r="K110" s="307"/>
    </row>
    <row r="111" ht="16.5" customHeight="1">
      <c r="K111" s="307"/>
    </row>
    <row r="112" ht="16.5" customHeight="1">
      <c r="K112" s="307"/>
    </row>
    <row r="113" ht="16.5" customHeight="1">
      <c r="K113" s="307"/>
    </row>
    <row r="114" ht="16.5" customHeight="1">
      <c r="K114" s="307"/>
    </row>
    <row r="115" ht="16.5" customHeight="1">
      <c r="K115" s="307"/>
    </row>
    <row r="116" ht="16.5" customHeight="1">
      <c r="K116" s="307"/>
    </row>
    <row r="117" ht="16.5" customHeight="1">
      <c r="K117" s="307"/>
    </row>
    <row r="118" ht="16.5" customHeight="1">
      <c r="K118" s="307"/>
    </row>
    <row r="119" ht="16.5" customHeight="1">
      <c r="K119" s="307"/>
    </row>
    <row r="120" ht="16.5" customHeight="1">
      <c r="K120" s="307"/>
    </row>
    <row r="121" ht="16.5" customHeight="1">
      <c r="K121" s="307"/>
    </row>
    <row r="122" ht="16.5" customHeight="1">
      <c r="K122" s="307"/>
    </row>
    <row r="123" ht="16.5" customHeight="1">
      <c r="K123" s="307"/>
    </row>
    <row r="124" ht="16.5" customHeight="1">
      <c r="K124" s="307"/>
    </row>
    <row r="125" ht="16.5" customHeight="1">
      <c r="K125" s="307"/>
    </row>
    <row r="126" ht="16.5" customHeight="1">
      <c r="K126" s="307"/>
    </row>
    <row r="127" ht="16.5" customHeight="1">
      <c r="K127" s="307"/>
    </row>
    <row r="128" ht="16.5" customHeight="1">
      <c r="K128" s="307"/>
    </row>
    <row r="129" ht="16.5" customHeight="1">
      <c r="K129" s="307"/>
    </row>
    <row r="130" ht="16.5" customHeight="1">
      <c r="K130" s="307"/>
    </row>
    <row r="131" ht="16.5" customHeight="1">
      <c r="K131" s="307"/>
    </row>
    <row r="132" ht="16.5" customHeight="1">
      <c r="K132" s="307"/>
    </row>
    <row r="133" ht="16.5" customHeight="1">
      <c r="K133" s="307"/>
    </row>
    <row r="134" ht="16.5" customHeight="1">
      <c r="K134" s="307"/>
    </row>
    <row r="135" ht="16.5" customHeight="1">
      <c r="K135" s="307"/>
    </row>
    <row r="136" ht="16.5" customHeight="1">
      <c r="K136" s="307"/>
    </row>
    <row r="137" ht="16.5" customHeight="1">
      <c r="K137" s="307"/>
    </row>
    <row r="138" ht="16.5" customHeight="1">
      <c r="K138" s="307"/>
    </row>
    <row r="139" ht="16.5" customHeight="1">
      <c r="K139" s="307"/>
    </row>
    <row r="140" ht="16.5" customHeight="1">
      <c r="K140" s="307"/>
    </row>
    <row r="141" ht="16.5" customHeight="1">
      <c r="K141" s="307"/>
    </row>
    <row r="142" ht="16.5" customHeight="1">
      <c r="K142" s="307"/>
    </row>
    <row r="143" ht="16.5" customHeight="1">
      <c r="K143" s="307"/>
    </row>
    <row r="144" ht="16.5" customHeight="1">
      <c r="K144" s="307"/>
    </row>
    <row r="145" ht="16.5" customHeight="1">
      <c r="K145" s="307"/>
    </row>
    <row r="146" ht="16.5" customHeight="1">
      <c r="K146" s="307"/>
    </row>
    <row r="147" ht="16.5" customHeight="1">
      <c r="K147" s="307"/>
    </row>
    <row r="148" ht="16.5" customHeight="1">
      <c r="K148" s="307"/>
    </row>
    <row r="149" ht="16.5" customHeight="1">
      <c r="K149" s="307"/>
    </row>
    <row r="150" ht="16.5" customHeight="1">
      <c r="K150" s="307"/>
    </row>
    <row r="151" ht="16.5" customHeight="1">
      <c r="K151" s="307"/>
    </row>
    <row r="152" ht="16.5" customHeight="1">
      <c r="K152" s="307"/>
    </row>
    <row r="153" ht="16.5" customHeight="1">
      <c r="K153" s="307"/>
    </row>
    <row r="154" ht="16.5" customHeight="1">
      <c r="K154" s="307"/>
    </row>
    <row r="155" ht="16.5" customHeight="1">
      <c r="K155" s="307"/>
    </row>
    <row r="156" ht="16.5" customHeight="1">
      <c r="K156" s="307"/>
    </row>
    <row r="157" ht="16.5" customHeight="1">
      <c r="K157" s="307"/>
    </row>
    <row r="158" ht="16.5" customHeight="1">
      <c r="B158" s="307"/>
      <c r="C158" s="307"/>
      <c r="D158" s="307"/>
      <c r="E158" s="307"/>
      <c r="F158" s="307"/>
      <c r="K158" s="307"/>
    </row>
    <row r="159" ht="16.5" customHeight="1">
      <c r="B159" s="307"/>
      <c r="C159" s="307"/>
      <c r="D159" s="307"/>
      <c r="E159" s="307"/>
      <c r="F159" s="307"/>
      <c r="K159" s="307"/>
    </row>
    <row r="160" ht="16.5" customHeight="1">
      <c r="B160" s="307"/>
      <c r="C160" s="307"/>
      <c r="D160" s="307"/>
      <c r="E160" s="307"/>
      <c r="F160" s="307"/>
      <c r="K160" s="307"/>
    </row>
    <row r="161" ht="16.5" customHeight="1">
      <c r="B161" s="307"/>
      <c r="C161" s="307"/>
      <c r="D161" s="307"/>
      <c r="E161" s="307"/>
      <c r="F161" s="307"/>
      <c r="K161" s="307"/>
    </row>
    <row r="162" ht="16.5" customHeight="1">
      <c r="B162" s="307"/>
      <c r="C162" s="307"/>
      <c r="D162" s="307"/>
      <c r="E162" s="307"/>
      <c r="F162" s="307"/>
      <c r="K162" s="307"/>
    </row>
    <row r="163" ht="16.5" customHeight="1">
      <c r="K163" s="307"/>
    </row>
    <row r="164" ht="16.5" customHeight="1">
      <c r="K164" s="307"/>
    </row>
    <row r="165" ht="16.5" customHeight="1">
      <c r="K165" s="307"/>
    </row>
    <row r="166" ht="16.5" customHeight="1">
      <c r="K166" s="307"/>
    </row>
    <row r="167" ht="16.5" customHeight="1">
      <c r="K167" s="307"/>
    </row>
    <row r="168" ht="16.5" customHeight="1">
      <c r="K168" s="307"/>
    </row>
    <row r="169" ht="16.5" customHeight="1">
      <c r="K169" s="307"/>
    </row>
    <row r="170" ht="16.5" customHeight="1">
      <c r="K170" s="307"/>
    </row>
    <row r="171" ht="16.5" customHeight="1">
      <c r="K171" s="307"/>
    </row>
    <row r="172" ht="16.5" customHeight="1">
      <c r="K172" s="307"/>
    </row>
    <row r="173" ht="16.5" customHeight="1">
      <c r="K173" s="307"/>
    </row>
    <row r="174" ht="16.5" customHeight="1">
      <c r="K174" s="307"/>
    </row>
    <row r="175" ht="16.5" customHeight="1">
      <c r="K175" s="307"/>
    </row>
    <row r="176" ht="16.5" customHeight="1">
      <c r="K176" s="307"/>
    </row>
    <row r="177" ht="16.5" customHeight="1">
      <c r="K177" s="307"/>
    </row>
    <row r="178" ht="16.5" customHeight="1">
      <c r="K178" s="307"/>
    </row>
    <row r="179" ht="16.5" customHeight="1">
      <c r="K179" s="307"/>
    </row>
    <row r="180" ht="16.5" customHeight="1">
      <c r="K180" s="307"/>
    </row>
    <row r="181" ht="16.5" customHeight="1">
      <c r="K181" s="307"/>
    </row>
    <row r="182" ht="16.5" customHeight="1">
      <c r="K182" s="307"/>
    </row>
    <row r="183" ht="16.5" customHeight="1">
      <c r="K183" s="307"/>
    </row>
    <row r="184" ht="16.5" customHeight="1">
      <c r="K184" s="307"/>
    </row>
    <row r="185" ht="16.5" customHeight="1">
      <c r="K185" s="307"/>
    </row>
    <row r="186" ht="16.5" customHeight="1">
      <c r="K186" s="307"/>
    </row>
    <row r="187" ht="16.5" customHeight="1">
      <c r="K187" s="307"/>
    </row>
    <row r="188" ht="16.5" customHeight="1">
      <c r="K188" s="307"/>
    </row>
    <row r="189" ht="16.5" customHeight="1">
      <c r="K189" s="307"/>
    </row>
    <row r="190" ht="16.5" customHeight="1">
      <c r="K190" s="307"/>
    </row>
    <row r="191" ht="16.5" customHeight="1">
      <c r="K191" s="307"/>
    </row>
    <row r="192" ht="16.5" customHeight="1">
      <c r="K192" s="307"/>
    </row>
    <row r="193" ht="16.5" customHeight="1">
      <c r="K193" s="307"/>
    </row>
    <row r="194" ht="16.5" customHeight="1">
      <c r="K194" s="307"/>
    </row>
    <row r="195" ht="16.5" customHeight="1">
      <c r="K195" s="307"/>
    </row>
    <row r="196" ht="16.5" customHeight="1">
      <c r="K196" s="307"/>
    </row>
    <row r="197" ht="16.5" customHeight="1">
      <c r="K197" s="307"/>
    </row>
    <row r="198" ht="16.5" customHeight="1">
      <c r="K198" s="307"/>
    </row>
    <row r="199" ht="16.5" customHeight="1">
      <c r="K199" s="307"/>
    </row>
    <row r="200" ht="16.5" customHeight="1">
      <c r="B200" s="307"/>
      <c r="C200" s="307"/>
      <c r="D200" s="307"/>
      <c r="E200" s="307"/>
      <c r="F200" s="307"/>
      <c r="K200" s="307"/>
    </row>
    <row r="201" ht="16.5" customHeight="1">
      <c r="B201" s="307"/>
      <c r="C201" s="307"/>
      <c r="D201" s="307"/>
      <c r="E201" s="307"/>
      <c r="F201" s="307"/>
      <c r="K201" s="307"/>
    </row>
    <row r="202" ht="16.5" customHeight="1">
      <c r="B202" s="307"/>
      <c r="C202" s="307"/>
      <c r="D202" s="307"/>
      <c r="E202" s="307"/>
      <c r="F202" s="307"/>
      <c r="K202" s="307"/>
    </row>
    <row r="203" ht="16.5" customHeight="1">
      <c r="B203" s="307"/>
      <c r="C203" s="307"/>
      <c r="D203" s="307"/>
      <c r="E203" s="307"/>
      <c r="F203" s="307"/>
      <c r="K203" s="307"/>
    </row>
    <row r="204" ht="16.5" customHeight="1">
      <c r="B204" s="307"/>
      <c r="C204" s="307"/>
      <c r="D204" s="307"/>
      <c r="E204" s="307"/>
      <c r="F204" s="307"/>
      <c r="K204" s="307"/>
    </row>
    <row r="205" ht="16.5" customHeight="1">
      <c r="B205" s="307"/>
      <c r="C205" s="307"/>
      <c r="D205" s="307"/>
      <c r="E205" s="307"/>
      <c r="F205" s="307"/>
      <c r="K205" s="307"/>
    </row>
    <row r="206" ht="16.5" customHeight="1">
      <c r="B206" s="307"/>
      <c r="C206" s="307"/>
      <c r="D206" s="307"/>
      <c r="E206" s="307"/>
      <c r="F206" s="307"/>
      <c r="K206" s="307"/>
    </row>
    <row r="207" ht="16.5" customHeight="1">
      <c r="B207" s="307"/>
      <c r="C207" s="307"/>
      <c r="D207" s="307"/>
      <c r="E207" s="307"/>
      <c r="F207" s="307"/>
      <c r="K207" s="307"/>
    </row>
    <row r="208" ht="16.5" customHeight="1">
      <c r="B208" s="307"/>
      <c r="C208" s="307"/>
      <c r="D208" s="307"/>
      <c r="E208" s="307"/>
      <c r="F208" s="307"/>
      <c r="K208" s="307"/>
    </row>
    <row r="209" ht="16.5" customHeight="1">
      <c r="B209" s="307"/>
      <c r="C209" s="307"/>
      <c r="D209" s="307"/>
      <c r="E209" s="307"/>
      <c r="F209" s="307"/>
      <c r="K209" s="307"/>
    </row>
    <row r="210" ht="16.5" customHeight="1">
      <c r="B210" s="307"/>
      <c r="C210" s="307"/>
      <c r="D210" s="307"/>
      <c r="E210" s="307"/>
      <c r="F210" s="307"/>
      <c r="K210" s="307"/>
    </row>
    <row r="211" ht="16.5" customHeight="1">
      <c r="B211" s="307"/>
      <c r="C211" s="307"/>
      <c r="D211" s="307"/>
      <c r="E211" s="307"/>
      <c r="F211" s="307"/>
      <c r="K211" s="307"/>
    </row>
    <row r="212" ht="16.5" customHeight="1">
      <c r="B212" s="307"/>
      <c r="C212" s="307"/>
      <c r="D212" s="307"/>
      <c r="E212" s="307"/>
      <c r="F212" s="307"/>
      <c r="K212" s="307"/>
    </row>
    <row r="213" ht="16.5" customHeight="1">
      <c r="B213" s="307"/>
      <c r="C213" s="307"/>
      <c r="D213" s="307"/>
      <c r="E213" s="307"/>
      <c r="F213" s="307"/>
      <c r="K213" s="307"/>
    </row>
    <row r="214" ht="16.5" customHeight="1">
      <c r="B214" s="307"/>
      <c r="C214" s="307"/>
      <c r="D214" s="307"/>
      <c r="E214" s="307"/>
      <c r="F214" s="307"/>
      <c r="K214" s="307"/>
    </row>
    <row r="215" ht="16.5" customHeight="1">
      <c r="B215" s="307"/>
      <c r="C215" s="307"/>
      <c r="D215" s="307"/>
      <c r="E215" s="307"/>
      <c r="F215" s="307"/>
      <c r="K215" s="307"/>
    </row>
    <row r="216" ht="16.5" customHeight="1">
      <c r="B216" s="307"/>
      <c r="C216" s="307"/>
      <c r="D216" s="307"/>
      <c r="E216" s="307"/>
      <c r="F216" s="307"/>
      <c r="K216" s="307"/>
    </row>
    <row r="217" ht="16.5" customHeight="1">
      <c r="B217" s="307"/>
      <c r="C217" s="307"/>
      <c r="D217" s="307"/>
      <c r="E217" s="307"/>
      <c r="F217" s="307"/>
      <c r="K217" s="307"/>
    </row>
    <row r="218" ht="16.5" customHeight="1">
      <c r="B218" s="307"/>
      <c r="C218" s="307"/>
      <c r="D218" s="307"/>
      <c r="E218" s="307"/>
      <c r="F218" s="307"/>
      <c r="K218" s="307"/>
    </row>
    <row r="219" ht="16.5" customHeight="1">
      <c r="B219" s="307"/>
      <c r="C219" s="307"/>
      <c r="D219" s="307"/>
      <c r="E219" s="307"/>
      <c r="F219" s="307"/>
      <c r="K219" s="307"/>
    </row>
    <row r="220" ht="16.5" customHeight="1">
      <c r="B220" s="307"/>
      <c r="C220" s="307"/>
      <c r="D220" s="307"/>
      <c r="E220" s="307"/>
      <c r="F220" s="307"/>
      <c r="K220" s="307"/>
    </row>
    <row r="221" ht="16.5" customHeight="1">
      <c r="B221" s="307"/>
      <c r="C221" s="307"/>
      <c r="D221" s="307"/>
      <c r="E221" s="307"/>
      <c r="F221" s="307"/>
      <c r="K221" s="307"/>
    </row>
    <row r="222" ht="16.5" customHeight="1">
      <c r="B222" s="307"/>
      <c r="C222" s="307"/>
      <c r="D222" s="307"/>
      <c r="E222" s="307"/>
      <c r="F222" s="307"/>
      <c r="K222" s="307"/>
    </row>
    <row r="223" ht="16.5" customHeight="1">
      <c r="B223" s="307"/>
      <c r="C223" s="307"/>
      <c r="D223" s="307"/>
      <c r="E223" s="307"/>
      <c r="F223" s="307"/>
      <c r="K223" s="307"/>
    </row>
    <row r="224" ht="16.5" customHeight="1">
      <c r="B224" s="307"/>
      <c r="C224" s="307"/>
      <c r="D224" s="307"/>
      <c r="E224" s="307"/>
      <c r="F224" s="307"/>
      <c r="K224" s="307"/>
    </row>
    <row r="225" ht="16.5" customHeight="1">
      <c r="B225" s="307"/>
      <c r="C225" s="307"/>
      <c r="D225" s="307"/>
      <c r="E225" s="307"/>
      <c r="F225" s="307"/>
      <c r="K225" s="307"/>
    </row>
    <row r="226" ht="16.5" customHeight="1">
      <c r="B226" s="307"/>
      <c r="C226" s="307"/>
      <c r="D226" s="307"/>
      <c r="E226" s="307"/>
      <c r="F226" s="307"/>
      <c r="K226" s="307"/>
    </row>
    <row r="227" ht="16.5" customHeight="1">
      <c r="B227" s="307"/>
      <c r="C227" s="307"/>
      <c r="D227" s="307"/>
      <c r="E227" s="307"/>
      <c r="F227" s="307"/>
      <c r="K227" s="307"/>
    </row>
    <row r="228" ht="16.5" customHeight="1">
      <c r="B228" s="307"/>
      <c r="C228" s="307"/>
      <c r="D228" s="307"/>
      <c r="E228" s="307"/>
      <c r="F228" s="307"/>
      <c r="K228" s="307"/>
    </row>
    <row r="229" ht="16.5" customHeight="1">
      <c r="B229" s="307"/>
      <c r="C229" s="307"/>
      <c r="D229" s="307"/>
      <c r="E229" s="307"/>
      <c r="F229" s="307"/>
      <c r="K229" s="307"/>
    </row>
    <row r="230" ht="16.5" customHeight="1">
      <c r="B230" s="307"/>
      <c r="C230" s="307"/>
      <c r="D230" s="307"/>
      <c r="E230" s="307"/>
      <c r="F230" s="307"/>
      <c r="K230" s="307"/>
    </row>
    <row r="231" ht="16.5" customHeight="1">
      <c r="B231" s="307"/>
      <c r="C231" s="307"/>
      <c r="D231" s="307"/>
      <c r="E231" s="307"/>
      <c r="F231" s="307"/>
      <c r="K231" s="307"/>
    </row>
    <row r="232" ht="16.5" customHeight="1">
      <c r="B232" s="307"/>
      <c r="C232" s="307"/>
      <c r="D232" s="307"/>
      <c r="E232" s="307"/>
      <c r="F232" s="307"/>
      <c r="K232" s="307"/>
    </row>
    <row r="233" ht="16.5" customHeight="1">
      <c r="B233" s="307"/>
      <c r="C233" s="307"/>
      <c r="D233" s="307"/>
      <c r="E233" s="307"/>
      <c r="F233" s="307"/>
      <c r="K233" s="307"/>
    </row>
    <row r="234" ht="16.5" customHeight="1">
      <c r="B234" s="307"/>
      <c r="C234" s="307"/>
      <c r="D234" s="307"/>
      <c r="E234" s="307"/>
      <c r="F234" s="307"/>
      <c r="K234" s="307"/>
    </row>
    <row r="235" ht="16.5" customHeight="1">
      <c r="B235" s="307"/>
      <c r="C235" s="307"/>
      <c r="D235" s="307"/>
      <c r="E235" s="307"/>
      <c r="F235" s="307"/>
      <c r="K235" s="307"/>
    </row>
    <row r="236" ht="16.5" customHeight="1">
      <c r="B236" s="307"/>
      <c r="C236" s="307"/>
      <c r="D236" s="307"/>
      <c r="E236" s="307"/>
      <c r="F236" s="307"/>
      <c r="K236" s="307"/>
    </row>
    <row r="237" ht="16.5" customHeight="1">
      <c r="B237" s="307"/>
      <c r="C237" s="307"/>
      <c r="D237" s="307"/>
      <c r="E237" s="307"/>
      <c r="F237" s="307"/>
      <c r="K237" s="307"/>
    </row>
    <row r="238" ht="16.5" customHeight="1">
      <c r="B238" s="307"/>
      <c r="C238" s="307"/>
      <c r="D238" s="307"/>
      <c r="E238" s="307"/>
      <c r="F238" s="307"/>
      <c r="K238" s="307"/>
    </row>
    <row r="239" ht="16.5" customHeight="1">
      <c r="B239" s="307"/>
      <c r="C239" s="307"/>
      <c r="D239" s="307"/>
      <c r="E239" s="307"/>
      <c r="F239" s="307"/>
      <c r="K239" s="307"/>
    </row>
    <row r="240" ht="16.5" customHeight="1">
      <c r="B240" s="307"/>
      <c r="C240" s="307"/>
      <c r="D240" s="307"/>
      <c r="E240" s="307"/>
      <c r="F240" s="307"/>
      <c r="K240" s="307"/>
    </row>
    <row r="241" ht="16.5" customHeight="1">
      <c r="B241" s="307"/>
      <c r="C241" s="307"/>
      <c r="D241" s="307"/>
      <c r="E241" s="307"/>
      <c r="F241" s="307"/>
      <c r="K241" s="307"/>
    </row>
    <row r="242" ht="16.5" customHeight="1">
      <c r="B242" s="307"/>
      <c r="C242" s="307"/>
      <c r="D242" s="307"/>
      <c r="E242" s="307"/>
      <c r="F242" s="307"/>
      <c r="K242" s="307"/>
    </row>
    <row r="243" ht="16.5" customHeight="1">
      <c r="B243" s="307"/>
      <c r="C243" s="307"/>
      <c r="D243" s="307"/>
      <c r="E243" s="307"/>
      <c r="F243" s="307"/>
      <c r="K243" s="307"/>
    </row>
    <row r="244" ht="16.5" customHeight="1">
      <c r="B244" s="307"/>
      <c r="C244" s="307"/>
      <c r="D244" s="307"/>
      <c r="E244" s="307"/>
      <c r="F244" s="307"/>
      <c r="K244" s="307"/>
    </row>
    <row r="245" ht="16.5" customHeight="1">
      <c r="B245" s="307"/>
      <c r="C245" s="307"/>
      <c r="D245" s="307"/>
      <c r="E245" s="307"/>
      <c r="F245" s="307"/>
      <c r="K245" s="307"/>
    </row>
    <row r="246" ht="16.5" customHeight="1">
      <c r="B246" s="307"/>
      <c r="C246" s="307"/>
      <c r="D246" s="307"/>
      <c r="E246" s="307"/>
      <c r="F246" s="307"/>
      <c r="K246" s="307"/>
    </row>
    <row r="247" ht="16.5" customHeight="1">
      <c r="B247" s="307"/>
      <c r="C247" s="307"/>
      <c r="D247" s="307"/>
      <c r="E247" s="307"/>
      <c r="F247" s="307"/>
      <c r="K247" s="307"/>
    </row>
    <row r="248" ht="16.5" customHeight="1">
      <c r="B248" s="307"/>
      <c r="C248" s="307"/>
      <c r="D248" s="307"/>
      <c r="E248" s="307"/>
      <c r="F248" s="307"/>
      <c r="K248" s="307"/>
    </row>
    <row r="249" ht="16.5" customHeight="1">
      <c r="B249" s="307"/>
      <c r="C249" s="307"/>
      <c r="D249" s="307"/>
      <c r="E249" s="307"/>
      <c r="F249" s="307"/>
      <c r="K249" s="307"/>
    </row>
    <row r="250" ht="16.5" customHeight="1">
      <c r="B250" s="307"/>
      <c r="C250" s="307"/>
      <c r="D250" s="307"/>
      <c r="E250" s="307"/>
      <c r="F250" s="307"/>
      <c r="K250" s="307"/>
    </row>
    <row r="251" ht="16.5" customHeight="1">
      <c r="B251" s="307"/>
      <c r="C251" s="307"/>
      <c r="D251" s="307"/>
      <c r="E251" s="307"/>
      <c r="F251" s="307"/>
      <c r="K251" s="307"/>
    </row>
    <row r="252" ht="16.5" customHeight="1">
      <c r="B252" s="307"/>
      <c r="C252" s="307"/>
      <c r="D252" s="307"/>
      <c r="E252" s="307"/>
      <c r="F252" s="307"/>
      <c r="K252" s="307"/>
    </row>
    <row r="253" ht="16.5" customHeight="1">
      <c r="B253" s="307"/>
      <c r="C253" s="307"/>
      <c r="D253" s="307"/>
      <c r="E253" s="307"/>
      <c r="F253" s="307"/>
      <c r="K253" s="307"/>
    </row>
    <row r="254" ht="16.5" customHeight="1">
      <c r="B254" s="307"/>
      <c r="C254" s="307"/>
      <c r="D254" s="307"/>
      <c r="E254" s="307"/>
      <c r="F254" s="307"/>
      <c r="K254" s="307"/>
    </row>
    <row r="255" ht="16.5" customHeight="1">
      <c r="B255" s="307"/>
      <c r="C255" s="307"/>
      <c r="D255" s="307"/>
      <c r="E255" s="307"/>
      <c r="F255" s="307"/>
      <c r="K255" s="307"/>
    </row>
    <row r="256" ht="16.5" customHeight="1">
      <c r="B256" s="307"/>
      <c r="C256" s="307"/>
      <c r="D256" s="307"/>
      <c r="E256" s="307"/>
      <c r="F256" s="307"/>
      <c r="K256" s="307"/>
    </row>
    <row r="257" ht="16.5" customHeight="1">
      <c r="B257" s="307"/>
      <c r="C257" s="307"/>
      <c r="D257" s="307"/>
      <c r="E257" s="307"/>
      <c r="F257" s="307"/>
      <c r="K257" s="307"/>
    </row>
    <row r="258" ht="16.5" customHeight="1">
      <c r="B258" s="307"/>
      <c r="C258" s="307"/>
      <c r="D258" s="307"/>
      <c r="E258" s="307"/>
      <c r="F258" s="307"/>
      <c r="K258" s="307"/>
    </row>
    <row r="259" ht="16.5" customHeight="1">
      <c r="B259" s="307"/>
      <c r="C259" s="307"/>
      <c r="D259" s="307"/>
      <c r="E259" s="307"/>
      <c r="F259" s="307"/>
      <c r="K259" s="307"/>
    </row>
    <row r="260" ht="16.5" customHeight="1">
      <c r="B260" s="307"/>
      <c r="C260" s="307"/>
      <c r="D260" s="307"/>
      <c r="E260" s="307"/>
      <c r="F260" s="307"/>
      <c r="K260" s="307"/>
    </row>
    <row r="261" ht="16.5" customHeight="1">
      <c r="B261" s="307"/>
      <c r="C261" s="307"/>
      <c r="D261" s="307"/>
      <c r="E261" s="307"/>
      <c r="F261" s="307"/>
      <c r="K261" s="307"/>
    </row>
    <row r="262" ht="16.5" customHeight="1">
      <c r="B262" s="307"/>
      <c r="C262" s="307"/>
      <c r="D262" s="307"/>
      <c r="E262" s="307"/>
      <c r="F262" s="307"/>
      <c r="K262" s="307"/>
    </row>
    <row r="263" ht="16.5" customHeight="1">
      <c r="B263" s="307"/>
      <c r="C263" s="307"/>
      <c r="D263" s="307"/>
      <c r="E263" s="307"/>
      <c r="F263" s="307"/>
      <c r="K263" s="307"/>
    </row>
    <row r="264" ht="16.5" customHeight="1">
      <c r="B264" s="307"/>
      <c r="C264" s="307"/>
      <c r="D264" s="307"/>
      <c r="E264" s="307"/>
      <c r="F264" s="307"/>
      <c r="K264" s="307"/>
    </row>
    <row r="265" ht="16.5" customHeight="1">
      <c r="B265" s="307"/>
      <c r="C265" s="307"/>
      <c r="D265" s="307"/>
      <c r="E265" s="307"/>
      <c r="F265" s="307"/>
      <c r="K265" s="307"/>
    </row>
    <row r="266" ht="16.5" customHeight="1">
      <c r="B266" s="307"/>
      <c r="C266" s="307"/>
      <c r="D266" s="307"/>
      <c r="E266" s="307"/>
      <c r="F266" s="307"/>
      <c r="K266" s="307"/>
    </row>
    <row r="267" ht="16.5" customHeight="1">
      <c r="B267" s="307"/>
      <c r="C267" s="307"/>
      <c r="D267" s="307"/>
      <c r="E267" s="307"/>
      <c r="F267" s="307"/>
      <c r="K267" s="307"/>
    </row>
    <row r="268" ht="16.5" customHeight="1">
      <c r="B268" s="307"/>
      <c r="C268" s="307"/>
      <c r="D268" s="307"/>
      <c r="E268" s="307"/>
      <c r="F268" s="307"/>
      <c r="K268" s="307"/>
    </row>
    <row r="269" ht="16.5" customHeight="1">
      <c r="B269" s="307"/>
      <c r="C269" s="307"/>
      <c r="D269" s="307"/>
      <c r="E269" s="307"/>
      <c r="F269" s="307"/>
      <c r="K269" s="307"/>
    </row>
    <row r="270" ht="16.5" customHeight="1">
      <c r="B270" s="307"/>
      <c r="C270" s="307"/>
      <c r="D270" s="307"/>
      <c r="E270" s="307"/>
      <c r="F270" s="307"/>
      <c r="K270" s="307"/>
    </row>
    <row r="271" ht="16.5" customHeight="1">
      <c r="B271" s="307"/>
      <c r="C271" s="307"/>
      <c r="D271" s="307"/>
      <c r="E271" s="307"/>
      <c r="F271" s="307"/>
      <c r="K271" s="307"/>
    </row>
    <row r="272" ht="16.5" customHeight="1">
      <c r="B272" s="307"/>
      <c r="C272" s="307"/>
      <c r="D272" s="307"/>
      <c r="E272" s="307"/>
      <c r="F272" s="307"/>
      <c r="K272" s="307"/>
    </row>
    <row r="273" ht="16.5" customHeight="1">
      <c r="B273" s="307"/>
      <c r="C273" s="307"/>
      <c r="D273" s="307"/>
      <c r="E273" s="307"/>
      <c r="F273" s="307"/>
      <c r="K273" s="307"/>
    </row>
    <row r="274" ht="16.5" customHeight="1">
      <c r="B274" s="307"/>
      <c r="C274" s="307"/>
      <c r="D274" s="307"/>
      <c r="E274" s="307"/>
      <c r="F274" s="307"/>
      <c r="K274" s="307"/>
    </row>
    <row r="275" ht="16.5" customHeight="1">
      <c r="B275" s="307"/>
      <c r="C275" s="307"/>
      <c r="D275" s="307"/>
      <c r="E275" s="307"/>
      <c r="F275" s="307"/>
      <c r="K275" s="307"/>
    </row>
    <row r="276" ht="16.5" customHeight="1">
      <c r="B276" s="307"/>
      <c r="C276" s="307"/>
      <c r="D276" s="307"/>
      <c r="E276" s="307"/>
      <c r="F276" s="307"/>
      <c r="K276" s="307"/>
    </row>
    <row r="277" ht="16.5" customHeight="1">
      <c r="B277" s="307"/>
      <c r="C277" s="307"/>
      <c r="D277" s="307"/>
      <c r="E277" s="307"/>
      <c r="F277" s="307"/>
      <c r="K277" s="307"/>
    </row>
    <row r="278" ht="16.5" customHeight="1">
      <c r="B278" s="307"/>
      <c r="C278" s="307"/>
      <c r="D278" s="307"/>
      <c r="E278" s="307"/>
      <c r="F278" s="307"/>
      <c r="K278" s="307"/>
    </row>
    <row r="279" ht="16.5" customHeight="1">
      <c r="B279" s="307"/>
      <c r="C279" s="307"/>
      <c r="D279" s="307"/>
      <c r="E279" s="307"/>
      <c r="F279" s="307"/>
      <c r="K279" s="307"/>
    </row>
    <row r="280" ht="16.5" customHeight="1">
      <c r="K280" s="307"/>
    </row>
    <row r="281" ht="16.5" customHeight="1">
      <c r="K281" s="307"/>
    </row>
    <row r="282" ht="16.5" customHeight="1">
      <c r="K282" s="307"/>
    </row>
    <row r="283" ht="16.5" customHeight="1">
      <c r="K283" s="307"/>
    </row>
    <row r="284" ht="16.5" customHeight="1">
      <c r="K284" s="307"/>
    </row>
    <row r="285" ht="16.5" customHeight="1">
      <c r="K285" s="307"/>
    </row>
    <row r="286" ht="16.5" customHeight="1">
      <c r="K286" s="307"/>
    </row>
    <row r="287" ht="16.5" customHeight="1">
      <c r="K287" s="307"/>
    </row>
    <row r="288" ht="16.5" customHeight="1">
      <c r="K288" s="307"/>
    </row>
    <row r="289" ht="16.5" customHeight="1">
      <c r="K289" s="307"/>
    </row>
    <row r="290" ht="16.5" customHeight="1">
      <c r="K290" s="307"/>
    </row>
    <row r="291" ht="16.5" customHeight="1">
      <c r="K291" s="307"/>
    </row>
    <row r="292" ht="16.5" customHeight="1">
      <c r="K292" s="307"/>
    </row>
    <row r="293" ht="16.5" customHeight="1">
      <c r="K293" s="307"/>
    </row>
    <row r="294" ht="16.5" customHeight="1">
      <c r="K294" s="307"/>
    </row>
    <row r="295" ht="16.5" customHeight="1">
      <c r="K295" s="307"/>
    </row>
    <row r="296" ht="16.5" customHeight="1">
      <c r="K296" s="307"/>
    </row>
    <row r="297" ht="16.5" customHeight="1">
      <c r="K297" s="307"/>
    </row>
    <row r="298" ht="16.5" customHeight="1">
      <c r="K298" s="307"/>
    </row>
    <row r="299" ht="16.5" customHeight="1">
      <c r="K299" s="307"/>
    </row>
    <row r="300" ht="16.5" customHeight="1">
      <c r="K300" s="307"/>
    </row>
    <row r="301" ht="16.5" customHeight="1">
      <c r="K301" s="307"/>
    </row>
    <row r="302" ht="16.5" customHeight="1">
      <c r="K302" s="307"/>
    </row>
    <row r="303" ht="16.5" customHeight="1">
      <c r="K303" s="307"/>
    </row>
    <row r="304" ht="16.5" customHeight="1">
      <c r="K304" s="307"/>
    </row>
    <row r="305" ht="16.5" customHeight="1">
      <c r="K305" s="307"/>
    </row>
    <row r="306" ht="16.5" customHeight="1">
      <c r="K306" s="307"/>
    </row>
    <row r="307" ht="16.5" customHeight="1">
      <c r="K307" s="307"/>
    </row>
    <row r="308" ht="16.5" customHeight="1">
      <c r="K308" s="307"/>
    </row>
    <row r="309" ht="16.5" customHeight="1">
      <c r="K309" s="307"/>
    </row>
    <row r="310" ht="16.5" customHeight="1">
      <c r="K310" s="307"/>
    </row>
    <row r="311" ht="16.5" customHeight="1">
      <c r="K311" s="307"/>
    </row>
    <row r="312" ht="16.5" customHeight="1">
      <c r="K312" s="307"/>
    </row>
    <row r="313" ht="16.5" customHeight="1">
      <c r="K313" s="307"/>
    </row>
    <row r="314" ht="16.5" customHeight="1">
      <c r="K314" s="307"/>
    </row>
    <row r="315" ht="16.5" customHeight="1">
      <c r="K315" s="307"/>
    </row>
    <row r="316" ht="16.5" customHeight="1">
      <c r="K316" s="307"/>
    </row>
    <row r="317" ht="16.5" customHeight="1">
      <c r="K317" s="307"/>
    </row>
    <row r="318" ht="16.5" customHeight="1">
      <c r="K318" s="307"/>
    </row>
    <row r="319" ht="16.5" customHeight="1">
      <c r="K319" s="307"/>
    </row>
    <row r="320" ht="16.5" customHeight="1">
      <c r="K320" s="307"/>
    </row>
    <row r="321" ht="16.5" customHeight="1">
      <c r="K321" s="307"/>
    </row>
    <row r="322" ht="16.5" customHeight="1">
      <c r="K322" s="307"/>
    </row>
    <row r="323" ht="16.5" customHeight="1">
      <c r="K323" s="307"/>
    </row>
    <row r="324" ht="16.5" customHeight="1">
      <c r="K324" s="307"/>
    </row>
    <row r="325" ht="16.5" customHeight="1">
      <c r="K325" s="307"/>
    </row>
    <row r="326" ht="16.5" customHeight="1">
      <c r="K326" s="307"/>
    </row>
    <row r="327" ht="16.5" customHeight="1">
      <c r="K327" s="307"/>
    </row>
    <row r="328" ht="16.5" customHeight="1">
      <c r="K328" s="307"/>
    </row>
    <row r="329" ht="16.5" customHeight="1">
      <c r="K329" s="307"/>
    </row>
    <row r="330" ht="16.5" customHeight="1">
      <c r="K330" s="307"/>
    </row>
    <row r="331" ht="16.5" customHeight="1">
      <c r="K331" s="307"/>
    </row>
    <row r="332" ht="16.5" customHeight="1">
      <c r="K332" s="307"/>
    </row>
    <row r="333" ht="16.5" customHeight="1">
      <c r="K333" s="307"/>
    </row>
    <row r="334" ht="16.5" customHeight="1">
      <c r="K334" s="307"/>
    </row>
    <row r="335" ht="16.5" customHeight="1">
      <c r="K335" s="307"/>
    </row>
    <row r="336" ht="16.5" customHeight="1">
      <c r="K336" s="307"/>
    </row>
    <row r="337" ht="16.5" customHeight="1">
      <c r="K337" s="307"/>
    </row>
    <row r="338" ht="16.5" customHeight="1">
      <c r="K338" s="307"/>
    </row>
    <row r="339" ht="16.5" customHeight="1">
      <c r="K339" s="307"/>
    </row>
    <row r="340" ht="16.5" customHeight="1">
      <c r="K340" s="307"/>
    </row>
    <row r="341" ht="16.5" customHeight="1">
      <c r="K341" s="307"/>
    </row>
    <row r="342" ht="16.5" customHeight="1">
      <c r="K342" s="307"/>
    </row>
    <row r="343" ht="16.5" customHeight="1">
      <c r="K343" s="307"/>
    </row>
    <row r="344" ht="16.5" customHeight="1">
      <c r="K344" s="307"/>
    </row>
    <row r="345" ht="16.5" customHeight="1">
      <c r="K345" s="307"/>
    </row>
    <row r="346" ht="16.5" customHeight="1">
      <c r="K346" s="307"/>
    </row>
    <row r="347" ht="16.5" customHeight="1">
      <c r="K347" s="307"/>
    </row>
    <row r="348" ht="16.5" customHeight="1">
      <c r="K348" s="307"/>
    </row>
    <row r="349" ht="16.5" customHeight="1">
      <c r="K349" s="307"/>
    </row>
    <row r="350" ht="16.5" customHeight="1">
      <c r="K350" s="307"/>
    </row>
    <row r="351" ht="16.5" customHeight="1">
      <c r="K351" s="307"/>
    </row>
    <row r="352" ht="16.5" customHeight="1">
      <c r="K352" s="307"/>
    </row>
    <row r="353" ht="16.5" customHeight="1">
      <c r="K353" s="307"/>
    </row>
    <row r="354" ht="16.5" customHeight="1">
      <c r="K354" s="307"/>
    </row>
    <row r="355" ht="16.5" customHeight="1">
      <c r="K355" s="307"/>
    </row>
    <row r="356" ht="16.5" customHeight="1">
      <c r="K356" s="307"/>
    </row>
    <row r="357" ht="16.5" customHeight="1">
      <c r="K357" s="307"/>
    </row>
    <row r="358" ht="16.5" customHeight="1">
      <c r="K358" s="307"/>
    </row>
    <row r="359" ht="16.5" customHeight="1">
      <c r="K359" s="307"/>
    </row>
    <row r="360" ht="16.5" customHeight="1">
      <c r="K360" s="307"/>
    </row>
    <row r="361" ht="16.5" customHeight="1">
      <c r="K361" s="307"/>
    </row>
    <row r="362" ht="16.5" customHeight="1">
      <c r="K362" s="307"/>
    </row>
    <row r="363" ht="16.5" customHeight="1">
      <c r="K363" s="307"/>
    </row>
    <row r="364" ht="16.5" customHeight="1">
      <c r="K364" s="307"/>
    </row>
    <row r="365" ht="16.5" customHeight="1">
      <c r="K365" s="307"/>
    </row>
    <row r="366" ht="16.5" customHeight="1">
      <c r="K366" s="307"/>
    </row>
    <row r="367" ht="16.5" customHeight="1">
      <c r="K367" s="307"/>
    </row>
    <row r="368" ht="16.5" customHeight="1">
      <c r="K368" s="307"/>
    </row>
    <row r="369" ht="16.5" customHeight="1">
      <c r="K369" s="307"/>
    </row>
    <row r="370" ht="16.5" customHeight="1">
      <c r="K370" s="307"/>
    </row>
    <row r="371" ht="16.5" customHeight="1">
      <c r="K371" s="307"/>
    </row>
    <row r="372" ht="16.5" customHeight="1">
      <c r="K372" s="307"/>
    </row>
    <row r="373" ht="16.5" customHeight="1">
      <c r="K373" s="307"/>
    </row>
    <row r="374" ht="16.5" customHeight="1">
      <c r="K374" s="307"/>
    </row>
    <row r="375" ht="16.5" customHeight="1">
      <c r="K375" s="307"/>
    </row>
    <row r="376" ht="16.5" customHeight="1">
      <c r="K376" s="307"/>
    </row>
    <row r="377" ht="16.5" customHeight="1">
      <c r="K377" s="307"/>
    </row>
    <row r="378" ht="16.5" customHeight="1">
      <c r="K378" s="307"/>
    </row>
    <row r="379" ht="16.5" customHeight="1">
      <c r="K379" s="307"/>
    </row>
    <row r="380" ht="16.5" customHeight="1">
      <c r="K380" s="307"/>
    </row>
    <row r="381" ht="16.5" customHeight="1">
      <c r="K381" s="307"/>
    </row>
    <row r="382" ht="16.5" customHeight="1">
      <c r="K382" s="307"/>
    </row>
    <row r="383" ht="16.5" customHeight="1">
      <c r="K383" s="307"/>
    </row>
    <row r="384" ht="16.5" customHeight="1">
      <c r="K384" s="307"/>
    </row>
    <row r="385" ht="16.5" customHeight="1">
      <c r="K385" s="307"/>
    </row>
    <row r="386" ht="16.5" customHeight="1">
      <c r="K386" s="307"/>
    </row>
    <row r="387" ht="16.5" customHeight="1">
      <c r="K387" s="307"/>
    </row>
    <row r="388" ht="16.5" customHeight="1">
      <c r="K388" s="307"/>
    </row>
    <row r="389" ht="16.5" customHeight="1">
      <c r="K389" s="307"/>
    </row>
    <row r="390" ht="16.5" customHeight="1">
      <c r="K390" s="307"/>
    </row>
    <row r="391" ht="16.5" customHeight="1">
      <c r="K391" s="307"/>
    </row>
    <row r="392" ht="16.5" customHeight="1">
      <c r="K392" s="307"/>
    </row>
    <row r="393" ht="16.5" customHeight="1">
      <c r="K393" s="307"/>
    </row>
    <row r="394" ht="16.5" customHeight="1">
      <c r="K394" s="307"/>
    </row>
    <row r="395" ht="16.5" customHeight="1">
      <c r="K395" s="307"/>
    </row>
    <row r="396" ht="16.5" customHeight="1">
      <c r="K396" s="307"/>
    </row>
    <row r="397" ht="16.5" customHeight="1">
      <c r="K397" s="307"/>
    </row>
    <row r="398" ht="16.5" customHeight="1">
      <c r="K398" s="307"/>
    </row>
    <row r="399" ht="16.5" customHeight="1">
      <c r="K399" s="307"/>
    </row>
    <row r="400" ht="16.5" customHeight="1">
      <c r="K400" s="307"/>
    </row>
    <row r="401" ht="16.5" customHeight="1">
      <c r="K401" s="307"/>
    </row>
    <row r="402" ht="16.5" customHeight="1">
      <c r="K402" s="307"/>
    </row>
    <row r="403" ht="16.5" customHeight="1">
      <c r="K403" s="307"/>
    </row>
    <row r="404" ht="16.5" customHeight="1">
      <c r="K404" s="307"/>
    </row>
    <row r="405" ht="16.5" customHeight="1">
      <c r="K405" s="307"/>
    </row>
    <row r="406" ht="16.5" customHeight="1">
      <c r="K406" s="307"/>
    </row>
    <row r="407" ht="16.5" customHeight="1">
      <c r="K407" s="307"/>
    </row>
    <row r="408" ht="16.5" customHeight="1">
      <c r="K408" s="307"/>
    </row>
    <row r="409" ht="16.5" customHeight="1">
      <c r="K409" s="307"/>
    </row>
    <row r="410" ht="16.5" customHeight="1">
      <c r="K410" s="307"/>
    </row>
    <row r="411" ht="16.5" customHeight="1">
      <c r="K411" s="307"/>
    </row>
    <row r="412" ht="16.5" customHeight="1">
      <c r="K412" s="307"/>
    </row>
    <row r="413" ht="16.5" customHeight="1">
      <c r="K413" s="307"/>
    </row>
    <row r="414" ht="16.5" customHeight="1">
      <c r="K414" s="307"/>
    </row>
    <row r="415" ht="16.5" customHeight="1">
      <c r="K415" s="307"/>
    </row>
    <row r="416" ht="16.5" customHeight="1">
      <c r="K416" s="307"/>
    </row>
    <row r="417" ht="16.5" customHeight="1">
      <c r="K417" s="307"/>
    </row>
    <row r="418" ht="16.5" customHeight="1">
      <c r="K418" s="307"/>
    </row>
    <row r="419" ht="16.5" customHeight="1">
      <c r="K419" s="307"/>
    </row>
    <row r="420" ht="16.5" customHeight="1">
      <c r="K420" s="307"/>
    </row>
    <row r="421" ht="16.5" customHeight="1">
      <c r="K421" s="307"/>
    </row>
    <row r="422" ht="16.5" customHeight="1">
      <c r="K422" s="307"/>
    </row>
    <row r="423" ht="16.5" customHeight="1">
      <c r="K423" s="307"/>
    </row>
    <row r="424" ht="16.5" customHeight="1">
      <c r="K424" s="307"/>
    </row>
    <row r="425" ht="16.5" customHeight="1">
      <c r="K425" s="307"/>
    </row>
    <row r="426" ht="16.5" customHeight="1">
      <c r="K426" s="307"/>
    </row>
    <row r="427" ht="16.5" customHeight="1">
      <c r="K427" s="307"/>
    </row>
    <row r="428" ht="16.5" customHeight="1">
      <c r="K428" s="307"/>
    </row>
    <row r="429" ht="16.5" customHeight="1">
      <c r="K429" s="307"/>
    </row>
    <row r="430" ht="16.5" customHeight="1">
      <c r="K430" s="307"/>
    </row>
    <row r="431" ht="16.5" customHeight="1">
      <c r="K431" s="307"/>
    </row>
    <row r="432" ht="16.5" customHeight="1">
      <c r="K432" s="307"/>
    </row>
    <row r="433" ht="16.5" customHeight="1">
      <c r="K433" s="307"/>
    </row>
    <row r="434" ht="16.5" customHeight="1">
      <c r="K434" s="307"/>
    </row>
    <row r="435" ht="16.5" customHeight="1">
      <c r="K435" s="307"/>
    </row>
    <row r="436" ht="16.5" customHeight="1">
      <c r="K436" s="307"/>
    </row>
    <row r="437" ht="16.5" customHeight="1">
      <c r="K437" s="307"/>
    </row>
    <row r="438" ht="16.5" customHeight="1">
      <c r="K438" s="307"/>
    </row>
    <row r="439" ht="16.5" customHeight="1">
      <c r="K439" s="307"/>
    </row>
    <row r="440" ht="16.5" customHeight="1">
      <c r="K440" s="307"/>
    </row>
    <row r="441" ht="16.5" customHeight="1">
      <c r="K441" s="307"/>
    </row>
    <row r="442" ht="16.5" customHeight="1">
      <c r="K442" s="307"/>
    </row>
    <row r="443" ht="16.5" customHeight="1">
      <c r="K443" s="307"/>
    </row>
    <row r="444" ht="16.5" customHeight="1">
      <c r="K444" s="307"/>
    </row>
    <row r="445" ht="16.5" customHeight="1">
      <c r="K445" s="307"/>
    </row>
    <row r="446" ht="16.5" customHeight="1">
      <c r="K446" s="307"/>
    </row>
    <row r="447" ht="16.5" customHeight="1">
      <c r="K447" s="307"/>
    </row>
    <row r="448" ht="16.5" customHeight="1">
      <c r="K448" s="307"/>
    </row>
    <row r="449" ht="16.5" customHeight="1">
      <c r="K449" s="307"/>
    </row>
    <row r="450" ht="16.5" customHeight="1">
      <c r="K450" s="307"/>
    </row>
    <row r="451" ht="16.5" customHeight="1">
      <c r="K451" s="307"/>
    </row>
    <row r="452" ht="16.5" customHeight="1">
      <c r="K452" s="307"/>
    </row>
    <row r="453" ht="16.5" customHeight="1">
      <c r="K453" s="307"/>
    </row>
    <row r="454" ht="16.5" customHeight="1">
      <c r="K454" s="307"/>
    </row>
    <row r="455" ht="16.5" customHeight="1">
      <c r="K455" s="307"/>
    </row>
    <row r="456" ht="16.5" customHeight="1">
      <c r="K456" s="307"/>
    </row>
    <row r="457" ht="16.5" customHeight="1">
      <c r="K457" s="307"/>
    </row>
    <row r="458" ht="16.5" customHeight="1">
      <c r="K458" s="307"/>
    </row>
    <row r="459" ht="16.5" customHeight="1">
      <c r="K459" s="307"/>
    </row>
    <row r="460" ht="16.5" customHeight="1">
      <c r="K460" s="307"/>
    </row>
    <row r="461" ht="16.5" customHeight="1">
      <c r="K461" s="307"/>
    </row>
    <row r="462" ht="16.5" customHeight="1">
      <c r="K462" s="307"/>
    </row>
    <row r="463" ht="16.5" customHeight="1">
      <c r="K463" s="307"/>
    </row>
    <row r="464" ht="16.5" customHeight="1">
      <c r="K464" s="307"/>
    </row>
    <row r="465" ht="16.5" customHeight="1">
      <c r="K465" s="307"/>
    </row>
    <row r="466" ht="16.5" customHeight="1">
      <c r="K466" s="307"/>
    </row>
    <row r="467" ht="16.5" customHeight="1">
      <c r="K467" s="307"/>
    </row>
    <row r="468" ht="16.5" customHeight="1">
      <c r="K468" s="307"/>
    </row>
    <row r="469" ht="16.5" customHeight="1">
      <c r="K469" s="307"/>
    </row>
    <row r="470" ht="16.5" customHeight="1">
      <c r="K470" s="307"/>
    </row>
    <row r="471" ht="16.5" customHeight="1">
      <c r="K471" s="307"/>
    </row>
    <row r="472" ht="16.5" customHeight="1">
      <c r="K472" s="307"/>
    </row>
    <row r="473" ht="16.5" customHeight="1">
      <c r="K473" s="307"/>
    </row>
    <row r="474" ht="16.5" customHeight="1">
      <c r="K474" s="307"/>
    </row>
    <row r="475" ht="16.5" customHeight="1">
      <c r="K475" s="307"/>
    </row>
    <row r="476" ht="16.5" customHeight="1">
      <c r="K476" s="307"/>
    </row>
    <row r="477" ht="16.5" customHeight="1">
      <c r="K477" s="307"/>
    </row>
    <row r="478" ht="16.5" customHeight="1">
      <c r="K478" s="307"/>
    </row>
    <row r="479" ht="16.5" customHeight="1">
      <c r="K479" s="307"/>
    </row>
    <row r="480" ht="16.5" customHeight="1">
      <c r="K480" s="307"/>
    </row>
    <row r="481" ht="16.5" customHeight="1">
      <c r="K481" s="307"/>
    </row>
    <row r="482" ht="16.5" customHeight="1">
      <c r="K482" s="307"/>
    </row>
    <row r="483" ht="16.5" customHeight="1">
      <c r="K483" s="307"/>
    </row>
    <row r="484" ht="16.5" customHeight="1">
      <c r="K484" s="307"/>
    </row>
    <row r="485" ht="16.5" customHeight="1">
      <c r="K485" s="307"/>
    </row>
    <row r="486" ht="16.5" customHeight="1">
      <c r="K486" s="307"/>
    </row>
    <row r="487" ht="16.5" customHeight="1">
      <c r="K487" s="307"/>
    </row>
    <row r="488" ht="16.5" customHeight="1">
      <c r="K488" s="307"/>
    </row>
    <row r="489" ht="16.5" customHeight="1">
      <c r="K489" s="307"/>
    </row>
    <row r="490" ht="16.5" customHeight="1">
      <c r="K490" s="307"/>
    </row>
    <row r="491" ht="16.5" customHeight="1">
      <c r="K491" s="307"/>
    </row>
    <row r="492" ht="16.5" customHeight="1">
      <c r="K492" s="307"/>
    </row>
    <row r="493" ht="16.5" customHeight="1">
      <c r="K493" s="307"/>
    </row>
    <row r="494" ht="16.5" customHeight="1">
      <c r="K494" s="307"/>
    </row>
    <row r="495" ht="16.5" customHeight="1">
      <c r="K495" s="307"/>
    </row>
    <row r="496" ht="16.5" customHeight="1">
      <c r="K496" s="307"/>
    </row>
    <row r="497" ht="16.5" customHeight="1">
      <c r="K497" s="307"/>
    </row>
    <row r="498" ht="16.5" customHeight="1">
      <c r="K498" s="307"/>
    </row>
    <row r="499" ht="16.5" customHeight="1">
      <c r="K499" s="307"/>
    </row>
    <row r="500" ht="16.5" customHeight="1">
      <c r="K500" s="307"/>
    </row>
    <row r="501" ht="16.5" customHeight="1">
      <c r="K501" s="307"/>
    </row>
    <row r="502" ht="16.5" customHeight="1">
      <c r="K502" s="307"/>
    </row>
    <row r="503" ht="16.5" customHeight="1">
      <c r="K503" s="307"/>
    </row>
    <row r="504" ht="16.5" customHeight="1">
      <c r="K504" s="307"/>
    </row>
    <row r="505" ht="16.5" customHeight="1">
      <c r="K505" s="307"/>
    </row>
    <row r="506" ht="16.5" customHeight="1">
      <c r="K506" s="307"/>
    </row>
    <row r="507" ht="16.5" customHeight="1">
      <c r="K507" s="307"/>
    </row>
    <row r="508" ht="16.5" customHeight="1">
      <c r="K508" s="307"/>
    </row>
    <row r="509" ht="16.5" customHeight="1">
      <c r="K509" s="307"/>
    </row>
    <row r="510" ht="16.5" customHeight="1">
      <c r="K510" s="307"/>
    </row>
    <row r="511" ht="16.5" customHeight="1">
      <c r="K511" s="307"/>
    </row>
    <row r="512" ht="16.5" customHeight="1">
      <c r="K512" s="307"/>
    </row>
    <row r="513" ht="16.5" customHeight="1">
      <c r="K513" s="307"/>
    </row>
    <row r="514" ht="16.5" customHeight="1">
      <c r="K514" s="307"/>
    </row>
    <row r="515" ht="16.5" customHeight="1">
      <c r="K515" s="307"/>
    </row>
    <row r="516" ht="16.5" customHeight="1">
      <c r="K516" s="307"/>
    </row>
    <row r="517" ht="16.5" customHeight="1">
      <c r="K517" s="307"/>
    </row>
    <row r="518" ht="16.5" customHeight="1">
      <c r="K518" s="307"/>
    </row>
    <row r="519" ht="16.5" customHeight="1">
      <c r="K519" s="307"/>
    </row>
    <row r="520" ht="16.5" customHeight="1">
      <c r="K520" s="307"/>
    </row>
    <row r="521" ht="16.5" customHeight="1">
      <c r="K521" s="307"/>
    </row>
    <row r="522" ht="16.5" customHeight="1">
      <c r="K522" s="307"/>
    </row>
    <row r="523" ht="16.5" customHeight="1">
      <c r="K523" s="307"/>
    </row>
    <row r="524" ht="16.5" customHeight="1">
      <c r="K524" s="307"/>
    </row>
    <row r="525" ht="16.5" customHeight="1">
      <c r="K525" s="307"/>
    </row>
    <row r="526" ht="16.5" customHeight="1">
      <c r="K526" s="307"/>
    </row>
    <row r="527" ht="16.5" customHeight="1">
      <c r="K527" s="307"/>
    </row>
    <row r="528" ht="16.5" customHeight="1">
      <c r="K528" s="307"/>
    </row>
    <row r="529" ht="16.5" customHeight="1">
      <c r="K529" s="307"/>
    </row>
    <row r="530" ht="16.5" customHeight="1">
      <c r="K530" s="307"/>
    </row>
    <row r="531" ht="16.5" customHeight="1">
      <c r="K531" s="307"/>
    </row>
    <row r="532" ht="16.5" customHeight="1">
      <c r="K532" s="307"/>
    </row>
    <row r="533" ht="16.5" customHeight="1">
      <c r="K533" s="307"/>
    </row>
    <row r="534" ht="16.5" customHeight="1">
      <c r="K534" s="307"/>
    </row>
    <row r="535" ht="16.5" customHeight="1">
      <c r="K535" s="307"/>
    </row>
    <row r="536" ht="16.5" customHeight="1">
      <c r="K536" s="307"/>
    </row>
    <row r="537" ht="16.5" customHeight="1">
      <c r="K537" s="307"/>
    </row>
    <row r="538" ht="16.5" customHeight="1">
      <c r="K538" s="307"/>
    </row>
    <row r="539" ht="16.5" customHeight="1">
      <c r="K539" s="307"/>
    </row>
    <row r="540" ht="16.5" customHeight="1">
      <c r="K540" s="307"/>
    </row>
    <row r="541" ht="16.5" customHeight="1">
      <c r="K541" s="307"/>
    </row>
    <row r="542" ht="16.5" customHeight="1">
      <c r="K542" s="307"/>
    </row>
    <row r="543" ht="16.5" customHeight="1">
      <c r="K543" s="307"/>
    </row>
    <row r="544" ht="16.5" customHeight="1">
      <c r="K544" s="307"/>
    </row>
    <row r="545" ht="16.5" customHeight="1">
      <c r="K545" s="307"/>
    </row>
    <row r="546" ht="16.5" customHeight="1">
      <c r="K546" s="307"/>
    </row>
    <row r="547" ht="16.5" customHeight="1">
      <c r="K547" s="307"/>
    </row>
    <row r="548" ht="16.5" customHeight="1">
      <c r="K548" s="307"/>
    </row>
    <row r="549" ht="16.5" customHeight="1">
      <c r="K549" s="307"/>
    </row>
    <row r="550" ht="16.5" customHeight="1">
      <c r="K550" s="307"/>
    </row>
    <row r="551" ht="16.5" customHeight="1">
      <c r="K551" s="307"/>
    </row>
    <row r="552" ht="16.5" customHeight="1">
      <c r="K552" s="307"/>
    </row>
    <row r="553" ht="16.5" customHeight="1">
      <c r="K553" s="307"/>
    </row>
    <row r="554" ht="16.5" customHeight="1">
      <c r="K554" s="307"/>
    </row>
    <row r="555" ht="16.5" customHeight="1">
      <c r="K555" s="307"/>
    </row>
    <row r="556" ht="16.5" customHeight="1">
      <c r="K556" s="307"/>
    </row>
    <row r="557" ht="16.5" customHeight="1">
      <c r="K557" s="307"/>
    </row>
    <row r="558" ht="16.5" customHeight="1">
      <c r="K558" s="307"/>
    </row>
    <row r="559" ht="16.5" customHeight="1">
      <c r="K559" s="307"/>
    </row>
    <row r="560" ht="16.5" customHeight="1">
      <c r="K560" s="307"/>
    </row>
    <row r="561" ht="16.5" customHeight="1">
      <c r="K561" s="307"/>
    </row>
    <row r="562" ht="16.5" customHeight="1">
      <c r="K562" s="307"/>
    </row>
    <row r="563" ht="16.5" customHeight="1">
      <c r="K563" s="307"/>
    </row>
    <row r="564" ht="16.5" customHeight="1">
      <c r="K564" s="307"/>
    </row>
    <row r="565" ht="16.5" customHeight="1">
      <c r="K565" s="307"/>
    </row>
    <row r="566" ht="16.5" customHeight="1">
      <c r="K566" s="307"/>
    </row>
    <row r="567" ht="16.5" customHeight="1">
      <c r="K567" s="307"/>
    </row>
    <row r="568" ht="16.5" customHeight="1">
      <c r="K568" s="307"/>
    </row>
    <row r="569" ht="16.5" customHeight="1">
      <c r="K569" s="307"/>
    </row>
    <row r="570" ht="16.5" customHeight="1">
      <c r="K570" s="307"/>
    </row>
    <row r="571" ht="16.5" customHeight="1">
      <c r="K571" s="307"/>
    </row>
    <row r="572" ht="16.5" customHeight="1">
      <c r="K572" s="307"/>
    </row>
    <row r="573" ht="16.5" customHeight="1">
      <c r="K573" s="307"/>
    </row>
    <row r="574" ht="16.5" customHeight="1">
      <c r="K574" s="307"/>
    </row>
    <row r="575" ht="16.5" customHeight="1">
      <c r="K575" s="307"/>
    </row>
    <row r="576" ht="16.5" customHeight="1">
      <c r="K576" s="307"/>
    </row>
    <row r="577" ht="16.5" customHeight="1">
      <c r="K577" s="307"/>
    </row>
    <row r="578" ht="16.5" customHeight="1">
      <c r="K578" s="307"/>
    </row>
    <row r="579" ht="16.5" customHeight="1">
      <c r="K579" s="307"/>
    </row>
    <row r="580" ht="16.5" customHeight="1">
      <c r="K580" s="307"/>
    </row>
    <row r="581" ht="16.5" customHeight="1">
      <c r="K581" s="307"/>
    </row>
    <row r="582" ht="16.5" customHeight="1">
      <c r="K582" s="307"/>
    </row>
    <row r="583" ht="16.5" customHeight="1">
      <c r="K583" s="307"/>
    </row>
    <row r="584" ht="16.5" customHeight="1">
      <c r="K584" s="307"/>
    </row>
    <row r="585" ht="16.5" customHeight="1">
      <c r="K585" s="307"/>
    </row>
    <row r="586" ht="16.5" customHeight="1">
      <c r="K586" s="307"/>
    </row>
    <row r="587" ht="16.5" customHeight="1">
      <c r="K587" s="307"/>
    </row>
    <row r="588" ht="16.5" customHeight="1">
      <c r="K588" s="307"/>
    </row>
    <row r="589" ht="16.5" customHeight="1">
      <c r="K589" s="307"/>
    </row>
    <row r="590" ht="16.5" customHeight="1">
      <c r="K590" s="307"/>
    </row>
    <row r="591" ht="16.5" customHeight="1">
      <c r="K591" s="307"/>
    </row>
    <row r="592" ht="16.5" customHeight="1">
      <c r="K592" s="307"/>
    </row>
    <row r="593" ht="16.5" customHeight="1">
      <c r="K593" s="307"/>
    </row>
    <row r="594" ht="16.5" customHeight="1">
      <c r="K594" s="307"/>
    </row>
    <row r="595" ht="16.5" customHeight="1">
      <c r="K595" s="307"/>
    </row>
    <row r="596" ht="16.5" customHeight="1">
      <c r="K596" s="307"/>
    </row>
    <row r="597" ht="16.5" customHeight="1">
      <c r="K597" s="307"/>
    </row>
    <row r="598" ht="16.5" customHeight="1">
      <c r="K598" s="307"/>
    </row>
    <row r="599" ht="16.5" customHeight="1">
      <c r="K599" s="307"/>
    </row>
    <row r="600" ht="16.5" customHeight="1">
      <c r="K600" s="307"/>
    </row>
    <row r="601" ht="16.5" customHeight="1">
      <c r="K601" s="307"/>
    </row>
    <row r="602" ht="16.5" customHeight="1">
      <c r="K602" s="307"/>
    </row>
    <row r="603" ht="16.5" customHeight="1">
      <c r="K603" s="307"/>
    </row>
    <row r="604" ht="16.5" customHeight="1">
      <c r="K604" s="307"/>
    </row>
    <row r="605" ht="16.5" customHeight="1">
      <c r="K605" s="307"/>
    </row>
    <row r="606" ht="16.5" customHeight="1">
      <c r="K606" s="307"/>
    </row>
    <row r="607" ht="16.5" customHeight="1">
      <c r="K607" s="307"/>
    </row>
    <row r="608" ht="16.5" customHeight="1">
      <c r="K608" s="307"/>
    </row>
    <row r="609" ht="16.5" customHeight="1">
      <c r="K609" s="307"/>
    </row>
    <row r="610" ht="16.5" customHeight="1">
      <c r="K610" s="307"/>
    </row>
    <row r="611" ht="16.5" customHeight="1">
      <c r="K611" s="307"/>
    </row>
    <row r="612" ht="16.5" customHeight="1">
      <c r="K612" s="307"/>
    </row>
    <row r="613" ht="16.5" customHeight="1">
      <c r="K613" s="307"/>
    </row>
    <row r="614" ht="16.5" customHeight="1">
      <c r="K614" s="307"/>
    </row>
    <row r="615" ht="16.5" customHeight="1">
      <c r="K615" s="307"/>
    </row>
    <row r="616" ht="16.5" customHeight="1">
      <c r="K616" s="307"/>
    </row>
    <row r="617" ht="16.5" customHeight="1">
      <c r="K617" s="307"/>
    </row>
    <row r="618" ht="16.5" customHeight="1">
      <c r="K618" s="307"/>
    </row>
    <row r="619" ht="16.5" customHeight="1">
      <c r="K619" s="307"/>
    </row>
    <row r="620" ht="16.5" customHeight="1">
      <c r="K620" s="307"/>
    </row>
    <row r="621" ht="16.5" customHeight="1">
      <c r="K621" s="307"/>
    </row>
    <row r="622" ht="16.5" customHeight="1">
      <c r="K622" s="307"/>
    </row>
    <row r="623" ht="16.5" customHeight="1">
      <c r="K623" s="307"/>
    </row>
    <row r="624" ht="16.5" customHeight="1">
      <c r="K624" s="307"/>
    </row>
    <row r="625" ht="16.5" customHeight="1">
      <c r="K625" s="307"/>
    </row>
    <row r="626" ht="16.5" customHeight="1">
      <c r="K626" s="307"/>
    </row>
    <row r="627" ht="16.5" customHeight="1">
      <c r="K627" s="307"/>
    </row>
    <row r="628" ht="16.5" customHeight="1">
      <c r="K628" s="307"/>
    </row>
    <row r="629" ht="16.5" customHeight="1">
      <c r="K629" s="307"/>
    </row>
    <row r="630" ht="16.5" customHeight="1">
      <c r="K630" s="307"/>
    </row>
    <row r="631" ht="16.5" customHeight="1">
      <c r="K631" s="307"/>
    </row>
    <row r="632" ht="16.5" customHeight="1">
      <c r="K632" s="307"/>
    </row>
    <row r="633" ht="16.5" customHeight="1">
      <c r="K633" s="307"/>
    </row>
    <row r="634" ht="16.5" customHeight="1">
      <c r="K634" s="307"/>
    </row>
    <row r="635" ht="16.5" customHeight="1">
      <c r="K635" s="307"/>
    </row>
    <row r="636" ht="16.5" customHeight="1">
      <c r="K636" s="307"/>
    </row>
    <row r="637" ht="16.5" customHeight="1">
      <c r="K637" s="307"/>
    </row>
    <row r="638" ht="16.5" customHeight="1">
      <c r="K638" s="307"/>
    </row>
    <row r="639" ht="16.5" customHeight="1">
      <c r="K639" s="307"/>
    </row>
    <row r="640" ht="16.5" customHeight="1">
      <c r="K640" s="307"/>
    </row>
    <row r="641" ht="16.5" customHeight="1">
      <c r="K641" s="307"/>
    </row>
    <row r="642" ht="16.5" customHeight="1">
      <c r="K642" s="307"/>
    </row>
    <row r="643" ht="16.5" customHeight="1">
      <c r="K643" s="307"/>
    </row>
    <row r="644" ht="16.5" customHeight="1">
      <c r="K644" s="307"/>
    </row>
    <row r="645" ht="16.5" customHeight="1">
      <c r="K645" s="307"/>
    </row>
    <row r="646" ht="16.5" customHeight="1">
      <c r="K646" s="307"/>
    </row>
    <row r="647" ht="16.5" customHeight="1">
      <c r="K647" s="307"/>
    </row>
    <row r="648" ht="16.5" customHeight="1">
      <c r="K648" s="307"/>
    </row>
    <row r="649" ht="16.5" customHeight="1">
      <c r="K649" s="307"/>
    </row>
    <row r="650" ht="16.5" customHeight="1">
      <c r="K650" s="307"/>
    </row>
    <row r="651" ht="16.5" customHeight="1">
      <c r="K651" s="307"/>
    </row>
    <row r="652" ht="16.5" customHeight="1">
      <c r="K652" s="307"/>
    </row>
    <row r="653" ht="16.5" customHeight="1">
      <c r="K653" s="307"/>
    </row>
    <row r="654" ht="16.5" customHeight="1">
      <c r="K654" s="307"/>
    </row>
    <row r="655" ht="16.5" customHeight="1">
      <c r="K655" s="307"/>
    </row>
    <row r="656" ht="16.5" customHeight="1">
      <c r="K656" s="307"/>
    </row>
    <row r="657" ht="16.5" customHeight="1">
      <c r="K657" s="307"/>
    </row>
    <row r="658" ht="16.5" customHeight="1">
      <c r="K658" s="307"/>
    </row>
    <row r="659" ht="16.5" customHeight="1">
      <c r="K659" s="307"/>
    </row>
    <row r="660" ht="16.5" customHeight="1">
      <c r="K660" s="307"/>
    </row>
    <row r="661" ht="16.5" customHeight="1">
      <c r="K661" s="307"/>
    </row>
    <row r="662" ht="16.5" customHeight="1">
      <c r="K662" s="307"/>
    </row>
    <row r="663" ht="16.5" customHeight="1">
      <c r="K663" s="307"/>
    </row>
    <row r="664" ht="16.5" customHeight="1">
      <c r="K664" s="307"/>
    </row>
    <row r="665" ht="16.5" customHeight="1">
      <c r="K665" s="307"/>
    </row>
    <row r="666" ht="16.5" customHeight="1">
      <c r="K666" s="307"/>
    </row>
    <row r="667" ht="16.5" customHeight="1">
      <c r="K667" s="307"/>
    </row>
    <row r="668" ht="16.5" customHeight="1">
      <c r="K668" s="307"/>
    </row>
    <row r="669" ht="16.5" customHeight="1">
      <c r="K669" s="307"/>
    </row>
    <row r="670" ht="16.5" customHeight="1">
      <c r="K670" s="307"/>
    </row>
    <row r="671" ht="16.5" customHeight="1">
      <c r="K671" s="307"/>
    </row>
    <row r="672" ht="16.5" customHeight="1">
      <c r="K672" s="307"/>
    </row>
    <row r="673" ht="16.5" customHeight="1">
      <c r="K673" s="307"/>
    </row>
    <row r="674" ht="16.5" customHeight="1">
      <c r="K674" s="307"/>
    </row>
    <row r="675" ht="16.5" customHeight="1">
      <c r="K675" s="307"/>
    </row>
    <row r="676" ht="16.5" customHeight="1">
      <c r="K676" s="307"/>
    </row>
    <row r="677" ht="16.5" customHeight="1">
      <c r="K677" s="307"/>
    </row>
    <row r="678" ht="16.5" customHeight="1">
      <c r="K678" s="307"/>
    </row>
    <row r="679" ht="16.5" customHeight="1">
      <c r="K679" s="307"/>
    </row>
    <row r="680" ht="16.5" customHeight="1">
      <c r="K680" s="307"/>
    </row>
    <row r="681" ht="16.5" customHeight="1">
      <c r="K681" s="307"/>
    </row>
    <row r="682" ht="16.5" customHeight="1">
      <c r="K682" s="307"/>
    </row>
    <row r="683" ht="16.5" customHeight="1">
      <c r="K683" s="307"/>
    </row>
    <row r="684" ht="16.5" customHeight="1">
      <c r="K684" s="307"/>
    </row>
    <row r="685" ht="16.5" customHeight="1">
      <c r="K685" s="307"/>
    </row>
    <row r="686" ht="16.5" customHeight="1">
      <c r="K686" s="307"/>
    </row>
    <row r="687" ht="16.5" customHeight="1">
      <c r="K687" s="307"/>
    </row>
    <row r="688" ht="16.5" customHeight="1">
      <c r="K688" s="307"/>
    </row>
    <row r="689" ht="16.5" customHeight="1">
      <c r="K689" s="307"/>
    </row>
    <row r="690" ht="16.5" customHeight="1">
      <c r="K690" s="307"/>
    </row>
    <row r="691" ht="16.5" customHeight="1">
      <c r="K691" s="307"/>
    </row>
    <row r="692" ht="16.5" customHeight="1">
      <c r="K692" s="307"/>
    </row>
    <row r="693" ht="16.5" customHeight="1">
      <c r="K693" s="307"/>
    </row>
    <row r="694" ht="16.5" customHeight="1">
      <c r="K694" s="307"/>
    </row>
    <row r="695" ht="16.5" customHeight="1">
      <c r="K695" s="307"/>
    </row>
    <row r="696" ht="16.5" customHeight="1">
      <c r="K696" s="307"/>
    </row>
    <row r="697" ht="16.5" customHeight="1">
      <c r="K697" s="307"/>
    </row>
    <row r="698" ht="16.5" customHeight="1">
      <c r="K698" s="307"/>
    </row>
    <row r="699" ht="16.5" customHeight="1">
      <c r="K699" s="307"/>
    </row>
    <row r="700" ht="16.5" customHeight="1">
      <c r="K700" s="307"/>
    </row>
    <row r="701" ht="16.5" customHeight="1">
      <c r="K701" s="307"/>
    </row>
    <row r="702" ht="16.5" customHeight="1">
      <c r="K702" s="307"/>
    </row>
    <row r="703" ht="16.5" customHeight="1">
      <c r="K703" s="307"/>
    </row>
    <row r="704" ht="16.5" customHeight="1">
      <c r="K704" s="307"/>
    </row>
    <row r="705" ht="16.5" customHeight="1">
      <c r="K705" s="307"/>
    </row>
    <row r="706" ht="16.5" customHeight="1">
      <c r="K706" s="307"/>
    </row>
    <row r="707" ht="16.5" customHeight="1">
      <c r="K707" s="307"/>
    </row>
    <row r="708" ht="16.5" customHeight="1">
      <c r="K708" s="307"/>
    </row>
    <row r="709" ht="16.5" customHeight="1">
      <c r="K709" s="307"/>
    </row>
    <row r="710" ht="16.5" customHeight="1">
      <c r="K710" s="307"/>
    </row>
    <row r="711" ht="16.5" customHeight="1">
      <c r="K711" s="307"/>
    </row>
    <row r="712" ht="16.5" customHeight="1">
      <c r="K712" s="307"/>
    </row>
    <row r="713" ht="16.5" customHeight="1">
      <c r="K713" s="307"/>
    </row>
    <row r="714" ht="16.5" customHeight="1">
      <c r="K714" s="307"/>
    </row>
    <row r="715" ht="16.5" customHeight="1">
      <c r="K715" s="307"/>
    </row>
    <row r="716" ht="16.5" customHeight="1">
      <c r="K716" s="307"/>
    </row>
    <row r="717" ht="16.5" customHeight="1">
      <c r="K717" s="307"/>
    </row>
    <row r="718" ht="16.5" customHeight="1">
      <c r="K718" s="307"/>
    </row>
    <row r="719" ht="16.5" customHeight="1">
      <c r="K719" s="307"/>
    </row>
    <row r="720" ht="16.5" customHeight="1">
      <c r="K720" s="307"/>
    </row>
    <row r="721" ht="16.5" customHeight="1">
      <c r="K721" s="307"/>
    </row>
    <row r="722" ht="16.5" customHeight="1">
      <c r="K722" s="307"/>
    </row>
    <row r="723" ht="16.5" customHeight="1">
      <c r="K723" s="307"/>
    </row>
    <row r="724" ht="16.5" customHeight="1">
      <c r="K724" s="307"/>
    </row>
    <row r="725" ht="16.5" customHeight="1">
      <c r="K725" s="307"/>
    </row>
    <row r="726" ht="16.5" customHeight="1">
      <c r="K726" s="307"/>
    </row>
    <row r="727" ht="16.5" customHeight="1">
      <c r="K727" s="307"/>
    </row>
    <row r="728" ht="16.5" customHeight="1">
      <c r="K728" s="307"/>
    </row>
    <row r="729" ht="16.5" customHeight="1">
      <c r="K729" s="307"/>
    </row>
    <row r="730" ht="16.5" customHeight="1">
      <c r="K730" s="307"/>
    </row>
    <row r="731" ht="16.5" customHeight="1">
      <c r="K731" s="307"/>
    </row>
    <row r="732" ht="16.5" customHeight="1">
      <c r="K732" s="307"/>
    </row>
    <row r="733" ht="16.5" customHeight="1">
      <c r="K733" s="307"/>
    </row>
    <row r="734" ht="16.5" customHeight="1">
      <c r="K734" s="307"/>
    </row>
    <row r="735" ht="16.5" customHeight="1">
      <c r="K735" s="307"/>
    </row>
    <row r="736" ht="16.5" customHeight="1">
      <c r="K736" s="307"/>
    </row>
    <row r="737" ht="16.5" customHeight="1">
      <c r="K737" s="307"/>
    </row>
    <row r="738" ht="16.5" customHeight="1">
      <c r="K738" s="307"/>
    </row>
    <row r="739" ht="16.5" customHeight="1">
      <c r="K739" s="307"/>
    </row>
    <row r="740" ht="16.5" customHeight="1">
      <c r="K740" s="307"/>
    </row>
    <row r="741" ht="16.5" customHeight="1">
      <c r="K741" s="307"/>
    </row>
    <row r="742" ht="16.5" customHeight="1">
      <c r="K742" s="307"/>
    </row>
    <row r="743" ht="16.5" customHeight="1">
      <c r="K743" s="307"/>
    </row>
    <row r="744" ht="16.5" customHeight="1">
      <c r="K744" s="307"/>
    </row>
    <row r="745" ht="16.5" customHeight="1">
      <c r="K745" s="307"/>
    </row>
    <row r="746" ht="16.5" customHeight="1">
      <c r="K746" s="307"/>
    </row>
    <row r="747" ht="16.5" customHeight="1">
      <c r="K747" s="307"/>
    </row>
    <row r="748" ht="16.5" customHeight="1">
      <c r="K748" s="307"/>
    </row>
    <row r="749" ht="16.5" customHeight="1">
      <c r="K749" s="307"/>
    </row>
    <row r="750" ht="16.5" customHeight="1">
      <c r="K750" s="307"/>
    </row>
    <row r="751" ht="16.5" customHeight="1">
      <c r="K751" s="307"/>
    </row>
    <row r="752" ht="16.5" customHeight="1">
      <c r="K752" s="307"/>
    </row>
    <row r="753" ht="16.5" customHeight="1">
      <c r="K753" s="307"/>
    </row>
    <row r="754" ht="16.5" customHeight="1">
      <c r="K754" s="307"/>
    </row>
    <row r="755" ht="16.5" customHeight="1">
      <c r="K755" s="307"/>
    </row>
    <row r="756" ht="16.5" customHeight="1">
      <c r="K756" s="307"/>
    </row>
    <row r="757" ht="16.5" customHeight="1">
      <c r="K757" s="307"/>
    </row>
    <row r="758" ht="16.5" customHeight="1">
      <c r="K758" s="307"/>
    </row>
    <row r="759" ht="16.5" customHeight="1">
      <c r="K759" s="307"/>
    </row>
    <row r="760" ht="16.5" customHeight="1">
      <c r="K760" s="307"/>
    </row>
    <row r="761" ht="16.5" customHeight="1">
      <c r="K761" s="307"/>
    </row>
    <row r="762" ht="16.5" customHeight="1">
      <c r="K762" s="307"/>
    </row>
    <row r="763" ht="16.5" customHeight="1">
      <c r="K763" s="307"/>
    </row>
    <row r="764" ht="16.5" customHeight="1">
      <c r="K764" s="307"/>
    </row>
    <row r="765" ht="16.5" customHeight="1">
      <c r="K765" s="307"/>
    </row>
    <row r="766" ht="16.5" customHeight="1">
      <c r="K766" s="307"/>
    </row>
    <row r="767" ht="16.5" customHeight="1">
      <c r="K767" s="307"/>
    </row>
    <row r="768" ht="16.5" customHeight="1">
      <c r="K768" s="307"/>
    </row>
    <row r="769" ht="16.5" customHeight="1">
      <c r="K769" s="307"/>
    </row>
    <row r="770" ht="16.5" customHeight="1">
      <c r="K770" s="307"/>
    </row>
    <row r="771" ht="16.5" customHeight="1">
      <c r="K771" s="307"/>
    </row>
    <row r="772" ht="16.5" customHeight="1">
      <c r="K772" s="307"/>
    </row>
    <row r="773" ht="16.5" customHeight="1">
      <c r="K773" s="307"/>
    </row>
    <row r="774" ht="16.5" customHeight="1">
      <c r="K774" s="307"/>
    </row>
    <row r="775" ht="16.5" customHeight="1">
      <c r="K775" s="307"/>
    </row>
    <row r="776" ht="16.5" customHeight="1">
      <c r="K776" s="307"/>
    </row>
    <row r="777" ht="16.5" customHeight="1">
      <c r="K777" s="307"/>
    </row>
    <row r="778" ht="16.5" customHeight="1">
      <c r="K778" s="307"/>
    </row>
    <row r="779" ht="16.5" customHeight="1">
      <c r="K779" s="307"/>
    </row>
    <row r="780" ht="16.5" customHeight="1">
      <c r="K780" s="307"/>
    </row>
    <row r="781" ht="16.5" customHeight="1">
      <c r="K781" s="307"/>
    </row>
    <row r="782" ht="16.5" customHeight="1">
      <c r="K782" s="307"/>
    </row>
    <row r="783" ht="16.5" customHeight="1">
      <c r="K783" s="307"/>
    </row>
    <row r="784" ht="16.5" customHeight="1">
      <c r="K784" s="307"/>
    </row>
    <row r="785" ht="16.5" customHeight="1">
      <c r="K785" s="307"/>
    </row>
    <row r="786" ht="16.5" customHeight="1">
      <c r="K786" s="307"/>
    </row>
    <row r="787" ht="16.5" customHeight="1">
      <c r="K787" s="307"/>
    </row>
    <row r="788" ht="16.5" customHeight="1">
      <c r="K788" s="307"/>
    </row>
    <row r="789" ht="16.5" customHeight="1">
      <c r="K789" s="307"/>
    </row>
    <row r="790" ht="16.5" customHeight="1">
      <c r="K790" s="307"/>
    </row>
    <row r="791" ht="16.5" customHeight="1">
      <c r="K791" s="307"/>
    </row>
    <row r="792" ht="16.5" customHeight="1">
      <c r="K792" s="307"/>
    </row>
    <row r="793" ht="16.5" customHeight="1">
      <c r="K793" s="307"/>
    </row>
    <row r="794" ht="16.5" customHeight="1">
      <c r="K794" s="307"/>
    </row>
    <row r="795" ht="16.5" customHeight="1">
      <c r="K795" s="307"/>
    </row>
    <row r="796" ht="16.5" customHeight="1">
      <c r="K796" s="307"/>
    </row>
    <row r="797" ht="16.5" customHeight="1">
      <c r="K797" s="307"/>
    </row>
    <row r="798" ht="16.5" customHeight="1">
      <c r="K798" s="307"/>
    </row>
    <row r="799" ht="16.5" customHeight="1">
      <c r="K799" s="307"/>
    </row>
    <row r="800" ht="16.5" customHeight="1">
      <c r="K800" s="307"/>
    </row>
    <row r="801" ht="16.5" customHeight="1">
      <c r="K801" s="307"/>
    </row>
    <row r="802" ht="16.5" customHeight="1">
      <c r="K802" s="307"/>
    </row>
    <row r="803" ht="16.5" customHeight="1">
      <c r="K803" s="307"/>
    </row>
    <row r="804" ht="16.5" customHeight="1">
      <c r="K804" s="307"/>
    </row>
    <row r="805" ht="16.5" customHeight="1">
      <c r="K805" s="307"/>
    </row>
    <row r="806" ht="16.5" customHeight="1">
      <c r="K806" s="307"/>
    </row>
    <row r="807" ht="16.5" customHeight="1">
      <c r="K807" s="307"/>
    </row>
    <row r="808" ht="16.5" customHeight="1">
      <c r="K808" s="307"/>
    </row>
    <row r="809" ht="16.5" customHeight="1">
      <c r="K809" s="307"/>
    </row>
    <row r="810" ht="16.5" customHeight="1">
      <c r="K810" s="307"/>
    </row>
    <row r="811" ht="16.5" customHeight="1">
      <c r="K811" s="307"/>
    </row>
    <row r="812" ht="16.5" customHeight="1">
      <c r="K812" s="307"/>
    </row>
    <row r="813" ht="16.5" customHeight="1">
      <c r="K813" s="307"/>
    </row>
    <row r="814" ht="16.5" customHeight="1">
      <c r="K814" s="307"/>
    </row>
    <row r="815" ht="16.5" customHeight="1">
      <c r="K815" s="307"/>
    </row>
    <row r="816" ht="16.5" customHeight="1">
      <c r="K816" s="307"/>
    </row>
    <row r="817" ht="16.5" customHeight="1">
      <c r="K817" s="307"/>
    </row>
    <row r="818" ht="16.5" customHeight="1">
      <c r="K818" s="307"/>
    </row>
    <row r="819" ht="16.5" customHeight="1">
      <c r="K819" s="307"/>
    </row>
    <row r="820" ht="16.5" customHeight="1">
      <c r="K820" s="307"/>
    </row>
    <row r="821" ht="16.5" customHeight="1">
      <c r="K821" s="307"/>
    </row>
    <row r="822" ht="16.5" customHeight="1">
      <c r="K822" s="307"/>
    </row>
    <row r="823" ht="16.5" customHeight="1">
      <c r="K823" s="307"/>
    </row>
    <row r="824" ht="16.5" customHeight="1">
      <c r="K824" s="307"/>
    </row>
    <row r="825" ht="16.5" customHeight="1">
      <c r="K825" s="307"/>
    </row>
    <row r="826" ht="16.5" customHeight="1">
      <c r="K826" s="307"/>
    </row>
    <row r="827" ht="16.5" customHeight="1">
      <c r="K827" s="307"/>
    </row>
    <row r="828" ht="16.5" customHeight="1">
      <c r="K828" s="307"/>
    </row>
    <row r="829" ht="16.5" customHeight="1">
      <c r="K829" s="307"/>
    </row>
    <row r="830" ht="16.5" customHeight="1">
      <c r="K830" s="307"/>
    </row>
    <row r="831" ht="16.5" customHeight="1">
      <c r="K831" s="307"/>
    </row>
    <row r="832" ht="16.5" customHeight="1">
      <c r="K832" s="307"/>
    </row>
    <row r="833" ht="16.5" customHeight="1">
      <c r="K833" s="307"/>
    </row>
    <row r="834" ht="16.5" customHeight="1">
      <c r="K834" s="307"/>
    </row>
    <row r="835" ht="16.5" customHeight="1">
      <c r="K835" s="307"/>
    </row>
    <row r="836" ht="16.5" customHeight="1">
      <c r="K836" s="307"/>
    </row>
    <row r="837" ht="16.5" customHeight="1">
      <c r="K837" s="307"/>
    </row>
    <row r="838" ht="16.5" customHeight="1">
      <c r="K838" s="307"/>
    </row>
    <row r="839" ht="16.5" customHeight="1">
      <c r="K839" s="307"/>
    </row>
    <row r="840" ht="16.5" customHeight="1">
      <c r="K840" s="307"/>
    </row>
    <row r="841" ht="16.5" customHeight="1">
      <c r="K841" s="307"/>
    </row>
    <row r="842" ht="16.5" customHeight="1">
      <c r="K842" s="307"/>
    </row>
    <row r="843" ht="16.5" customHeight="1">
      <c r="K843" s="307"/>
    </row>
    <row r="844" ht="16.5" customHeight="1">
      <c r="K844" s="307"/>
    </row>
    <row r="845" ht="16.5" customHeight="1">
      <c r="K845" s="307"/>
    </row>
    <row r="846" ht="16.5" customHeight="1">
      <c r="K846" s="307"/>
    </row>
    <row r="847" ht="16.5" customHeight="1">
      <c r="K847" s="307"/>
    </row>
    <row r="848" ht="16.5" customHeight="1">
      <c r="K848" s="307"/>
    </row>
    <row r="849" ht="16.5" customHeight="1">
      <c r="K849" s="307"/>
    </row>
    <row r="850" ht="16.5" customHeight="1">
      <c r="K850" s="307"/>
    </row>
    <row r="851" ht="16.5" customHeight="1">
      <c r="K851" s="307"/>
    </row>
    <row r="852" ht="16.5" customHeight="1">
      <c r="K852" s="307"/>
    </row>
    <row r="853" ht="16.5" customHeight="1">
      <c r="K853" s="307"/>
    </row>
    <row r="854" ht="16.5" customHeight="1">
      <c r="K854" s="307"/>
    </row>
    <row r="855" ht="16.5" customHeight="1">
      <c r="K855" s="307"/>
    </row>
    <row r="856" ht="16.5" customHeight="1">
      <c r="K856" s="307"/>
    </row>
    <row r="857" ht="16.5" customHeight="1">
      <c r="K857" s="307"/>
    </row>
    <row r="858" ht="16.5" customHeight="1">
      <c r="K858" s="307"/>
    </row>
    <row r="859" ht="16.5" customHeight="1">
      <c r="K859" s="307"/>
    </row>
    <row r="860" ht="16.5" customHeight="1">
      <c r="K860" s="307"/>
    </row>
    <row r="861" ht="16.5" customHeight="1">
      <c r="K861" s="307"/>
    </row>
    <row r="862" ht="16.5" customHeight="1">
      <c r="K862" s="307"/>
    </row>
    <row r="863" ht="16.5" customHeight="1">
      <c r="K863" s="307"/>
    </row>
    <row r="864" ht="16.5" customHeight="1">
      <c r="K864" s="307"/>
    </row>
    <row r="865" ht="16.5" customHeight="1">
      <c r="K865" s="307"/>
    </row>
    <row r="866" ht="16.5" customHeight="1">
      <c r="K866" s="307"/>
    </row>
    <row r="867" ht="16.5" customHeight="1">
      <c r="K867" s="307"/>
    </row>
    <row r="868" ht="16.5" customHeight="1">
      <c r="K868" s="307"/>
    </row>
    <row r="869" ht="16.5" customHeight="1">
      <c r="K869" s="307"/>
    </row>
    <row r="870" ht="16.5" customHeight="1">
      <c r="K870" s="307"/>
    </row>
    <row r="871" ht="16.5" customHeight="1">
      <c r="K871" s="307"/>
    </row>
    <row r="872" ht="16.5" customHeight="1">
      <c r="K872" s="307"/>
    </row>
    <row r="873" ht="16.5" customHeight="1">
      <c r="K873" s="307"/>
    </row>
    <row r="874" ht="16.5" customHeight="1">
      <c r="K874" s="307"/>
    </row>
    <row r="875" ht="16.5" customHeight="1">
      <c r="K875" s="307"/>
    </row>
    <row r="876" ht="16.5" customHeight="1">
      <c r="K876" s="307"/>
    </row>
    <row r="877" ht="16.5" customHeight="1">
      <c r="K877" s="307"/>
    </row>
    <row r="878" ht="16.5" customHeight="1">
      <c r="K878" s="307"/>
    </row>
    <row r="879" ht="16.5" customHeight="1">
      <c r="K879" s="307"/>
    </row>
    <row r="880" ht="16.5" customHeight="1">
      <c r="K880" s="307"/>
    </row>
    <row r="881" ht="16.5" customHeight="1">
      <c r="K881" s="307"/>
    </row>
    <row r="882" ht="16.5" customHeight="1">
      <c r="K882" s="307"/>
    </row>
    <row r="883" ht="16.5" customHeight="1">
      <c r="K883" s="307"/>
    </row>
    <row r="884" ht="16.5" customHeight="1">
      <c r="K884" s="307"/>
    </row>
    <row r="885" ht="16.5" customHeight="1">
      <c r="K885" s="307"/>
    </row>
    <row r="886" ht="16.5" customHeight="1">
      <c r="K886" s="307"/>
    </row>
    <row r="887" ht="16.5" customHeight="1">
      <c r="K887" s="307"/>
    </row>
    <row r="888" ht="16.5" customHeight="1">
      <c r="K888" s="307"/>
    </row>
    <row r="889" ht="16.5" customHeight="1">
      <c r="K889" s="307"/>
    </row>
    <row r="890" ht="16.5" customHeight="1">
      <c r="K890" s="307"/>
    </row>
    <row r="891" ht="16.5" customHeight="1">
      <c r="K891" s="307"/>
    </row>
    <row r="892" ht="16.5" customHeight="1">
      <c r="K892" s="307"/>
    </row>
    <row r="893" ht="16.5" customHeight="1">
      <c r="K893" s="307"/>
    </row>
    <row r="894" ht="16.5" customHeight="1">
      <c r="K894" s="307"/>
    </row>
    <row r="895" ht="16.5" customHeight="1">
      <c r="K895" s="307"/>
    </row>
    <row r="896" ht="16.5" customHeight="1">
      <c r="K896" s="307"/>
    </row>
    <row r="897" ht="16.5" customHeight="1">
      <c r="K897" s="307"/>
    </row>
    <row r="898" ht="16.5" customHeight="1">
      <c r="K898" s="307"/>
    </row>
    <row r="899" ht="16.5" customHeight="1">
      <c r="K899" s="307"/>
    </row>
    <row r="900" ht="16.5" customHeight="1">
      <c r="K900" s="307"/>
    </row>
    <row r="901" ht="16.5" customHeight="1">
      <c r="K901" s="307"/>
    </row>
    <row r="902" ht="16.5" customHeight="1">
      <c r="K902" s="307"/>
    </row>
    <row r="903" ht="16.5" customHeight="1">
      <c r="K903" s="307"/>
    </row>
    <row r="904" ht="16.5" customHeight="1">
      <c r="K904" s="307"/>
    </row>
    <row r="905" ht="16.5" customHeight="1">
      <c r="K905" s="307"/>
    </row>
    <row r="906" ht="16.5" customHeight="1">
      <c r="K906" s="307"/>
    </row>
    <row r="907" ht="16.5" customHeight="1">
      <c r="K907" s="307"/>
    </row>
    <row r="908" ht="16.5" customHeight="1">
      <c r="K908" s="307"/>
    </row>
    <row r="909" ht="16.5" customHeight="1">
      <c r="K909" s="307"/>
    </row>
    <row r="910" ht="16.5" customHeight="1">
      <c r="K910" s="307"/>
    </row>
    <row r="911" ht="16.5" customHeight="1">
      <c r="K911" s="307"/>
    </row>
    <row r="912" ht="16.5" customHeight="1">
      <c r="K912" s="307"/>
    </row>
    <row r="913" ht="16.5" customHeight="1">
      <c r="K913" s="307"/>
    </row>
    <row r="914" ht="16.5" customHeight="1">
      <c r="K914" s="307"/>
    </row>
    <row r="915" ht="16.5" customHeight="1">
      <c r="K915" s="307"/>
    </row>
    <row r="916" ht="16.5" customHeight="1">
      <c r="K916" s="307"/>
    </row>
    <row r="917" ht="16.5" customHeight="1">
      <c r="K917" s="307"/>
    </row>
    <row r="918" ht="16.5" customHeight="1">
      <c r="K918" s="307"/>
    </row>
    <row r="919" ht="16.5" customHeight="1">
      <c r="K919" s="307"/>
    </row>
    <row r="920" ht="16.5" customHeight="1">
      <c r="K920" s="307"/>
    </row>
    <row r="921" ht="16.5" customHeight="1">
      <c r="K921" s="307"/>
    </row>
    <row r="922" ht="16.5" customHeight="1">
      <c r="K922" s="307"/>
    </row>
    <row r="923" ht="16.5" customHeight="1">
      <c r="K923" s="307"/>
    </row>
    <row r="924" ht="16.5" customHeight="1">
      <c r="K924" s="307"/>
    </row>
    <row r="925" ht="16.5" customHeight="1">
      <c r="K925" s="307"/>
    </row>
    <row r="926" ht="16.5" customHeight="1">
      <c r="K926" s="307"/>
    </row>
    <row r="927" ht="16.5" customHeight="1">
      <c r="K927" s="307"/>
    </row>
    <row r="928" ht="16.5" customHeight="1">
      <c r="K928" s="307"/>
    </row>
    <row r="929" ht="16.5" customHeight="1">
      <c r="K929" s="307"/>
    </row>
    <row r="930" ht="16.5" customHeight="1">
      <c r="K930" s="307"/>
    </row>
    <row r="931" ht="16.5" customHeight="1">
      <c r="K931" s="307"/>
    </row>
    <row r="932" ht="16.5" customHeight="1">
      <c r="K932" s="307"/>
    </row>
    <row r="933" ht="16.5" customHeight="1">
      <c r="K933" s="307"/>
    </row>
    <row r="934" ht="16.5" customHeight="1">
      <c r="K934" s="307"/>
    </row>
    <row r="935" ht="16.5" customHeight="1">
      <c r="K935" s="307"/>
    </row>
    <row r="936" ht="16.5" customHeight="1">
      <c r="K936" s="307"/>
    </row>
    <row r="937" ht="16.5" customHeight="1">
      <c r="K937" s="307"/>
    </row>
    <row r="938" ht="16.5" customHeight="1">
      <c r="K938" s="307"/>
    </row>
    <row r="939" ht="16.5" customHeight="1">
      <c r="K939" s="307"/>
    </row>
    <row r="940" ht="16.5" customHeight="1">
      <c r="K940" s="307"/>
    </row>
    <row r="941" ht="16.5" customHeight="1">
      <c r="K941" s="307"/>
    </row>
    <row r="942" ht="16.5" customHeight="1">
      <c r="K942" s="307"/>
    </row>
    <row r="943" ht="16.5" customHeight="1">
      <c r="K943" s="307"/>
    </row>
    <row r="944" ht="16.5" customHeight="1">
      <c r="K944" s="307"/>
    </row>
    <row r="945" ht="16.5" customHeight="1">
      <c r="K945" s="307"/>
    </row>
    <row r="946" ht="16.5" customHeight="1">
      <c r="K946" s="307"/>
    </row>
    <row r="947" ht="16.5" customHeight="1">
      <c r="K947" s="307"/>
    </row>
    <row r="948" ht="16.5" customHeight="1">
      <c r="K948" s="307"/>
    </row>
    <row r="949" ht="16.5" customHeight="1">
      <c r="K949" s="307"/>
    </row>
    <row r="950" ht="16.5" customHeight="1">
      <c r="K950" s="307"/>
    </row>
    <row r="951" ht="16.5" customHeight="1">
      <c r="K951" s="307"/>
    </row>
    <row r="952" ht="16.5" customHeight="1">
      <c r="K952" s="307"/>
    </row>
    <row r="953" ht="16.5" customHeight="1">
      <c r="K953" s="307"/>
    </row>
    <row r="954" ht="16.5" customHeight="1">
      <c r="K954" s="307"/>
    </row>
    <row r="955" ht="16.5" customHeight="1">
      <c r="K955" s="307"/>
    </row>
    <row r="956" ht="16.5" customHeight="1">
      <c r="K956" s="307"/>
    </row>
    <row r="957" ht="16.5" customHeight="1">
      <c r="K957" s="307"/>
    </row>
    <row r="958" ht="16.5" customHeight="1">
      <c r="K958" s="307"/>
    </row>
    <row r="959" ht="16.5" customHeight="1">
      <c r="K959" s="307"/>
    </row>
    <row r="960" ht="16.5" customHeight="1">
      <c r="K960" s="307"/>
    </row>
    <row r="961" ht="16.5" customHeight="1">
      <c r="K961" s="307"/>
    </row>
    <row r="962" ht="16.5" customHeight="1">
      <c r="K962" s="307"/>
    </row>
    <row r="963" ht="16.5" customHeight="1">
      <c r="K963" s="307"/>
    </row>
    <row r="964" ht="16.5" customHeight="1">
      <c r="K964" s="307"/>
    </row>
    <row r="965" ht="16.5" customHeight="1">
      <c r="K965" s="307"/>
    </row>
    <row r="966" ht="16.5" customHeight="1">
      <c r="K966" s="307"/>
    </row>
    <row r="967" ht="16.5" customHeight="1">
      <c r="K967" s="307"/>
    </row>
    <row r="968" ht="16.5" customHeight="1">
      <c r="K968" s="307"/>
    </row>
    <row r="969" ht="16.5" customHeight="1">
      <c r="K969" s="307"/>
    </row>
    <row r="970" ht="16.5" customHeight="1">
      <c r="K970" s="307"/>
    </row>
    <row r="971" ht="16.5" customHeight="1">
      <c r="K971" s="307"/>
    </row>
    <row r="972" ht="16.5" customHeight="1">
      <c r="K972" s="307"/>
    </row>
    <row r="973" ht="16.5" customHeight="1">
      <c r="K973" s="307"/>
    </row>
    <row r="974" ht="16.5" customHeight="1">
      <c r="K974" s="307"/>
    </row>
    <row r="975" ht="16.5" customHeight="1">
      <c r="K975" s="307"/>
    </row>
    <row r="976" ht="16.5" customHeight="1">
      <c r="K976" s="307"/>
    </row>
    <row r="977" ht="16.5" customHeight="1">
      <c r="K977" s="307"/>
    </row>
    <row r="978" ht="16.5" customHeight="1">
      <c r="K978" s="307"/>
    </row>
    <row r="979" ht="16.5" customHeight="1">
      <c r="K979" s="307"/>
    </row>
    <row r="980" ht="16.5" customHeight="1">
      <c r="K980" s="307"/>
    </row>
    <row r="981" ht="16.5" customHeight="1">
      <c r="K981" s="307"/>
    </row>
    <row r="982" ht="16.5" customHeight="1">
      <c r="K982" s="307"/>
    </row>
    <row r="983" ht="16.5" customHeight="1">
      <c r="K983" s="307"/>
    </row>
    <row r="984" ht="16.5" customHeight="1">
      <c r="K984" s="307"/>
    </row>
    <row r="985" ht="16.5" customHeight="1">
      <c r="K985" s="307"/>
    </row>
    <row r="986" ht="16.5" customHeight="1">
      <c r="K986" s="307"/>
    </row>
    <row r="987" ht="16.5" customHeight="1">
      <c r="K987" s="307"/>
    </row>
    <row r="988" ht="16.5" customHeight="1">
      <c r="K988" s="307"/>
    </row>
    <row r="989" ht="16.5" customHeight="1">
      <c r="K989" s="307"/>
    </row>
    <row r="990" ht="16.5" customHeight="1">
      <c r="K990" s="307"/>
    </row>
    <row r="991" ht="16.5" customHeight="1">
      <c r="K991" s="307"/>
    </row>
    <row r="992" ht="16.5" customHeight="1">
      <c r="K992" s="307"/>
    </row>
    <row r="993" ht="16.5" customHeight="1">
      <c r="K993" s="307"/>
    </row>
    <row r="994" ht="16.5" customHeight="1">
      <c r="K994" s="307"/>
    </row>
    <row r="995" ht="16.5" customHeight="1">
      <c r="K995" s="307"/>
    </row>
    <row r="996" ht="16.5" customHeight="1">
      <c r="K996" s="307"/>
    </row>
    <row r="997" ht="16.5" customHeight="1">
      <c r="K997" s="307"/>
    </row>
    <row r="998" ht="16.5" customHeight="1">
      <c r="K998" s="307"/>
    </row>
    <row r="999" ht="16.5" customHeight="1">
      <c r="K999" s="307"/>
    </row>
    <row r="1000" ht="16.5" customHeight="1">
      <c r="K1000" s="307"/>
    </row>
  </sheetData>
  <mergeCells count="75">
    <mergeCell ref="B1:B3"/>
    <mergeCell ref="B5:B18"/>
    <mergeCell ref="G5:G18"/>
    <mergeCell ref="H5:H18"/>
    <mergeCell ref="I5:I18"/>
    <mergeCell ref="J5:J18"/>
    <mergeCell ref="K5:K18"/>
    <mergeCell ref="L5:L18"/>
    <mergeCell ref="B19:B29"/>
    <mergeCell ref="C19:C29"/>
    <mergeCell ref="D19:D20"/>
    <mergeCell ref="E19:E20"/>
    <mergeCell ref="F19:F26"/>
    <mergeCell ref="J19:J29"/>
    <mergeCell ref="K19:K29"/>
    <mergeCell ref="L19:L29"/>
    <mergeCell ref="D21:D22"/>
    <mergeCell ref="E21:E22"/>
    <mergeCell ref="D23:D24"/>
    <mergeCell ref="E23:E24"/>
    <mergeCell ref="D25:D26"/>
    <mergeCell ref="E25:E26"/>
    <mergeCell ref="D27:D29"/>
    <mergeCell ref="E27:E29"/>
    <mergeCell ref="F27:F29"/>
    <mergeCell ref="B30:B33"/>
    <mergeCell ref="C30:C33"/>
    <mergeCell ref="G30:G33"/>
    <mergeCell ref="H30:H33"/>
    <mergeCell ref="K46:K48"/>
    <mergeCell ref="L46:L48"/>
    <mergeCell ref="G37:I38"/>
    <mergeCell ref="J37:J38"/>
    <mergeCell ref="K37:K38"/>
    <mergeCell ref="L37:L38"/>
    <mergeCell ref="G42:I43"/>
    <mergeCell ref="K42:K43"/>
    <mergeCell ref="J46:J48"/>
    <mergeCell ref="C46:C48"/>
    <mergeCell ref="B49:B50"/>
    <mergeCell ref="C49:C50"/>
    <mergeCell ref="F31:F33"/>
    <mergeCell ref="A37:C38"/>
    <mergeCell ref="D37:F38"/>
    <mergeCell ref="A42:A44"/>
    <mergeCell ref="C42:C44"/>
    <mergeCell ref="D42:F43"/>
    <mergeCell ref="A45:A78"/>
    <mergeCell ref="C5:C18"/>
    <mergeCell ref="F5:F17"/>
    <mergeCell ref="I30:I33"/>
    <mergeCell ref="J30:J33"/>
    <mergeCell ref="K30:K33"/>
    <mergeCell ref="L30:L33"/>
    <mergeCell ref="A1:A3"/>
    <mergeCell ref="C1:C3"/>
    <mergeCell ref="D1:F2"/>
    <mergeCell ref="G1:I2"/>
    <mergeCell ref="K1:K2"/>
    <mergeCell ref="A4:L4"/>
    <mergeCell ref="A5:A36"/>
    <mergeCell ref="B42:B44"/>
    <mergeCell ref="B46:B48"/>
    <mergeCell ref="H47:H48"/>
    <mergeCell ref="I47:I48"/>
    <mergeCell ref="I49:I50"/>
    <mergeCell ref="J49:J50"/>
    <mergeCell ref="K49:K50"/>
    <mergeCell ref="L49:L50"/>
    <mergeCell ref="A79:C80"/>
    <mergeCell ref="D79:F80"/>
    <mergeCell ref="G79:I80"/>
    <mergeCell ref="J79:J80"/>
    <mergeCell ref="K79:K80"/>
    <mergeCell ref="L79:L8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2023-01-11T12:57:29Z</dcterms:created>
  <dc:creator>이진진</dc:creator>
</cp:coreProperties>
</file>