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오소현(총무)\2023\"/>
    </mc:Choice>
  </mc:AlternateContent>
  <xr:revisionPtr revIDLastSave="0" documentId="13_ncr:1_{13519878-B4A9-4E47-B6DF-FD512F890FF8}" xr6:coauthVersionLast="47" xr6:coauthVersionMax="47" xr10:uidLastSave="{00000000-0000-0000-0000-000000000000}"/>
  <bookViews>
    <workbookView xWindow="-120" yWindow="-120" windowWidth="29040" windowHeight="15840" tabRatio="944" firstSheet="2" activeTab="14" xr2:uid="{00000000-000D-0000-FFFF-FFFF00000000}"/>
  </bookViews>
  <sheets>
    <sheet name="23.01.07 신년회" sheetId="1" r:id="rId1"/>
    <sheet name="23.01.13 오티" sheetId="2" r:id="rId2"/>
    <sheet name="23.01.27 보드게임" sheetId="3" r:id="rId3"/>
    <sheet name="23.02.04 볼링" sheetId="4" r:id="rId4"/>
    <sheet name="23.02.10 베이킹" sheetId="5" r:id="rId5"/>
    <sheet name="23.03.18 한강" sheetId="6" r:id="rId6"/>
    <sheet name="23.03.24 오티" sheetId="7" r:id="rId7"/>
    <sheet name="23.03.31 보드게임" sheetId="8" r:id="rId8"/>
    <sheet name="23.04.04 회장생일" sheetId="9" r:id="rId9"/>
    <sheet name="23.04.08 한강" sheetId="10" r:id="rId10"/>
    <sheet name="23.04.14 영화" sheetId="11" r:id="rId11"/>
    <sheet name="23.04.22 볼링" sheetId="12" r:id="rId12"/>
    <sheet name="23.05.06 엠티" sheetId="13" r:id="rId13"/>
    <sheet name="23.06.02 공덕" sheetId="14" r:id="rId14"/>
    <sheet name="23.06.24 건대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5" l="1"/>
  <c r="M10" i="15"/>
  <c r="M11" i="15"/>
  <c r="M12" i="15"/>
  <c r="M13" i="15"/>
  <c r="M14" i="15"/>
  <c r="M15" i="15"/>
  <c r="M16" i="15"/>
  <c r="M17" i="15"/>
  <c r="M18" i="15"/>
  <c r="M19" i="15"/>
  <c r="M8" i="15"/>
  <c r="M7" i="15"/>
  <c r="J20" i="15" l="1"/>
  <c r="G20" i="15"/>
  <c r="H20" i="15"/>
  <c r="I20" i="15"/>
  <c r="L20" i="15"/>
  <c r="F20" i="15"/>
  <c r="T9" i="14"/>
  <c r="T8" i="14"/>
  <c r="T7" i="14"/>
  <c r="T6" i="14"/>
  <c r="S7" i="14"/>
  <c r="L22" i="14"/>
  <c r="L21" i="14"/>
  <c r="L14" i="14"/>
  <c r="L15" i="14"/>
  <c r="L16" i="14"/>
  <c r="L17" i="14"/>
  <c r="L18" i="14"/>
  <c r="L19" i="14"/>
  <c r="L20" i="14"/>
  <c r="L13" i="14"/>
  <c r="L12" i="14"/>
  <c r="L11" i="14"/>
  <c r="L8" i="14"/>
  <c r="L9" i="14"/>
  <c r="L10" i="14"/>
  <c r="L7" i="14"/>
  <c r="L6" i="14"/>
  <c r="N24" i="13"/>
  <c r="N23" i="13"/>
  <c r="P23" i="13" s="1"/>
  <c r="N21" i="13"/>
  <c r="N22" i="13"/>
  <c r="P22" i="13"/>
  <c r="P15" i="13"/>
  <c r="P16" i="13"/>
  <c r="P17" i="13"/>
  <c r="P18" i="13"/>
  <c r="P19" i="13"/>
  <c r="P20" i="13"/>
  <c r="P14" i="13"/>
  <c r="P13" i="13"/>
  <c r="P25" i="13"/>
  <c r="P24" i="13"/>
  <c r="P21" i="13"/>
  <c r="O26" i="13"/>
  <c r="P26" i="13" s="1"/>
  <c r="L11" i="12"/>
  <c r="L10" i="12"/>
  <c r="L12" i="12"/>
  <c r="L13" i="12"/>
  <c r="L14" i="12"/>
  <c r="L15" i="12"/>
  <c r="L16" i="12"/>
  <c r="L17" i="12"/>
  <c r="L9" i="12"/>
  <c r="J19" i="11"/>
  <c r="H19" i="11"/>
  <c r="I19" i="11"/>
  <c r="G19" i="11"/>
  <c r="J12" i="11"/>
  <c r="J13" i="11"/>
  <c r="J14" i="11"/>
  <c r="J15" i="11"/>
  <c r="J16" i="11"/>
  <c r="J17" i="11"/>
  <c r="J18" i="11"/>
  <c r="J11" i="11"/>
  <c r="K19" i="10"/>
  <c r="K18" i="10"/>
  <c r="K17" i="10"/>
  <c r="K16" i="10"/>
  <c r="K15" i="10"/>
  <c r="K14" i="10"/>
  <c r="K13" i="10"/>
  <c r="K12" i="10"/>
  <c r="K11" i="10"/>
  <c r="I10" i="10"/>
  <c r="K10" i="10" s="1"/>
  <c r="I9" i="10"/>
  <c r="K9" i="10" s="1"/>
  <c r="I8" i="10"/>
  <c r="K8" i="10" s="1"/>
  <c r="I7" i="10"/>
  <c r="K7" i="10" s="1"/>
  <c r="I6" i="10"/>
  <c r="K6" i="10" s="1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N31" i="8"/>
  <c r="K30" i="8"/>
  <c r="M29" i="8"/>
  <c r="K28" i="8"/>
  <c r="J28" i="8"/>
  <c r="G28" i="8"/>
  <c r="Q27" i="8"/>
  <c r="K27" i="8"/>
  <c r="M26" i="8"/>
  <c r="K25" i="8"/>
  <c r="H25" i="8"/>
  <c r="N22" i="8"/>
  <c r="M22" i="8"/>
  <c r="L22" i="8"/>
  <c r="L33" i="8" s="1"/>
  <c r="O21" i="8"/>
  <c r="Q20" i="8"/>
  <c r="O20" i="8"/>
  <c r="O19" i="8"/>
  <c r="O18" i="8"/>
  <c r="Q17" i="8"/>
  <c r="O17" i="8"/>
  <c r="O16" i="8"/>
  <c r="O15" i="8"/>
  <c r="O14" i="8"/>
  <c r="O13" i="8"/>
  <c r="O12" i="8"/>
  <c r="O11" i="8"/>
  <c r="O10" i="8"/>
  <c r="O9" i="8"/>
  <c r="O22" i="8" s="1"/>
  <c r="N37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F16" i="6"/>
  <c r="E16" i="6"/>
  <c r="D16" i="6"/>
  <c r="C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16" i="6" s="1"/>
  <c r="E21" i="4"/>
  <c r="D21" i="4"/>
  <c r="C21" i="4"/>
  <c r="F21" i="4" s="1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S25" i="3"/>
  <c r="S24" i="3"/>
  <c r="S23" i="3"/>
  <c r="S22" i="3"/>
  <c r="O21" i="3"/>
  <c r="S21" i="3" s="1"/>
  <c r="O20" i="3"/>
  <c r="S20" i="3" s="1"/>
  <c r="O19" i="3"/>
  <c r="S19" i="3" s="1"/>
  <c r="O18" i="3"/>
  <c r="S18" i="3" s="1"/>
  <c r="Q17" i="3"/>
  <c r="S17" i="3" s="1"/>
  <c r="S16" i="3"/>
  <c r="R16" i="3"/>
  <c r="Q16" i="3"/>
  <c r="R15" i="3"/>
  <c r="Q15" i="3"/>
  <c r="S15" i="3" s="1"/>
  <c r="R14" i="3"/>
  <c r="Q14" i="3"/>
  <c r="O14" i="3"/>
  <c r="S14" i="3" s="1"/>
  <c r="R13" i="3"/>
  <c r="Q13" i="3"/>
  <c r="O13" i="3"/>
  <c r="S13" i="3" s="1"/>
  <c r="I13" i="3"/>
  <c r="R12" i="3"/>
  <c r="S12" i="3" s="1"/>
  <c r="Q12" i="3"/>
  <c r="O12" i="3"/>
  <c r="R11" i="3"/>
  <c r="Q11" i="3"/>
  <c r="S11" i="3" s="1"/>
  <c r="R10" i="3"/>
  <c r="Q10" i="3"/>
  <c r="S10" i="3" s="1"/>
  <c r="R9" i="3"/>
  <c r="S9" i="3" s="1"/>
  <c r="Q9" i="3"/>
  <c r="J7" i="3"/>
  <c r="I7" i="3"/>
  <c r="H7" i="3"/>
  <c r="T32" i="2"/>
  <c r="T31" i="2"/>
  <c r="T30" i="2"/>
  <c r="T29" i="2"/>
  <c r="L28" i="2"/>
  <c r="T28" i="2" s="1"/>
  <c r="T27" i="2"/>
  <c r="M27" i="2"/>
  <c r="L27" i="2"/>
  <c r="N26" i="2"/>
  <c r="M26" i="2"/>
  <c r="L26" i="2"/>
  <c r="T26" i="2" s="1"/>
  <c r="N25" i="2"/>
  <c r="M25" i="2"/>
  <c r="L25" i="2"/>
  <c r="T25" i="2" s="1"/>
  <c r="T24" i="2"/>
  <c r="N24" i="2"/>
  <c r="M24" i="2"/>
  <c r="L24" i="2"/>
  <c r="T23" i="2"/>
  <c r="N23" i="2"/>
  <c r="M23" i="2"/>
  <c r="L23" i="2"/>
  <c r="N22" i="2"/>
  <c r="M22" i="2"/>
  <c r="L22" i="2"/>
  <c r="T22" i="2" s="1"/>
  <c r="O21" i="2"/>
  <c r="N21" i="2"/>
  <c r="M21" i="2"/>
  <c r="L21" i="2"/>
  <c r="T21" i="2" s="1"/>
  <c r="O20" i="2"/>
  <c r="N20" i="2"/>
  <c r="M20" i="2"/>
  <c r="L20" i="2"/>
  <c r="T20" i="2" s="1"/>
  <c r="O19" i="2"/>
  <c r="N19" i="2"/>
  <c r="M19" i="2"/>
  <c r="L19" i="2"/>
  <c r="T19" i="2" s="1"/>
  <c r="O18" i="2"/>
  <c r="N18" i="2"/>
  <c r="M18" i="2"/>
  <c r="L18" i="2"/>
  <c r="T18" i="2" s="1"/>
  <c r="T17" i="2"/>
  <c r="O17" i="2"/>
  <c r="N17" i="2"/>
  <c r="M17" i="2"/>
  <c r="L17" i="2"/>
  <c r="O16" i="2"/>
  <c r="N16" i="2"/>
  <c r="M16" i="2"/>
  <c r="L16" i="2"/>
  <c r="T16" i="2" s="1"/>
  <c r="O15" i="2"/>
  <c r="N15" i="2"/>
  <c r="M15" i="2"/>
  <c r="L15" i="2"/>
  <c r="T15" i="2" s="1"/>
  <c r="S14" i="2"/>
  <c r="O14" i="2"/>
  <c r="N14" i="2"/>
  <c r="T14" i="2" s="1"/>
  <c r="M14" i="2"/>
  <c r="T13" i="2"/>
  <c r="S13" i="2"/>
  <c r="O13" i="2"/>
  <c r="N13" i="2"/>
  <c r="M13" i="2"/>
  <c r="L13" i="2"/>
  <c r="S12" i="2"/>
  <c r="O12" i="2"/>
  <c r="N12" i="2"/>
  <c r="M12" i="2"/>
  <c r="L12" i="2"/>
  <c r="T12" i="2" s="1"/>
  <c r="T11" i="2"/>
  <c r="S11" i="2"/>
  <c r="O11" i="2"/>
  <c r="N11" i="2"/>
  <c r="M11" i="2"/>
  <c r="L11" i="2"/>
  <c r="S10" i="2"/>
  <c r="O10" i="2"/>
  <c r="N10" i="2"/>
  <c r="M10" i="2"/>
  <c r="L10" i="2"/>
  <c r="T10" i="2" s="1"/>
  <c r="S9" i="2"/>
  <c r="O9" i="2"/>
  <c r="N9" i="2"/>
  <c r="M9" i="2"/>
  <c r="L9" i="2"/>
  <c r="I9" i="2"/>
  <c r="T9" i="2" s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20" i="15" l="1"/>
  <c r="M33" i="8"/>
  <c r="M34" i="8"/>
  <c r="H18" i="12"/>
  <c r="L18" i="12"/>
</calcChain>
</file>

<file path=xl/sharedStrings.xml><?xml version="1.0" encoding="utf-8"?>
<sst xmlns="http://schemas.openxmlformats.org/spreadsheetml/2006/main" count="529" uniqueCount="195">
  <si>
    <t>김지윤</t>
  </si>
  <si>
    <t>이유곤</t>
  </si>
  <si>
    <t>이향리</t>
  </si>
  <si>
    <t>박도연</t>
  </si>
  <si>
    <t>김보라</t>
  </si>
  <si>
    <t>이규엽</t>
  </si>
  <si>
    <t>홍지은</t>
  </si>
  <si>
    <t>김도현</t>
  </si>
  <si>
    <t>설맥</t>
  </si>
  <si>
    <t>회원명</t>
  </si>
  <si>
    <t>황인우</t>
  </si>
  <si>
    <t>c</t>
  </si>
  <si>
    <t>김수경</t>
  </si>
  <si>
    <t>주연희</t>
  </si>
  <si>
    <t>이성현</t>
  </si>
  <si>
    <t>이주희</t>
  </si>
  <si>
    <t>유진</t>
  </si>
  <si>
    <t>술집</t>
  </si>
  <si>
    <t>대관비</t>
  </si>
  <si>
    <t>김해찬</t>
  </si>
  <si>
    <t>오재민</t>
  </si>
  <si>
    <t>박가연</t>
  </si>
  <si>
    <t>이진진</t>
  </si>
  <si>
    <t>김승현</t>
  </si>
  <si>
    <t>하은희</t>
  </si>
  <si>
    <t>최지훈</t>
  </si>
  <si>
    <t>승아</t>
  </si>
  <si>
    <t>이원준</t>
  </si>
  <si>
    <t>김태형</t>
  </si>
  <si>
    <t>이수민</t>
  </si>
  <si>
    <t>정원비</t>
  </si>
  <si>
    <t>먹거리</t>
  </si>
  <si>
    <t>돗자리</t>
  </si>
  <si>
    <t>박서현</t>
  </si>
  <si>
    <t>2차</t>
  </si>
  <si>
    <t>d</t>
  </si>
  <si>
    <t>강석훈</t>
  </si>
  <si>
    <t>이광민</t>
  </si>
  <si>
    <t>편의점</t>
  </si>
  <si>
    <t>윤민식</t>
  </si>
  <si>
    <t>오소현</t>
  </si>
  <si>
    <t>두꺼비</t>
  </si>
  <si>
    <t>홍석범</t>
  </si>
  <si>
    <t>케이크</t>
  </si>
  <si>
    <t>이주하</t>
  </si>
  <si>
    <t>a</t>
  </si>
  <si>
    <t>임정연</t>
  </si>
  <si>
    <t>백다은</t>
  </si>
  <si>
    <t>김영재</t>
  </si>
  <si>
    <t>뒤풀이</t>
  </si>
  <si>
    <t>달포차</t>
  </si>
  <si>
    <t>신정용</t>
  </si>
  <si>
    <t>1차</t>
  </si>
  <si>
    <t>류혜원</t>
  </si>
  <si>
    <t>합계</t>
  </si>
  <si>
    <t>이장현</t>
  </si>
  <si>
    <t>볼링</t>
  </si>
  <si>
    <t>정예원</t>
  </si>
  <si>
    <t>b</t>
  </si>
  <si>
    <t>김주곤</t>
  </si>
  <si>
    <t>임예지</t>
  </si>
  <si>
    <t>김세미</t>
  </si>
  <si>
    <t>서보성</t>
  </si>
  <si>
    <t>한명선</t>
  </si>
  <si>
    <t>장유화</t>
  </si>
  <si>
    <t>신혜원</t>
  </si>
  <si>
    <t>홍정우</t>
  </si>
  <si>
    <t>명수민</t>
  </si>
  <si>
    <t>택시</t>
  </si>
  <si>
    <t>권제인</t>
  </si>
  <si>
    <t>고재준</t>
  </si>
  <si>
    <t>정하영</t>
  </si>
  <si>
    <t>양진영</t>
  </si>
  <si>
    <t>안주</t>
  </si>
  <si>
    <t>술</t>
  </si>
  <si>
    <t>한강</t>
  </si>
  <si>
    <t>*뒤풀이 도착시간</t>
  </si>
  <si>
    <t>20:00~22:00</t>
  </si>
  <si>
    <t>23:00~24:00</t>
  </si>
  <si>
    <t>19:30~20:00</t>
  </si>
  <si>
    <t>22:00~23:00</t>
  </si>
  <si>
    <t>20:20</t>
  </si>
  <si>
    <t>00:40</t>
  </si>
  <si>
    <t>회비지원</t>
  </si>
  <si>
    <t>~00:30</t>
  </si>
  <si>
    <t>05:00</t>
  </si>
  <si>
    <t>03:00</t>
  </si>
  <si>
    <t>03:54</t>
  </si>
  <si>
    <t>보드게임</t>
  </si>
  <si>
    <t>02:54</t>
  </si>
  <si>
    <t>~03:00</t>
  </si>
  <si>
    <t>입장시간</t>
  </si>
  <si>
    <t>피.치.엽</t>
  </si>
  <si>
    <t>포차쌀롱</t>
  </si>
  <si>
    <t>1차 그룹화</t>
  </si>
  <si>
    <t>00:30</t>
  </si>
  <si>
    <t>10:00</t>
  </si>
  <si>
    <t>20:45</t>
  </si>
  <si>
    <t>뒤풀2차</t>
  </si>
  <si>
    <t>귀가시간</t>
  </si>
  <si>
    <t>03:09</t>
  </si>
  <si>
    <t>23:30</t>
  </si>
  <si>
    <t>1차 시간</t>
  </si>
  <si>
    <t>*입장시간</t>
  </si>
  <si>
    <t>20:00</t>
  </si>
  <si>
    <t>20:30</t>
  </si>
  <si>
    <t>00:10</t>
  </si>
  <si>
    <t>~05:00</t>
  </si>
  <si>
    <t>00:00</t>
  </si>
  <si>
    <t>01:41</t>
  </si>
  <si>
    <t>19:30</t>
  </si>
  <si>
    <t>보승회관</t>
  </si>
  <si>
    <t>22:45</t>
  </si>
  <si>
    <t>21:05</t>
  </si>
  <si>
    <t>수지상회</t>
  </si>
  <si>
    <t>01:40</t>
  </si>
  <si>
    <t>일회용품</t>
  </si>
  <si>
    <t>02:00</t>
  </si>
  <si>
    <t>01:22</t>
  </si>
  <si>
    <t>23:40</t>
  </si>
  <si>
    <t>23:10</t>
  </si>
  <si>
    <t>23:00</t>
  </si>
  <si>
    <t>01:00</t>
  </si>
  <si>
    <t>02:49</t>
  </si>
  <si>
    <t>김치찌개</t>
  </si>
  <si>
    <t>06:00</t>
  </si>
  <si>
    <t>02:30</t>
  </si>
  <si>
    <t>뒤풀1차</t>
  </si>
  <si>
    <t>가마호프</t>
  </si>
  <si>
    <t>이진진</t>
    <phoneticPr fontId="7" type="noConversion"/>
  </si>
  <si>
    <t>이향리</t>
    <phoneticPr fontId="7" type="noConversion"/>
  </si>
  <si>
    <t>김주곤</t>
    <phoneticPr fontId="7" type="noConversion"/>
  </si>
  <si>
    <t>김지우</t>
    <phoneticPr fontId="7" type="noConversion"/>
  </si>
  <si>
    <t>임정연</t>
    <phoneticPr fontId="7" type="noConversion"/>
  </si>
  <si>
    <t>김준용</t>
    <phoneticPr fontId="7" type="noConversion"/>
  </si>
  <si>
    <t>윤민식</t>
    <phoneticPr fontId="7" type="noConversion"/>
  </si>
  <si>
    <t>안주</t>
    <phoneticPr fontId="7" type="noConversion"/>
  </si>
  <si>
    <t>술</t>
    <phoneticPr fontId="7" type="noConversion"/>
  </si>
  <si>
    <t>영화</t>
    <phoneticPr fontId="7" type="noConversion"/>
  </si>
  <si>
    <t>볼링</t>
    <phoneticPr fontId="7" type="noConversion"/>
  </si>
  <si>
    <t>신발</t>
    <phoneticPr fontId="7" type="noConversion"/>
  </si>
  <si>
    <t>홍석범</t>
    <phoneticPr fontId="7" type="noConversion"/>
  </si>
  <si>
    <t>박서현</t>
    <phoneticPr fontId="7" type="noConversion"/>
  </si>
  <si>
    <t>이수민</t>
    <phoneticPr fontId="7" type="noConversion"/>
  </si>
  <si>
    <t>김해찬</t>
    <phoneticPr fontId="7" type="noConversion"/>
  </si>
  <si>
    <t>술 3개 제외</t>
    <phoneticPr fontId="7" type="noConversion"/>
  </si>
  <si>
    <t>비고</t>
    <phoneticPr fontId="7" type="noConversion"/>
  </si>
  <si>
    <t>이규엽</t>
    <phoneticPr fontId="7" type="noConversion"/>
  </si>
  <si>
    <t>이지원</t>
    <phoneticPr fontId="7" type="noConversion"/>
  </si>
  <si>
    <t>최지훈</t>
    <phoneticPr fontId="7" type="noConversion"/>
  </si>
  <si>
    <t>하은희</t>
    <phoneticPr fontId="7" type="noConversion"/>
  </si>
  <si>
    <t>이성현</t>
    <phoneticPr fontId="7" type="noConversion"/>
  </si>
  <si>
    <t>정하영</t>
    <phoneticPr fontId="7" type="noConversion"/>
  </si>
  <si>
    <t>황인우</t>
    <phoneticPr fontId="7" type="noConversion"/>
  </si>
  <si>
    <t>김보라</t>
    <phoneticPr fontId="7" type="noConversion"/>
  </si>
  <si>
    <t>이광민</t>
    <phoneticPr fontId="7" type="noConversion"/>
  </si>
  <si>
    <t>숙소</t>
    <phoneticPr fontId="7" type="noConversion"/>
  </si>
  <si>
    <t>바비큐</t>
    <phoneticPr fontId="7" type="noConversion"/>
  </si>
  <si>
    <t>마트</t>
    <phoneticPr fontId="7" type="noConversion"/>
  </si>
  <si>
    <t>문구점</t>
    <phoneticPr fontId="7" type="noConversion"/>
  </si>
  <si>
    <t>편의점</t>
    <phoneticPr fontId="7" type="noConversion"/>
  </si>
  <si>
    <t>교통비</t>
    <phoneticPr fontId="7" type="noConversion"/>
  </si>
  <si>
    <t>회비지원</t>
    <phoneticPr fontId="7" type="noConversion"/>
  </si>
  <si>
    <t>운전자</t>
    <phoneticPr fontId="7" type="noConversion"/>
  </si>
  <si>
    <t>회비미납자</t>
    <phoneticPr fontId="7" type="noConversion"/>
  </si>
  <si>
    <t>왕복이용</t>
    <phoneticPr fontId="7" type="noConversion"/>
  </si>
  <si>
    <t>편도이용</t>
    <phoneticPr fontId="7" type="noConversion"/>
  </si>
  <si>
    <t>족발</t>
    <phoneticPr fontId="7" type="noConversion"/>
  </si>
  <si>
    <t>신혜원</t>
    <phoneticPr fontId="7" type="noConversion"/>
  </si>
  <si>
    <t>오재민</t>
    <phoneticPr fontId="7" type="noConversion"/>
  </si>
  <si>
    <t>포켓볼</t>
    <phoneticPr fontId="7" type="noConversion"/>
  </si>
  <si>
    <t>술집</t>
    <phoneticPr fontId="7" type="noConversion"/>
  </si>
  <si>
    <t>김세미</t>
    <phoneticPr fontId="7" type="noConversion"/>
  </si>
  <si>
    <t>홍정우</t>
    <phoneticPr fontId="7" type="noConversion"/>
  </si>
  <si>
    <t>조윤정</t>
    <phoneticPr fontId="7" type="noConversion"/>
  </si>
  <si>
    <t>피자</t>
    <phoneticPr fontId="7" type="noConversion"/>
  </si>
  <si>
    <t>Boss 1차</t>
    <phoneticPr fontId="7" type="noConversion"/>
  </si>
  <si>
    <t>Boss 2차</t>
    <phoneticPr fontId="7" type="noConversion"/>
  </si>
  <si>
    <t>결제</t>
    <phoneticPr fontId="7" type="noConversion"/>
  </si>
  <si>
    <t>입장시각</t>
    <phoneticPr fontId="7" type="noConversion"/>
  </si>
  <si>
    <t>귀가시각</t>
    <phoneticPr fontId="7" type="noConversion"/>
  </si>
  <si>
    <t>이다영</t>
    <phoneticPr fontId="7" type="noConversion"/>
  </si>
  <si>
    <t>22:30</t>
    <phoneticPr fontId="7" type="noConversion"/>
  </si>
  <si>
    <t>설맥</t>
    <phoneticPr fontId="7" type="noConversion"/>
  </si>
  <si>
    <t>19:00~20:30</t>
    <phoneticPr fontId="7" type="noConversion"/>
  </si>
  <si>
    <t>20:30~23:00</t>
    <phoneticPr fontId="7" type="noConversion"/>
  </si>
  <si>
    <t>금복주류</t>
    <phoneticPr fontId="7" type="noConversion"/>
  </si>
  <si>
    <t>택시</t>
    <phoneticPr fontId="7" type="noConversion"/>
  </si>
  <si>
    <t>20:10</t>
    <phoneticPr fontId="7" type="noConversion"/>
  </si>
  <si>
    <t>20:20</t>
    <phoneticPr fontId="7" type="noConversion"/>
  </si>
  <si>
    <t>21:30</t>
    <phoneticPr fontId="7" type="noConversion"/>
  </si>
  <si>
    <t>29:30</t>
    <phoneticPr fontId="7" type="noConversion"/>
  </si>
  <si>
    <t>28:00</t>
    <phoneticPr fontId="7" type="noConversion"/>
  </si>
  <si>
    <t>23:00~23:50</t>
    <phoneticPr fontId="7" type="noConversion"/>
  </si>
  <si>
    <t>23:50~26:00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</si>
</sst>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_);[Red]\(#,##0\)"/>
    <numFmt numFmtId="177" formatCode="#,##0_ "/>
  </numFmts>
  <fonts count="10">
    <font>
      <sz val="11"/>
      <color rgb="FF000000"/>
      <name val="hnc_go_b_hint_gs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611F2"/>
      <name val="맑은 고딕"/>
      <family val="3"/>
      <charset val="129"/>
    </font>
    <font>
      <sz val="11"/>
      <color rgb="FFFF00FF"/>
      <name val="맑은 고딕"/>
      <family val="3"/>
      <charset val="129"/>
    </font>
    <font>
      <i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hnc_go_b_hint_gs"/>
      <family val="3"/>
      <charset val="129"/>
    </font>
    <font>
      <sz val="11"/>
      <color rgb="FF0070C0"/>
      <name val="맑은 고딕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rgb="FFF3DCDC"/>
        <bgColor rgb="FFF3DCDC"/>
      </patternFill>
    </fill>
    <fill>
      <patternFill patternType="solid">
        <fgColor rgb="FFE9B9B9"/>
        <bgColor rgb="FFE9B9B9"/>
      </patternFill>
    </fill>
    <fill>
      <patternFill patternType="solid">
        <fgColor rgb="FFF6DFAA"/>
        <bgColor rgb="FFF6DFAA"/>
      </patternFill>
    </fill>
    <fill>
      <patternFill patternType="solid">
        <fgColor rgb="FFFBEFD4"/>
        <bgColor rgb="FFFBEFD4"/>
      </patternFill>
    </fill>
    <fill>
      <patternFill patternType="solid">
        <fgColor rgb="FFC3E0A6"/>
        <bgColor rgb="FFC3E0A6"/>
      </patternFill>
    </fill>
    <fill>
      <patternFill patternType="solid">
        <fgColor rgb="FFE1EFD3"/>
        <bgColor rgb="FFE1EFD3"/>
      </patternFill>
    </fill>
    <fill>
      <patternFill patternType="solid">
        <fgColor rgb="FFA2BEE0"/>
        <bgColor rgb="FFA2BEE0"/>
      </patternFill>
    </fill>
    <fill>
      <patternFill patternType="solid">
        <fgColor rgb="FFD0DEEF"/>
        <bgColor rgb="FFD0DEEF"/>
      </patternFill>
    </fill>
    <fill>
      <patternFill patternType="solid">
        <fgColor rgb="FFF4DEEE"/>
        <bgColor rgb="FFF4DEEE"/>
      </patternFill>
    </fill>
    <fill>
      <patternFill patternType="solid">
        <fgColor rgb="FFEABCDC"/>
        <bgColor rgb="FFEABCDC"/>
      </patternFill>
    </fill>
    <fill>
      <patternFill patternType="solid">
        <fgColor rgb="FFFFBBBB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FEBDF"/>
        <bgColor indexed="64"/>
      </patternFill>
    </fill>
    <fill>
      <patternFill patternType="solid">
        <fgColor rgb="FFFFD4BB"/>
        <bgColor indexed="64"/>
      </patternFill>
    </fill>
    <fill>
      <patternFill patternType="solid">
        <fgColor rgb="FFBBE8FF"/>
        <bgColor indexed="64"/>
      </patternFill>
    </fill>
    <fill>
      <patternFill patternType="solid">
        <fgColor rgb="FFDFF4FF"/>
        <bgColor indexed="64"/>
      </patternFill>
    </fill>
    <fill>
      <patternFill patternType="solid">
        <fgColor rgb="FFE4F9E4"/>
        <bgColor indexed="64"/>
      </patternFill>
    </fill>
    <fill>
      <patternFill patternType="solid">
        <fgColor rgb="FFC7F2C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D1BB"/>
        <bgColor indexed="64"/>
      </patternFill>
    </fill>
    <fill>
      <patternFill patternType="solid">
        <fgColor rgb="FFC9D8F0"/>
        <bgColor indexed="64"/>
      </patternFill>
    </fill>
    <fill>
      <patternFill patternType="solid">
        <fgColor rgb="FFE6ECF8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A3D7DE"/>
        <bgColor rgb="FFC3E0A6"/>
      </patternFill>
    </fill>
    <fill>
      <patternFill patternType="solid">
        <fgColor rgb="FFD2EBEE"/>
        <bgColor rgb="FFE1EFD3"/>
      </patternFill>
    </fill>
    <fill>
      <patternFill patternType="solid">
        <fgColor rgb="FFF6DFAA"/>
        <bgColor rgb="FFE9B9B9"/>
      </patternFill>
    </fill>
    <fill>
      <patternFill patternType="solid">
        <fgColor rgb="FFC3E0A6"/>
        <bgColor rgb="FFE9B9B9"/>
      </patternFill>
    </fill>
    <fill>
      <patternFill patternType="solid">
        <fgColor rgb="FFA3D7DE"/>
        <bgColor rgb="FFE9B9B9"/>
      </patternFill>
    </fill>
    <fill>
      <patternFill patternType="solid">
        <fgColor rgb="FFA2BEE0"/>
        <bgColor rgb="FFE9B9B9"/>
      </patternFill>
    </fill>
    <fill>
      <patternFill patternType="solid">
        <fgColor rgb="FFE9B9B9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EFE5"/>
        <bgColor indexed="64"/>
      </patternFill>
    </fill>
    <fill>
      <patternFill patternType="solid">
        <fgColor rgb="FFE7E7F7"/>
        <bgColor indexed="64"/>
      </patternFill>
    </fill>
    <fill>
      <patternFill patternType="solid">
        <fgColor rgb="FFCCCCE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FBEFD4"/>
      </patternFill>
    </fill>
    <fill>
      <patternFill patternType="solid">
        <fgColor theme="6" tint="0.59999389629810485"/>
        <bgColor rgb="FFE9B9B9"/>
      </patternFill>
    </fill>
    <fill>
      <patternFill patternType="solid">
        <fgColor theme="6" tint="0.79998168889431442"/>
        <bgColor rgb="FFF3DCDC"/>
      </patternFill>
    </fill>
    <fill>
      <patternFill patternType="solid">
        <fgColor theme="7" tint="0.59999389629810485"/>
        <bgColor rgb="FFE9B9B9"/>
      </patternFill>
    </fill>
  </fills>
  <borders count="16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rgb="FF000000"/>
      </bottom>
      <diagonal/>
    </border>
    <border>
      <left style="thin">
        <color indexed="64"/>
      </left>
      <right/>
      <top style="double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23">
    <xf numFmtId="0" fontId="0" fillId="0" borderId="0" xfId="0" applyAlignment="1">
      <alignment vertical="center"/>
    </xf>
    <xf numFmtId="176" fontId="1" fillId="9" borderId="21" xfId="0" applyNumberFormat="1" applyFont="1" applyFill="1" applyBorder="1" applyAlignment="1">
      <alignment horizontal="center" vertical="center"/>
    </xf>
    <xf numFmtId="176" fontId="1" fillId="5" borderId="11" xfId="0" applyNumberFormat="1" applyFont="1" applyFill="1" applyBorder="1" applyAlignment="1">
      <alignment horizontal="center" vertical="center"/>
    </xf>
    <xf numFmtId="176" fontId="1" fillId="7" borderId="10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20" fontId="1" fillId="0" borderId="2" xfId="0" applyNumberFormat="1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20" fontId="1" fillId="0" borderId="3" xfId="0" quotePrefix="1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8" xfId="0" quotePrefix="1" applyFont="1" applyFill="1" applyBorder="1" applyAlignment="1">
      <alignment horizontal="center" vertical="center"/>
    </xf>
    <xf numFmtId="176" fontId="1" fillId="2" borderId="9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6" fontId="1" fillId="2" borderId="11" xfId="0" applyNumberFormat="1" applyFont="1" applyFill="1" applyBorder="1" applyAlignment="1">
      <alignment horizontal="center" vertical="center"/>
    </xf>
    <xf numFmtId="176" fontId="1" fillId="3" borderId="12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20" fontId="1" fillId="5" borderId="5" xfId="0" quotePrefix="1" applyNumberFormat="1" applyFont="1" applyFill="1" applyBorder="1" applyAlignment="1">
      <alignment horizontal="center" vertical="center"/>
    </xf>
    <xf numFmtId="176" fontId="1" fillId="5" borderId="6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8" xfId="0" quotePrefix="1" applyFont="1" applyFill="1" applyBorder="1" applyAlignment="1">
      <alignment horizontal="center" vertical="center"/>
    </xf>
    <xf numFmtId="176" fontId="1" fillId="5" borderId="9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20" fontId="1" fillId="0" borderId="0" xfId="0" applyNumberFormat="1" applyFont="1" applyAlignment="1">
      <alignment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2" xfId="0" quotePrefix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" fillId="4" borderId="12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20" fontId="1" fillId="7" borderId="5" xfId="0" quotePrefix="1" applyNumberFormat="1" applyFont="1" applyFill="1" applyBorder="1" applyAlignment="1">
      <alignment horizontal="center" vertical="center"/>
    </xf>
    <xf numFmtId="176" fontId="1" fillId="7" borderId="6" xfId="0" applyNumberFormat="1" applyFont="1" applyFill="1" applyBorder="1" applyAlignment="1">
      <alignment horizontal="center" vertical="center"/>
    </xf>
    <xf numFmtId="176" fontId="1" fillId="6" borderId="4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20" fontId="1" fillId="7" borderId="8" xfId="0" quotePrefix="1" applyNumberFormat="1" applyFont="1" applyFill="1" applyBorder="1" applyAlignment="1">
      <alignment horizontal="center" vertical="center"/>
    </xf>
    <xf numFmtId="176" fontId="1" fillId="7" borderId="9" xfId="0" applyNumberFormat="1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20" fontId="1" fillId="7" borderId="8" xfId="0" applyNumberFormat="1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20" fontId="1" fillId="7" borderId="15" xfId="0" applyNumberFormat="1" applyFont="1" applyFill="1" applyBorder="1" applyAlignment="1">
      <alignment horizontal="center" vertical="center"/>
    </xf>
    <xf numFmtId="176" fontId="1" fillId="7" borderId="3" xfId="0" applyNumberFormat="1" applyFont="1" applyFill="1" applyBorder="1" applyAlignment="1">
      <alignment horizontal="center" vertical="center"/>
    </xf>
    <xf numFmtId="176" fontId="1" fillId="7" borderId="16" xfId="0" applyNumberFormat="1" applyFont="1" applyFill="1" applyBorder="1" applyAlignment="1">
      <alignment horizontal="center" vertical="center"/>
    </xf>
    <xf numFmtId="176" fontId="1" fillId="7" borderId="17" xfId="0" applyNumberFormat="1" applyFont="1" applyFill="1" applyBorder="1" applyAlignment="1">
      <alignment horizontal="center" vertical="center"/>
    </xf>
    <xf numFmtId="176" fontId="1" fillId="6" borderId="12" xfId="0" applyNumberFormat="1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20" fontId="1" fillId="9" borderId="19" xfId="0" applyNumberFormat="1" applyFont="1" applyFill="1" applyBorder="1" applyAlignment="1">
      <alignment horizontal="center" vertical="center"/>
    </xf>
    <xf numFmtId="176" fontId="1" fillId="9" borderId="20" xfId="0" applyNumberFormat="1" applyFont="1" applyFill="1" applyBorder="1" applyAlignment="1">
      <alignment horizontal="center" vertical="center"/>
    </xf>
    <xf numFmtId="176" fontId="1" fillId="8" borderId="18" xfId="0" applyNumberFormat="1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20" fontId="1" fillId="9" borderId="2" xfId="0" applyNumberFormat="1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/>
    </xf>
    <xf numFmtId="176" fontId="1" fillId="9" borderId="11" xfId="0" applyNumberFormat="1" applyFont="1" applyFill="1" applyBorder="1" applyAlignment="1">
      <alignment horizontal="center" vertical="center"/>
    </xf>
    <xf numFmtId="176" fontId="1" fillId="8" borderId="12" xfId="0" applyNumberFormat="1" applyFont="1" applyFill="1" applyBorder="1" applyAlignment="1">
      <alignment horizontal="center" vertical="center"/>
    </xf>
    <xf numFmtId="176" fontId="1" fillId="10" borderId="22" xfId="0" applyNumberFormat="1" applyFont="1" applyFill="1" applyBorder="1" applyAlignment="1">
      <alignment horizontal="center" vertical="center"/>
    </xf>
    <xf numFmtId="176" fontId="1" fillId="10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0" borderId="16" xfId="0" applyNumberFormat="1" applyFont="1" applyBorder="1" applyAlignment="1">
      <alignment horizontal="center" vertical="center"/>
    </xf>
    <xf numFmtId="176" fontId="1" fillId="0" borderId="17" xfId="0" applyNumberFormat="1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0" fontId="1" fillId="0" borderId="0" xfId="0" quotePrefix="1" applyFont="1" applyAlignment="1">
      <alignment vertical="center"/>
    </xf>
    <xf numFmtId="20" fontId="1" fillId="0" borderId="0" xfId="0" quotePrefix="1" applyNumberFormat="1" applyFont="1" applyAlignment="1">
      <alignment vertical="center"/>
    </xf>
    <xf numFmtId="176" fontId="2" fillId="0" borderId="25" xfId="0" applyNumberFormat="1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176" fontId="2" fillId="0" borderId="27" xfId="0" applyNumberFormat="1" applyFont="1" applyBorder="1" applyAlignment="1">
      <alignment horizontal="center" vertical="center"/>
    </xf>
    <xf numFmtId="176" fontId="2" fillId="0" borderId="28" xfId="0" applyNumberFormat="1" applyFont="1" applyBorder="1" applyAlignment="1">
      <alignment horizontal="center" vertical="center"/>
    </xf>
    <xf numFmtId="176" fontId="1" fillId="0" borderId="29" xfId="0" applyNumberFormat="1" applyFont="1" applyBorder="1" applyAlignment="1">
      <alignment horizontal="center" vertical="center"/>
    </xf>
    <xf numFmtId="176" fontId="1" fillId="0" borderId="30" xfId="0" applyNumberFormat="1" applyFont="1" applyBorder="1" applyAlignment="1">
      <alignment horizontal="center" vertical="center"/>
    </xf>
    <xf numFmtId="176" fontId="1" fillId="0" borderId="31" xfId="0" applyNumberFormat="1" applyFont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2" borderId="33" xfId="0" applyNumberFormat="1" applyFont="1" applyFill="1" applyBorder="1" applyAlignment="1">
      <alignment horizontal="center" vertical="center"/>
    </xf>
    <xf numFmtId="176" fontId="1" fillId="12" borderId="34" xfId="0" applyNumberFormat="1" applyFont="1" applyFill="1" applyBorder="1" applyAlignment="1">
      <alignment horizontal="center" vertical="center"/>
    </xf>
    <xf numFmtId="176" fontId="1" fillId="13" borderId="35" xfId="0" quotePrefix="1" applyNumberFormat="1" applyFont="1" applyFill="1" applyBorder="1" applyAlignment="1">
      <alignment horizontal="center" vertical="center"/>
    </xf>
    <xf numFmtId="176" fontId="1" fillId="13" borderId="36" xfId="0" quotePrefix="1" applyNumberFormat="1" applyFont="1" applyFill="1" applyBorder="1" applyAlignment="1">
      <alignment horizontal="center" vertical="center"/>
    </xf>
    <xf numFmtId="176" fontId="1" fillId="13" borderId="36" xfId="0" applyNumberFormat="1" applyFont="1" applyFill="1" applyBorder="1" applyAlignment="1">
      <alignment horizontal="center" vertical="center"/>
    </xf>
    <xf numFmtId="176" fontId="1" fillId="13" borderId="37" xfId="0" applyNumberFormat="1" applyFont="1" applyFill="1" applyBorder="1" applyAlignment="1">
      <alignment horizontal="center" vertical="center"/>
    </xf>
    <xf numFmtId="176" fontId="1" fillId="13" borderId="38" xfId="0" quotePrefix="1" applyNumberFormat="1" applyFont="1" applyFill="1" applyBorder="1" applyAlignment="1">
      <alignment horizontal="center" vertical="center"/>
    </xf>
    <xf numFmtId="176" fontId="1" fillId="13" borderId="39" xfId="0" quotePrefix="1" applyNumberFormat="1" applyFont="1" applyFill="1" applyBorder="1" applyAlignment="1">
      <alignment horizontal="center" vertical="center"/>
    </xf>
    <xf numFmtId="176" fontId="1" fillId="13" borderId="39" xfId="0" applyNumberFormat="1" applyFont="1" applyFill="1" applyBorder="1" applyAlignment="1">
      <alignment horizontal="center" vertical="center"/>
    </xf>
    <xf numFmtId="176" fontId="1" fillId="13" borderId="40" xfId="0" applyNumberFormat="1" applyFont="1" applyFill="1" applyBorder="1" applyAlignment="1">
      <alignment horizontal="center" vertical="center"/>
    </xf>
    <xf numFmtId="176" fontId="1" fillId="13" borderId="41" xfId="0" quotePrefix="1" applyNumberFormat="1" applyFont="1" applyFill="1" applyBorder="1" applyAlignment="1">
      <alignment horizontal="center" vertical="center"/>
    </xf>
    <xf numFmtId="176" fontId="1" fillId="13" borderId="42" xfId="0" quotePrefix="1" applyNumberFormat="1" applyFont="1" applyFill="1" applyBorder="1" applyAlignment="1">
      <alignment horizontal="center" vertical="center"/>
    </xf>
    <xf numFmtId="176" fontId="1" fillId="13" borderId="42" xfId="0" applyNumberFormat="1" applyFont="1" applyFill="1" applyBorder="1" applyAlignment="1">
      <alignment horizontal="center" vertical="center"/>
    </xf>
    <xf numFmtId="176" fontId="1" fillId="13" borderId="43" xfId="0" applyNumberFormat="1" applyFont="1" applyFill="1" applyBorder="1" applyAlignment="1">
      <alignment horizontal="center" vertical="center"/>
    </xf>
    <xf numFmtId="176" fontId="1" fillId="14" borderId="35" xfId="0" quotePrefix="1" applyNumberFormat="1" applyFont="1" applyFill="1" applyBorder="1" applyAlignment="1">
      <alignment horizontal="center" vertical="center"/>
    </xf>
    <xf numFmtId="176" fontId="1" fillId="14" borderId="36" xfId="0" quotePrefix="1" applyNumberFormat="1" applyFont="1" applyFill="1" applyBorder="1" applyAlignment="1">
      <alignment horizontal="center" vertical="center"/>
    </xf>
    <xf numFmtId="176" fontId="1" fillId="14" borderId="36" xfId="0" applyNumberFormat="1" applyFont="1" applyFill="1" applyBorder="1" applyAlignment="1">
      <alignment horizontal="center" vertical="center"/>
    </xf>
    <xf numFmtId="176" fontId="1" fillId="14" borderId="37" xfId="0" applyNumberFormat="1" applyFont="1" applyFill="1" applyBorder="1" applyAlignment="1">
      <alignment horizontal="center" vertical="center"/>
    </xf>
    <xf numFmtId="176" fontId="1" fillId="14" borderId="38" xfId="0" quotePrefix="1" applyNumberFormat="1" applyFont="1" applyFill="1" applyBorder="1" applyAlignment="1">
      <alignment horizontal="center" vertical="center"/>
    </xf>
    <xf numFmtId="176" fontId="1" fillId="14" borderId="39" xfId="0" quotePrefix="1" applyNumberFormat="1" applyFont="1" applyFill="1" applyBorder="1" applyAlignment="1">
      <alignment horizontal="center" vertical="center"/>
    </xf>
    <xf numFmtId="176" fontId="1" fillId="14" borderId="39" xfId="0" applyNumberFormat="1" applyFont="1" applyFill="1" applyBorder="1" applyAlignment="1">
      <alignment horizontal="center" vertical="center"/>
    </xf>
    <xf numFmtId="176" fontId="1" fillId="14" borderId="40" xfId="0" applyNumberFormat="1" applyFont="1" applyFill="1" applyBorder="1" applyAlignment="1">
      <alignment horizontal="center" vertical="center"/>
    </xf>
    <xf numFmtId="176" fontId="1" fillId="14" borderId="41" xfId="0" quotePrefix="1" applyNumberFormat="1" applyFont="1" applyFill="1" applyBorder="1" applyAlignment="1">
      <alignment horizontal="center" vertical="center"/>
    </xf>
    <xf numFmtId="176" fontId="1" fillId="14" borderId="42" xfId="0" quotePrefix="1" applyNumberFormat="1" applyFont="1" applyFill="1" applyBorder="1" applyAlignment="1">
      <alignment horizontal="center" vertical="center"/>
    </xf>
    <xf numFmtId="176" fontId="1" fillId="14" borderId="42" xfId="0" applyNumberFormat="1" applyFont="1" applyFill="1" applyBorder="1" applyAlignment="1">
      <alignment horizontal="center" vertical="center"/>
    </xf>
    <xf numFmtId="176" fontId="1" fillId="14" borderId="43" xfId="0" applyNumberFormat="1" applyFont="1" applyFill="1" applyBorder="1" applyAlignment="1">
      <alignment horizontal="center" vertical="center"/>
    </xf>
    <xf numFmtId="176" fontId="1" fillId="15" borderId="32" xfId="0" applyNumberFormat="1" applyFont="1" applyFill="1" applyBorder="1" applyAlignment="1">
      <alignment horizontal="center" vertical="center"/>
    </xf>
    <xf numFmtId="176" fontId="1" fillId="15" borderId="33" xfId="0" applyNumberFormat="1" applyFont="1" applyFill="1" applyBorder="1" applyAlignment="1">
      <alignment horizontal="center" vertical="center"/>
    </xf>
    <xf numFmtId="176" fontId="1" fillId="15" borderId="34" xfId="0" applyNumberFormat="1" applyFont="1" applyFill="1" applyBorder="1" applyAlignment="1">
      <alignment horizontal="center" vertical="center"/>
    </xf>
    <xf numFmtId="176" fontId="1" fillId="16" borderId="32" xfId="0" applyNumberFormat="1" applyFont="1" applyFill="1" applyBorder="1" applyAlignment="1">
      <alignment horizontal="center" vertical="center"/>
    </xf>
    <xf numFmtId="176" fontId="1" fillId="16" borderId="33" xfId="0" applyNumberFormat="1" applyFont="1" applyFill="1" applyBorder="1" applyAlignment="1">
      <alignment horizontal="center" vertical="center"/>
    </xf>
    <xf numFmtId="176" fontId="1" fillId="16" borderId="44" xfId="0" applyNumberFormat="1" applyFont="1" applyFill="1" applyBorder="1" applyAlignment="1">
      <alignment horizontal="center" vertical="center"/>
    </xf>
    <xf numFmtId="176" fontId="1" fillId="17" borderId="35" xfId="0" quotePrefix="1" applyNumberFormat="1" applyFont="1" applyFill="1" applyBorder="1" applyAlignment="1">
      <alignment horizontal="center" vertical="center"/>
    </xf>
    <xf numFmtId="176" fontId="1" fillId="17" borderId="36" xfId="0" quotePrefix="1" applyNumberFormat="1" applyFont="1" applyFill="1" applyBorder="1" applyAlignment="1">
      <alignment horizontal="center" vertical="center"/>
    </xf>
    <xf numFmtId="176" fontId="1" fillId="17" borderId="36" xfId="0" applyNumberFormat="1" applyFont="1" applyFill="1" applyBorder="1" applyAlignment="1">
      <alignment horizontal="center" vertical="center"/>
    </xf>
    <xf numFmtId="176" fontId="1" fillId="17" borderId="37" xfId="0" applyNumberFormat="1" applyFont="1" applyFill="1" applyBorder="1" applyAlignment="1">
      <alignment horizontal="center" vertical="center"/>
    </xf>
    <xf numFmtId="176" fontId="1" fillId="17" borderId="38" xfId="0" quotePrefix="1" applyNumberFormat="1" applyFont="1" applyFill="1" applyBorder="1" applyAlignment="1">
      <alignment horizontal="center" vertical="center"/>
    </xf>
    <xf numFmtId="176" fontId="1" fillId="17" borderId="39" xfId="0" quotePrefix="1" applyNumberFormat="1" applyFont="1" applyFill="1" applyBorder="1" applyAlignment="1">
      <alignment horizontal="center" vertical="center"/>
    </xf>
    <xf numFmtId="176" fontId="1" fillId="17" borderId="39" xfId="0" applyNumberFormat="1" applyFont="1" applyFill="1" applyBorder="1" applyAlignment="1">
      <alignment horizontal="center" vertical="center"/>
    </xf>
    <xf numFmtId="176" fontId="1" fillId="17" borderId="40" xfId="0" applyNumberFormat="1" applyFont="1" applyFill="1" applyBorder="1" applyAlignment="1">
      <alignment horizontal="center" vertical="center"/>
    </xf>
    <xf numFmtId="176" fontId="1" fillId="17" borderId="45" xfId="0" quotePrefix="1" applyNumberFormat="1" applyFont="1" applyFill="1" applyBorder="1" applyAlignment="1">
      <alignment horizontal="center" vertical="center"/>
    </xf>
    <xf numFmtId="176" fontId="1" fillId="17" borderId="46" xfId="0" quotePrefix="1" applyNumberFormat="1" applyFont="1" applyFill="1" applyBorder="1" applyAlignment="1">
      <alignment horizontal="center" vertical="center"/>
    </xf>
    <xf numFmtId="176" fontId="1" fillId="17" borderId="46" xfId="0" applyNumberFormat="1" applyFont="1" applyFill="1" applyBorder="1" applyAlignment="1">
      <alignment horizontal="center" vertical="center"/>
    </xf>
    <xf numFmtId="176" fontId="1" fillId="17" borderId="47" xfId="0" applyNumberFormat="1" applyFont="1" applyFill="1" applyBorder="1" applyAlignment="1">
      <alignment horizontal="center" vertical="center"/>
    </xf>
    <xf numFmtId="176" fontId="1" fillId="18" borderId="35" xfId="0" quotePrefix="1" applyNumberFormat="1" applyFont="1" applyFill="1" applyBorder="1" applyAlignment="1">
      <alignment horizontal="center" vertical="center"/>
    </xf>
    <xf numFmtId="176" fontId="1" fillId="18" borderId="36" xfId="0" quotePrefix="1" applyNumberFormat="1" applyFont="1" applyFill="1" applyBorder="1" applyAlignment="1">
      <alignment horizontal="center" vertical="center"/>
    </xf>
    <xf numFmtId="176" fontId="1" fillId="18" borderId="36" xfId="0" applyNumberFormat="1" applyFont="1" applyFill="1" applyBorder="1" applyAlignment="1">
      <alignment horizontal="center" vertical="center"/>
    </xf>
    <xf numFmtId="176" fontId="1" fillId="18" borderId="37" xfId="0" applyNumberFormat="1" applyFont="1" applyFill="1" applyBorder="1" applyAlignment="1">
      <alignment horizontal="center" vertical="center"/>
    </xf>
    <xf numFmtId="176" fontId="1" fillId="18" borderId="38" xfId="0" quotePrefix="1" applyNumberFormat="1" applyFont="1" applyFill="1" applyBorder="1" applyAlignment="1">
      <alignment horizontal="center" vertical="center"/>
    </xf>
    <xf numFmtId="176" fontId="1" fillId="18" borderId="39" xfId="0" quotePrefix="1" applyNumberFormat="1" applyFont="1" applyFill="1" applyBorder="1" applyAlignment="1">
      <alignment horizontal="center" vertical="center"/>
    </xf>
    <xf numFmtId="176" fontId="1" fillId="18" borderId="39" xfId="0" applyNumberFormat="1" applyFont="1" applyFill="1" applyBorder="1" applyAlignment="1">
      <alignment horizontal="center" vertical="center"/>
    </xf>
    <xf numFmtId="176" fontId="1" fillId="18" borderId="40" xfId="0" applyNumberFormat="1" applyFont="1" applyFill="1" applyBorder="1" applyAlignment="1">
      <alignment horizontal="center" vertical="center"/>
    </xf>
    <xf numFmtId="176" fontId="1" fillId="18" borderId="41" xfId="0" quotePrefix="1" applyNumberFormat="1" applyFont="1" applyFill="1" applyBorder="1" applyAlignment="1">
      <alignment horizontal="center" vertical="center"/>
    </xf>
    <xf numFmtId="176" fontId="1" fillId="18" borderId="42" xfId="0" quotePrefix="1" applyNumberFormat="1" applyFont="1" applyFill="1" applyBorder="1" applyAlignment="1">
      <alignment horizontal="center" vertical="center"/>
    </xf>
    <xf numFmtId="176" fontId="1" fillId="18" borderId="42" xfId="0" applyNumberFormat="1" applyFont="1" applyFill="1" applyBorder="1" applyAlignment="1">
      <alignment horizontal="center" vertical="center"/>
    </xf>
    <xf numFmtId="176" fontId="1" fillId="18" borderId="43" xfId="0" applyNumberFormat="1" applyFont="1" applyFill="1" applyBorder="1" applyAlignment="1">
      <alignment horizontal="center" vertical="center"/>
    </xf>
    <xf numFmtId="176" fontId="1" fillId="19" borderId="32" xfId="0" applyNumberFormat="1" applyFont="1" applyFill="1" applyBorder="1" applyAlignment="1">
      <alignment horizontal="center" vertical="center"/>
    </xf>
    <xf numFmtId="176" fontId="1" fillId="19" borderId="33" xfId="0" applyNumberFormat="1" applyFont="1" applyFill="1" applyBorder="1" applyAlignment="1">
      <alignment horizontal="center" vertical="center"/>
    </xf>
    <xf numFmtId="176" fontId="1" fillId="19" borderId="3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20" fontId="1" fillId="0" borderId="0" xfId="0" quotePrefix="1" applyNumberFormat="1" applyFont="1" applyAlignment="1">
      <alignment horizontal="center" vertical="center"/>
    </xf>
    <xf numFmtId="176" fontId="2" fillId="20" borderId="48" xfId="0" applyNumberFormat="1" applyFont="1" applyFill="1" applyBorder="1" applyAlignment="1">
      <alignment horizontal="center" vertical="center"/>
    </xf>
    <xf numFmtId="176" fontId="2" fillId="0" borderId="49" xfId="0" applyNumberFormat="1" applyFont="1" applyBorder="1" applyAlignment="1">
      <alignment horizontal="center" vertical="center"/>
    </xf>
    <xf numFmtId="176" fontId="2" fillId="0" borderId="50" xfId="0" applyNumberFormat="1" applyFont="1" applyBorder="1" applyAlignment="1">
      <alignment horizontal="center" vertical="center"/>
    </xf>
    <xf numFmtId="176" fontId="2" fillId="0" borderId="51" xfId="0" applyNumberFormat="1" applyFont="1" applyBorder="1" applyAlignment="1">
      <alignment horizontal="center" vertical="center"/>
    </xf>
    <xf numFmtId="176" fontId="1" fillId="12" borderId="52" xfId="0" applyNumberFormat="1" applyFont="1" applyFill="1" applyBorder="1" applyAlignment="1">
      <alignment horizontal="center" vertical="center"/>
    </xf>
    <xf numFmtId="176" fontId="1" fillId="13" borderId="5" xfId="0" applyNumberFormat="1" applyFont="1" applyFill="1" applyBorder="1" applyAlignment="1">
      <alignment horizontal="center" vertical="center"/>
    </xf>
    <xf numFmtId="176" fontId="1" fillId="13" borderId="53" xfId="0" applyNumberFormat="1" applyFont="1" applyFill="1" applyBorder="1" applyAlignment="1">
      <alignment horizontal="center" vertical="center"/>
    </xf>
    <xf numFmtId="176" fontId="1" fillId="12" borderId="54" xfId="0" applyNumberFormat="1" applyFont="1" applyFill="1" applyBorder="1" applyAlignment="1">
      <alignment horizontal="center" vertical="center"/>
    </xf>
    <xf numFmtId="176" fontId="1" fillId="12" borderId="55" xfId="0" applyNumberFormat="1" applyFont="1" applyFill="1" applyBorder="1" applyAlignment="1">
      <alignment horizontal="center" vertical="center"/>
    </xf>
    <xf numFmtId="176" fontId="1" fillId="13" borderId="56" xfId="0" applyNumberFormat="1" applyFont="1" applyFill="1" applyBorder="1" applyAlignment="1">
      <alignment horizontal="center" vertical="center"/>
    </xf>
    <xf numFmtId="176" fontId="1" fillId="12" borderId="57" xfId="0" applyNumberFormat="1" applyFont="1" applyFill="1" applyBorder="1" applyAlignment="1">
      <alignment horizontal="center" vertical="center"/>
    </xf>
    <xf numFmtId="176" fontId="1" fillId="13" borderId="8" xfId="0" applyNumberFormat="1" applyFont="1" applyFill="1" applyBorder="1" applyAlignment="1">
      <alignment horizontal="center" vertical="center"/>
    </xf>
    <xf numFmtId="176" fontId="1" fillId="12" borderId="58" xfId="0" applyNumberFormat="1" applyFont="1" applyFill="1" applyBorder="1" applyAlignment="1">
      <alignment horizontal="center" vertical="center"/>
    </xf>
    <xf numFmtId="176" fontId="1" fillId="13" borderId="2" xfId="0" applyNumberFormat="1" applyFont="1" applyFill="1" applyBorder="1" applyAlignment="1">
      <alignment horizontal="center" vertical="center"/>
    </xf>
    <xf numFmtId="176" fontId="1" fillId="13" borderId="59" xfId="0" applyNumberFormat="1" applyFont="1" applyFill="1" applyBorder="1" applyAlignment="1">
      <alignment horizontal="center" vertical="center"/>
    </xf>
    <xf numFmtId="176" fontId="1" fillId="12" borderId="60" xfId="0" applyNumberFormat="1" applyFont="1" applyFill="1" applyBorder="1" applyAlignment="1">
      <alignment horizontal="center" vertical="center"/>
    </xf>
    <xf numFmtId="176" fontId="1" fillId="15" borderId="52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14" borderId="53" xfId="0" applyNumberFormat="1" applyFont="1" applyFill="1" applyBorder="1" applyAlignment="1">
      <alignment horizontal="center" vertical="center"/>
    </xf>
    <xf numFmtId="176" fontId="1" fillId="21" borderId="54" xfId="0" applyNumberFormat="1" applyFont="1" applyFill="1" applyBorder="1" applyAlignment="1">
      <alignment horizontal="center" vertical="center"/>
    </xf>
    <xf numFmtId="176" fontId="1" fillId="15" borderId="55" xfId="0" applyNumberFormat="1" applyFont="1" applyFill="1" applyBorder="1" applyAlignment="1">
      <alignment horizontal="center" vertical="center"/>
    </xf>
    <xf numFmtId="176" fontId="1" fillId="14" borderId="8" xfId="0" applyNumberFormat="1" applyFont="1" applyFill="1" applyBorder="1" applyAlignment="1">
      <alignment horizontal="center" vertical="center"/>
    </xf>
    <xf numFmtId="176" fontId="1" fillId="14" borderId="56" xfId="0" applyNumberFormat="1" applyFont="1" applyFill="1" applyBorder="1" applyAlignment="1">
      <alignment horizontal="center" vertical="center"/>
    </xf>
    <xf numFmtId="176" fontId="1" fillId="21" borderId="57" xfId="0" applyNumberFormat="1" applyFont="1" applyFill="1" applyBorder="1" applyAlignment="1">
      <alignment horizontal="center" vertical="center"/>
    </xf>
    <xf numFmtId="176" fontId="1" fillId="15" borderId="58" xfId="0" applyNumberFormat="1" applyFont="1" applyFill="1" applyBorder="1" applyAlignment="1">
      <alignment horizontal="center" vertical="center"/>
    </xf>
    <xf numFmtId="176" fontId="1" fillId="14" borderId="2" xfId="0" applyNumberFormat="1" applyFont="1" applyFill="1" applyBorder="1" applyAlignment="1">
      <alignment horizontal="center" vertical="center"/>
    </xf>
    <xf numFmtId="176" fontId="1" fillId="14" borderId="59" xfId="0" applyNumberFormat="1" applyFont="1" applyFill="1" applyBorder="1" applyAlignment="1">
      <alignment horizontal="center" vertical="center"/>
    </xf>
    <xf numFmtId="176" fontId="1" fillId="21" borderId="60" xfId="0" applyNumberFormat="1" applyFont="1" applyFill="1" applyBorder="1" applyAlignment="1">
      <alignment horizontal="center" vertical="center"/>
    </xf>
    <xf numFmtId="176" fontId="1" fillId="22" borderId="52" xfId="0" applyNumberFormat="1" applyFont="1" applyFill="1" applyBorder="1" applyAlignment="1">
      <alignment horizontal="center" vertical="center"/>
    </xf>
    <xf numFmtId="176" fontId="1" fillId="23" borderId="5" xfId="0" applyNumberFormat="1" applyFont="1" applyFill="1" applyBorder="1" applyAlignment="1">
      <alignment horizontal="center" vertical="center"/>
    </xf>
    <xf numFmtId="176" fontId="1" fillId="23" borderId="53" xfId="0" applyNumberFormat="1" applyFont="1" applyFill="1" applyBorder="1" applyAlignment="1">
      <alignment horizontal="center" vertical="center"/>
    </xf>
    <xf numFmtId="176" fontId="1" fillId="22" borderId="54" xfId="0" applyNumberFormat="1" applyFont="1" applyFill="1" applyBorder="1" applyAlignment="1">
      <alignment horizontal="center" vertical="center"/>
    </xf>
    <xf numFmtId="176" fontId="1" fillId="22" borderId="55" xfId="0" applyNumberFormat="1" applyFont="1" applyFill="1" applyBorder="1" applyAlignment="1">
      <alignment horizontal="center" vertical="center"/>
    </xf>
    <xf numFmtId="176" fontId="1" fillId="23" borderId="8" xfId="0" applyNumberFormat="1" applyFont="1" applyFill="1" applyBorder="1" applyAlignment="1">
      <alignment horizontal="center" vertical="center"/>
    </xf>
    <xf numFmtId="176" fontId="1" fillId="23" borderId="56" xfId="0" applyNumberFormat="1" applyFont="1" applyFill="1" applyBorder="1" applyAlignment="1">
      <alignment horizontal="center" vertical="center"/>
    </xf>
    <xf numFmtId="176" fontId="1" fillId="22" borderId="57" xfId="0" applyNumberFormat="1" applyFont="1" applyFill="1" applyBorder="1" applyAlignment="1">
      <alignment horizontal="center" vertical="center"/>
    </xf>
    <xf numFmtId="176" fontId="1" fillId="22" borderId="61" xfId="0" applyNumberFormat="1" applyFont="1" applyFill="1" applyBorder="1" applyAlignment="1">
      <alignment horizontal="center" vertical="center"/>
    </xf>
    <xf numFmtId="176" fontId="1" fillId="23" borderId="62" xfId="0" applyNumberFormat="1" applyFont="1" applyFill="1" applyBorder="1" applyAlignment="1">
      <alignment horizontal="center" vertical="center"/>
    </xf>
    <xf numFmtId="176" fontId="1" fillId="23" borderId="63" xfId="0" applyNumberFormat="1" applyFont="1" applyFill="1" applyBorder="1" applyAlignment="1">
      <alignment horizontal="center" vertical="center"/>
    </xf>
    <xf numFmtId="176" fontId="1" fillId="22" borderId="64" xfId="0" applyNumberFormat="1" applyFont="1" applyFill="1" applyBorder="1" applyAlignment="1">
      <alignment horizontal="center" vertical="center"/>
    </xf>
    <xf numFmtId="176" fontId="1" fillId="0" borderId="65" xfId="0" applyNumberFormat="1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176" fontId="1" fillId="0" borderId="66" xfId="0" applyNumberFormat="1" applyFont="1" applyBorder="1" applyAlignment="1">
      <alignment horizontal="center" vertical="center"/>
    </xf>
    <xf numFmtId="176" fontId="1" fillId="0" borderId="67" xfId="0" applyNumberFormat="1" applyFont="1" applyBorder="1" applyAlignment="1">
      <alignment horizontal="center" vertical="center"/>
    </xf>
    <xf numFmtId="0" fontId="1" fillId="8" borderId="68" xfId="0" applyFont="1" applyFill="1" applyBorder="1" applyAlignment="1">
      <alignment horizontal="center" vertical="center"/>
    </xf>
    <xf numFmtId="176" fontId="1" fillId="9" borderId="69" xfId="0" applyNumberFormat="1" applyFont="1" applyFill="1" applyBorder="1" applyAlignment="1">
      <alignment horizontal="center" vertical="center"/>
    </xf>
    <xf numFmtId="176" fontId="1" fillId="8" borderId="68" xfId="0" applyNumberFormat="1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76" fontId="1" fillId="9" borderId="6" xfId="0" applyNumberFormat="1" applyFont="1" applyFill="1" applyBorder="1" applyAlignment="1">
      <alignment horizontal="center" vertical="center"/>
    </xf>
    <xf numFmtId="176" fontId="1" fillId="8" borderId="4" xfId="0" applyNumberFormat="1" applyFont="1" applyFill="1" applyBorder="1" applyAlignment="1">
      <alignment horizontal="center" vertical="center"/>
    </xf>
    <xf numFmtId="176" fontId="1" fillId="23" borderId="39" xfId="0" applyNumberFormat="1" applyFont="1" applyFill="1" applyBorder="1" applyAlignment="1">
      <alignment horizontal="center" vertical="center"/>
    </xf>
    <xf numFmtId="176" fontId="1" fillId="13" borderId="38" xfId="0" applyNumberFormat="1" applyFont="1" applyFill="1" applyBorder="1" applyAlignment="1">
      <alignment horizontal="center" vertical="center"/>
    </xf>
    <xf numFmtId="176" fontId="1" fillId="14" borderId="38" xfId="0" applyNumberFormat="1" applyFont="1" applyFill="1" applyBorder="1" applyAlignment="1">
      <alignment horizontal="center" vertical="center"/>
    </xf>
    <xf numFmtId="176" fontId="1" fillId="23" borderId="38" xfId="0" applyNumberFormat="1" applyFont="1" applyFill="1" applyBorder="1" applyAlignment="1">
      <alignment horizontal="center" vertical="center"/>
    </xf>
    <xf numFmtId="176" fontId="1" fillId="12" borderId="71" xfId="0" applyNumberFormat="1" applyFont="1" applyFill="1" applyBorder="1" applyAlignment="1">
      <alignment horizontal="center" vertical="center"/>
    </xf>
    <xf numFmtId="176" fontId="1" fillId="12" borderId="72" xfId="0" applyNumberFormat="1" applyFont="1" applyFill="1" applyBorder="1" applyAlignment="1">
      <alignment horizontal="center" vertical="center"/>
    </xf>
    <xf numFmtId="176" fontId="1" fillId="15" borderId="71" xfId="0" applyNumberFormat="1" applyFont="1" applyFill="1" applyBorder="1" applyAlignment="1">
      <alignment horizontal="center" vertical="center"/>
    </xf>
    <xf numFmtId="176" fontId="1" fillId="15" borderId="72" xfId="0" applyNumberFormat="1" applyFont="1" applyFill="1" applyBorder="1" applyAlignment="1">
      <alignment horizontal="center" vertical="center"/>
    </xf>
    <xf numFmtId="176" fontId="1" fillId="22" borderId="71" xfId="0" applyNumberFormat="1" applyFont="1" applyFill="1" applyBorder="1" applyAlignment="1">
      <alignment horizontal="center" vertical="center"/>
    </xf>
    <xf numFmtId="176" fontId="1" fillId="22" borderId="72" xfId="0" applyNumberFormat="1" applyFont="1" applyFill="1" applyBorder="1" applyAlignment="1">
      <alignment horizontal="center" vertical="center"/>
    </xf>
    <xf numFmtId="176" fontId="1" fillId="23" borderId="40" xfId="0" applyNumberFormat="1" applyFont="1" applyFill="1" applyBorder="1" applyAlignment="1">
      <alignment horizontal="center" vertical="center"/>
    </xf>
    <xf numFmtId="176" fontId="1" fillId="0" borderId="73" xfId="0" applyNumberFormat="1" applyFont="1" applyBorder="1" applyAlignment="1">
      <alignment horizontal="center" vertical="center"/>
    </xf>
    <xf numFmtId="176" fontId="1" fillId="0" borderId="74" xfId="0" applyNumberFormat="1" applyFont="1" applyBorder="1" applyAlignment="1">
      <alignment horizontal="center" vertical="center"/>
    </xf>
    <xf numFmtId="176" fontId="1" fillId="13" borderId="35" xfId="0" applyNumberFormat="1" applyFont="1" applyFill="1" applyBorder="1" applyAlignment="1">
      <alignment horizontal="center" vertical="center"/>
    </xf>
    <xf numFmtId="176" fontId="2" fillId="20" borderId="25" xfId="0" applyNumberFormat="1" applyFont="1" applyFill="1" applyBorder="1" applyAlignment="1">
      <alignment horizontal="center" vertical="center"/>
    </xf>
    <xf numFmtId="176" fontId="2" fillId="0" borderId="75" xfId="0" applyNumberFormat="1" applyFont="1" applyBorder="1" applyAlignment="1">
      <alignment horizontal="center" vertical="center"/>
    </xf>
    <xf numFmtId="176" fontId="2" fillId="0" borderId="76" xfId="0" applyNumberFormat="1" applyFont="1" applyBorder="1" applyAlignment="1">
      <alignment horizontal="center" vertical="center"/>
    </xf>
    <xf numFmtId="176" fontId="1" fillId="22" borderId="77" xfId="0" applyNumberFormat="1" applyFont="1" applyFill="1" applyBorder="1" applyAlignment="1">
      <alignment horizontal="center" vertical="center"/>
    </xf>
    <xf numFmtId="176" fontId="1" fillId="23" borderId="78" xfId="0" applyNumberFormat="1" applyFont="1" applyFill="1" applyBorder="1" applyAlignment="1">
      <alignment horizontal="center" vertical="center"/>
    </xf>
    <xf numFmtId="176" fontId="1" fillId="23" borderId="79" xfId="0" applyNumberFormat="1" applyFont="1" applyFill="1" applyBorder="1" applyAlignment="1">
      <alignment horizontal="center" vertical="center"/>
    </xf>
    <xf numFmtId="176" fontId="1" fillId="23" borderId="80" xfId="0" applyNumberFormat="1" applyFont="1" applyFill="1" applyBorder="1" applyAlignment="1">
      <alignment horizontal="center" vertical="center"/>
    </xf>
    <xf numFmtId="176" fontId="1" fillId="22" borderId="81" xfId="0" applyNumberFormat="1" applyFont="1" applyFill="1" applyBorder="1" applyAlignment="1">
      <alignment horizontal="center" vertical="center"/>
    </xf>
    <xf numFmtId="176" fontId="1" fillId="22" borderId="44" xfId="0" applyNumberFormat="1" applyFont="1" applyFill="1" applyBorder="1" applyAlignment="1">
      <alignment horizontal="center" vertical="center"/>
    </xf>
    <xf numFmtId="176" fontId="1" fillId="23" borderId="45" xfId="0" applyNumberFormat="1" applyFont="1" applyFill="1" applyBorder="1" applyAlignment="1">
      <alignment horizontal="center" vertical="center"/>
    </xf>
    <xf numFmtId="176" fontId="1" fillId="23" borderId="46" xfId="0" applyNumberFormat="1" applyFont="1" applyFill="1" applyBorder="1" applyAlignment="1">
      <alignment horizontal="center" vertical="center"/>
    </xf>
    <xf numFmtId="176" fontId="1" fillId="23" borderId="47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3" fillId="3" borderId="12" xfId="0" applyNumberFormat="1" applyFont="1" applyFill="1" applyBorder="1" applyAlignment="1">
      <alignment horizontal="center" vertical="center"/>
    </xf>
    <xf numFmtId="20" fontId="1" fillId="0" borderId="82" xfId="0" applyNumberFormat="1" applyFont="1" applyBorder="1" applyAlignment="1">
      <alignment horizontal="center" vertical="center"/>
    </xf>
    <xf numFmtId="20" fontId="4" fillId="2" borderId="5" xfId="0" quotePrefix="1" applyNumberFormat="1" applyFont="1" applyFill="1" applyBorder="1" applyAlignment="1">
      <alignment horizontal="center" vertical="center"/>
    </xf>
    <xf numFmtId="176" fontId="1" fillId="2" borderId="83" xfId="0" applyNumberFormat="1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4" fillId="2" borderId="8" xfId="0" quotePrefix="1" applyFont="1" applyFill="1" applyBorder="1" applyAlignment="1">
      <alignment horizontal="center" vertical="center"/>
    </xf>
    <xf numFmtId="176" fontId="1" fillId="2" borderId="84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176" fontId="1" fillId="2" borderId="82" xfId="0" applyNumberFormat="1" applyFont="1" applyFill="1" applyBorder="1" applyAlignment="1">
      <alignment horizontal="center" vertical="center"/>
    </xf>
    <xf numFmtId="0" fontId="4" fillId="5" borderId="8" xfId="0" quotePrefix="1" applyFont="1" applyFill="1" applyBorder="1" applyAlignment="1">
      <alignment horizontal="center" vertical="center"/>
    </xf>
    <xf numFmtId="176" fontId="1" fillId="5" borderId="84" xfId="0" applyNumberFormat="1" applyFont="1" applyFill="1" applyBorder="1" applyAlignment="1">
      <alignment horizontal="center" vertical="center"/>
    </xf>
    <xf numFmtId="176" fontId="3" fillId="5" borderId="9" xfId="0" applyNumberFormat="1" applyFont="1" applyFill="1" applyBorder="1" applyAlignment="1">
      <alignment horizontal="center" vertical="center"/>
    </xf>
    <xf numFmtId="176" fontId="3" fillId="5" borderId="10" xfId="0" applyNumberFormat="1" applyFont="1" applyFill="1" applyBorder="1" applyAlignment="1">
      <alignment horizontal="center" vertical="center"/>
    </xf>
    <xf numFmtId="176" fontId="3" fillId="5" borderId="84" xfId="0" applyNumberFormat="1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/>
    </xf>
    <xf numFmtId="176" fontId="3" fillId="5" borderId="3" xfId="0" applyNumberFormat="1" applyFont="1" applyFill="1" applyBorder="1" applyAlignment="1">
      <alignment horizontal="center" vertical="center"/>
    </xf>
    <xf numFmtId="176" fontId="3" fillId="5" borderId="11" xfId="0" applyNumberFormat="1" applyFont="1" applyFill="1" applyBorder="1" applyAlignment="1">
      <alignment horizontal="center" vertical="center"/>
    </xf>
    <xf numFmtId="176" fontId="3" fillId="5" borderId="82" xfId="0" applyNumberFormat="1" applyFont="1" applyFill="1" applyBorder="1" applyAlignment="1">
      <alignment horizontal="center" vertical="center"/>
    </xf>
    <xf numFmtId="20" fontId="4" fillId="7" borderId="5" xfId="0" quotePrefix="1" applyNumberFormat="1" applyFont="1" applyFill="1" applyBorder="1" applyAlignment="1">
      <alignment horizontal="center" vertical="center"/>
    </xf>
    <xf numFmtId="176" fontId="1" fillId="7" borderId="83" xfId="0" applyNumberFormat="1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20" fontId="4" fillId="9" borderId="8" xfId="0" quotePrefix="1" applyNumberFormat="1" applyFont="1" applyFill="1" applyBorder="1" applyAlignment="1">
      <alignment horizontal="center" vertical="center"/>
    </xf>
    <xf numFmtId="176" fontId="1" fillId="9" borderId="9" xfId="0" applyNumberFormat="1" applyFont="1" applyFill="1" applyBorder="1" applyAlignment="1">
      <alignment horizontal="center" vertical="center"/>
    </xf>
    <xf numFmtId="176" fontId="1" fillId="9" borderId="10" xfId="0" applyNumberFormat="1" applyFont="1" applyFill="1" applyBorder="1" applyAlignment="1">
      <alignment horizontal="center" vertical="center"/>
    </xf>
    <xf numFmtId="176" fontId="1" fillId="9" borderId="84" xfId="0" applyNumberFormat="1" applyFont="1" applyFill="1" applyBorder="1" applyAlignment="1">
      <alignment horizontal="center" vertical="center"/>
    </xf>
    <xf numFmtId="20" fontId="4" fillId="9" borderId="2" xfId="0" quotePrefix="1" applyNumberFormat="1" applyFont="1" applyFill="1" applyBorder="1" applyAlignment="1">
      <alignment horizontal="center" vertical="center"/>
    </xf>
    <xf numFmtId="176" fontId="1" fillId="9" borderId="82" xfId="0" applyNumberFormat="1" applyFont="1" applyFill="1" applyBorder="1" applyAlignment="1">
      <alignment horizontal="center" vertical="center"/>
    </xf>
    <xf numFmtId="176" fontId="1" fillId="10" borderId="85" xfId="0" applyNumberFormat="1" applyFont="1" applyFill="1" applyBorder="1" applyAlignment="1">
      <alignment horizontal="center" vertical="center"/>
    </xf>
    <xf numFmtId="176" fontId="1" fillId="0" borderId="86" xfId="0" applyNumberFormat="1" applyFont="1" applyBorder="1" applyAlignment="1">
      <alignment horizontal="center" vertical="center"/>
    </xf>
    <xf numFmtId="176" fontId="1" fillId="24" borderId="12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176" fontId="5" fillId="9" borderId="84" xfId="0" applyNumberFormat="1" applyFont="1" applyFill="1" applyBorder="1" applyAlignment="1">
      <alignment horizontal="center" vertical="center"/>
    </xf>
    <xf numFmtId="176" fontId="5" fillId="9" borderId="9" xfId="0" applyNumberFormat="1" applyFont="1" applyFill="1" applyBorder="1" applyAlignment="1">
      <alignment horizontal="center" vertical="center"/>
    </xf>
    <xf numFmtId="176" fontId="5" fillId="7" borderId="83" xfId="0" applyNumberFormat="1" applyFont="1" applyFill="1" applyBorder="1" applyAlignment="1">
      <alignment horizontal="center" vertical="center"/>
    </xf>
    <xf numFmtId="176" fontId="5" fillId="7" borderId="6" xfId="0" applyNumberFormat="1" applyFont="1" applyFill="1" applyBorder="1" applyAlignment="1">
      <alignment horizontal="center" vertical="center"/>
    </xf>
    <xf numFmtId="20" fontId="1" fillId="0" borderId="11" xfId="0" applyNumberFormat="1" applyFont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center" vertical="center"/>
    </xf>
    <xf numFmtId="20" fontId="1" fillId="0" borderId="11" xfId="0" quotePrefix="1" applyNumberFormat="1" applyFont="1" applyBorder="1" applyAlignment="1">
      <alignment horizontal="center" vertical="center"/>
    </xf>
    <xf numFmtId="0" fontId="1" fillId="6" borderId="87" xfId="0" applyFont="1" applyFill="1" applyBorder="1" applyAlignment="1">
      <alignment horizontal="center" vertical="center"/>
    </xf>
    <xf numFmtId="20" fontId="4" fillId="7" borderId="88" xfId="0" quotePrefix="1" applyNumberFormat="1" applyFont="1" applyFill="1" applyBorder="1" applyAlignment="1">
      <alignment horizontal="center" vertical="center"/>
    </xf>
    <xf numFmtId="176" fontId="1" fillId="7" borderId="89" xfId="0" applyNumberFormat="1" applyFont="1" applyFill="1" applyBorder="1" applyAlignment="1">
      <alignment horizontal="center" vertical="center"/>
    </xf>
    <xf numFmtId="176" fontId="1" fillId="7" borderId="90" xfId="0" applyNumberFormat="1" applyFont="1" applyFill="1" applyBorder="1" applyAlignment="1">
      <alignment horizontal="center" vertical="center"/>
    </xf>
    <xf numFmtId="176" fontId="1" fillId="7" borderId="91" xfId="0" applyNumberFormat="1" applyFont="1" applyFill="1" applyBorder="1" applyAlignment="1">
      <alignment horizontal="center" vertical="center"/>
    </xf>
    <xf numFmtId="20" fontId="4" fillId="9" borderId="5" xfId="0" quotePrefix="1" applyNumberFormat="1" applyFont="1" applyFill="1" applyBorder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/>
    </xf>
    <xf numFmtId="176" fontId="1" fillId="9" borderId="83" xfId="0" applyNumberFormat="1" applyFont="1" applyFill="1" applyBorder="1" applyAlignment="1">
      <alignment horizontal="center" vertical="center"/>
    </xf>
    <xf numFmtId="0" fontId="1" fillId="25" borderId="92" xfId="0" applyFont="1" applyFill="1" applyBorder="1" applyAlignment="1">
      <alignment horizontal="center" vertical="center"/>
    </xf>
    <xf numFmtId="0" fontId="1" fillId="25" borderId="93" xfId="0" applyFont="1" applyFill="1" applyBorder="1" applyAlignment="1">
      <alignment horizontal="center" vertical="center"/>
    </xf>
    <xf numFmtId="0" fontId="1" fillId="25" borderId="94" xfId="0" applyFont="1" applyFill="1" applyBorder="1" applyAlignment="1">
      <alignment horizontal="center" vertical="center"/>
    </xf>
    <xf numFmtId="20" fontId="4" fillId="26" borderId="95" xfId="0" quotePrefix="1" applyNumberFormat="1" applyFont="1" applyFill="1" applyBorder="1" applyAlignment="1">
      <alignment horizontal="center" vertical="center"/>
    </xf>
    <xf numFmtId="176" fontId="1" fillId="26" borderId="96" xfId="0" applyNumberFormat="1" applyFont="1" applyFill="1" applyBorder="1" applyAlignment="1">
      <alignment horizontal="center" vertical="center"/>
    </xf>
    <xf numFmtId="176" fontId="1" fillId="26" borderId="97" xfId="0" applyNumberFormat="1" applyFont="1" applyFill="1" applyBorder="1" applyAlignment="1">
      <alignment horizontal="center" vertical="center"/>
    </xf>
    <xf numFmtId="176" fontId="1" fillId="26" borderId="98" xfId="0" applyNumberFormat="1" applyFont="1" applyFill="1" applyBorder="1" applyAlignment="1">
      <alignment horizontal="center" vertical="center"/>
    </xf>
    <xf numFmtId="20" fontId="4" fillId="26" borderId="5" xfId="0" quotePrefix="1" applyNumberFormat="1" applyFont="1" applyFill="1" applyBorder="1" applyAlignment="1">
      <alignment horizontal="center" vertical="center"/>
    </xf>
    <xf numFmtId="176" fontId="1" fillId="26" borderId="6" xfId="0" applyNumberFormat="1" applyFont="1" applyFill="1" applyBorder="1" applyAlignment="1">
      <alignment horizontal="center" vertical="center"/>
    </xf>
    <xf numFmtId="176" fontId="1" fillId="26" borderId="1" xfId="0" applyNumberFormat="1" applyFont="1" applyFill="1" applyBorder="1" applyAlignment="1">
      <alignment horizontal="center" vertical="center"/>
    </xf>
    <xf numFmtId="176" fontId="1" fillId="26" borderId="83" xfId="0" applyNumberFormat="1" applyFont="1" applyFill="1" applyBorder="1" applyAlignment="1">
      <alignment horizontal="center" vertical="center"/>
    </xf>
    <xf numFmtId="20" fontId="4" fillId="26" borderId="99" xfId="0" quotePrefix="1" applyNumberFormat="1" applyFont="1" applyFill="1" applyBorder="1" applyAlignment="1">
      <alignment horizontal="center" vertical="center"/>
    </xf>
    <xf numFmtId="176" fontId="1" fillId="26" borderId="100" xfId="0" applyNumberFormat="1" applyFont="1" applyFill="1" applyBorder="1" applyAlignment="1">
      <alignment horizontal="center" vertical="center"/>
    </xf>
    <xf numFmtId="176" fontId="1" fillId="26" borderId="101" xfId="0" applyNumberFormat="1" applyFont="1" applyFill="1" applyBorder="1" applyAlignment="1">
      <alignment horizontal="center" vertical="center"/>
    </xf>
    <xf numFmtId="176" fontId="1" fillId="26" borderId="102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6" fontId="1" fillId="3" borderId="87" xfId="0" applyNumberFormat="1" applyFont="1" applyFill="1" applyBorder="1" applyAlignment="1">
      <alignment horizontal="center" vertical="center"/>
    </xf>
    <xf numFmtId="176" fontId="1" fillId="27" borderId="103" xfId="0" applyNumberFormat="1" applyFont="1" applyFill="1" applyBorder="1" applyAlignment="1">
      <alignment horizontal="center" vertical="center"/>
    </xf>
    <xf numFmtId="176" fontId="1" fillId="27" borderId="71" xfId="0" applyNumberFormat="1" applyFont="1" applyFill="1" applyBorder="1" applyAlignment="1">
      <alignment horizontal="center" vertical="center"/>
    </xf>
    <xf numFmtId="176" fontId="1" fillId="27" borderId="81" xfId="0" applyNumberFormat="1" applyFont="1" applyFill="1" applyBorder="1" applyAlignment="1">
      <alignment horizontal="center" vertical="center"/>
    </xf>
    <xf numFmtId="176" fontId="1" fillId="28" borderId="103" xfId="0" applyNumberFormat="1" applyFont="1" applyFill="1" applyBorder="1" applyAlignment="1">
      <alignment horizontal="center" vertical="center"/>
    </xf>
    <xf numFmtId="176" fontId="1" fillId="28" borderId="71" xfId="0" applyNumberFormat="1" applyFont="1" applyFill="1" applyBorder="1" applyAlignment="1">
      <alignment horizontal="center" vertical="center"/>
    </xf>
    <xf numFmtId="176" fontId="1" fillId="28" borderId="74" xfId="0" applyNumberFormat="1" applyFont="1" applyFill="1" applyBorder="1" applyAlignment="1">
      <alignment horizontal="center" vertical="center"/>
    </xf>
    <xf numFmtId="176" fontId="1" fillId="29" borderId="103" xfId="0" applyNumberFormat="1" applyFont="1" applyFill="1" applyBorder="1" applyAlignment="1">
      <alignment horizontal="center" vertical="center"/>
    </xf>
    <xf numFmtId="176" fontId="1" fillId="29" borderId="71" xfId="0" applyNumberFormat="1" applyFont="1" applyFill="1" applyBorder="1" applyAlignment="1">
      <alignment horizontal="center" vertical="center"/>
    </xf>
    <xf numFmtId="176" fontId="1" fillId="29" borderId="74" xfId="0" applyNumberFormat="1" applyFont="1" applyFill="1" applyBorder="1" applyAlignment="1">
      <alignment horizontal="center" vertical="center"/>
    </xf>
    <xf numFmtId="176" fontId="1" fillId="30" borderId="103" xfId="0" applyNumberFormat="1" applyFont="1" applyFill="1" applyBorder="1" applyAlignment="1">
      <alignment horizontal="center" vertical="center"/>
    </xf>
    <xf numFmtId="176" fontId="1" fillId="30" borderId="71" xfId="0" applyNumberFormat="1" applyFont="1" applyFill="1" applyBorder="1" applyAlignment="1">
      <alignment horizontal="center" vertical="center"/>
    </xf>
    <xf numFmtId="176" fontId="1" fillId="30" borderId="74" xfId="0" applyNumberFormat="1" applyFont="1" applyFill="1" applyBorder="1" applyAlignment="1">
      <alignment horizontal="center" vertical="center"/>
    </xf>
    <xf numFmtId="176" fontId="1" fillId="31" borderId="72" xfId="0" applyNumberFormat="1" applyFont="1" applyFill="1" applyBorder="1" applyAlignment="1">
      <alignment horizontal="center" vertical="center"/>
    </xf>
    <xf numFmtId="176" fontId="1" fillId="31" borderId="71" xfId="0" applyNumberFormat="1" applyFont="1" applyFill="1" applyBorder="1" applyAlignment="1">
      <alignment horizontal="center" vertical="center"/>
    </xf>
    <xf numFmtId="176" fontId="1" fillId="32" borderId="38" xfId="0" applyNumberFormat="1" applyFont="1" applyFill="1" applyBorder="1" applyAlignment="1">
      <alignment horizontal="center" vertical="center"/>
    </xf>
    <xf numFmtId="176" fontId="1" fillId="32" borderId="39" xfId="0" applyNumberFormat="1" applyFont="1" applyFill="1" applyBorder="1" applyAlignment="1">
      <alignment horizontal="center" vertical="center"/>
    </xf>
    <xf numFmtId="176" fontId="1" fillId="32" borderId="40" xfId="0" applyNumberFormat="1" applyFont="1" applyFill="1" applyBorder="1" applyAlignment="1">
      <alignment horizontal="center" vertical="center"/>
    </xf>
    <xf numFmtId="176" fontId="2" fillId="0" borderId="75" xfId="0" quotePrefix="1" applyNumberFormat="1" applyFont="1" applyBorder="1" applyAlignment="1">
      <alignment horizontal="center" vertical="center"/>
    </xf>
    <xf numFmtId="176" fontId="2" fillId="0" borderId="76" xfId="0" quotePrefix="1" applyNumberFormat="1" applyFont="1" applyBorder="1" applyAlignment="1">
      <alignment horizontal="center" vertical="center"/>
    </xf>
    <xf numFmtId="176" fontId="2" fillId="0" borderId="28" xfId="0" quotePrefix="1" applyNumberFormat="1" applyFont="1" applyBorder="1" applyAlignment="1">
      <alignment horizontal="center" vertical="center"/>
    </xf>
    <xf numFmtId="176" fontId="1" fillId="0" borderId="104" xfId="0" applyNumberFormat="1" applyFont="1" applyBorder="1" applyAlignment="1">
      <alignment horizontal="center" vertical="center"/>
    </xf>
    <xf numFmtId="176" fontId="1" fillId="33" borderId="72" xfId="0" applyNumberFormat="1" applyFont="1" applyFill="1" applyBorder="1" applyAlignment="1">
      <alignment horizontal="center" vertical="center"/>
    </xf>
    <xf numFmtId="176" fontId="1" fillId="33" borderId="71" xfId="0" applyNumberFormat="1" applyFont="1" applyFill="1" applyBorder="1" applyAlignment="1">
      <alignment horizontal="center" vertical="center"/>
    </xf>
    <xf numFmtId="176" fontId="1" fillId="34" borderId="38" xfId="0" applyNumberFormat="1" applyFont="1" applyFill="1" applyBorder="1" applyAlignment="1">
      <alignment horizontal="center" vertical="center"/>
    </xf>
    <xf numFmtId="176" fontId="1" fillId="34" borderId="39" xfId="0" applyNumberFormat="1" applyFont="1" applyFill="1" applyBorder="1" applyAlignment="1">
      <alignment horizontal="center" vertical="center"/>
    </xf>
    <xf numFmtId="176" fontId="1" fillId="34" borderId="40" xfId="0" applyNumberFormat="1" applyFont="1" applyFill="1" applyBorder="1" applyAlignment="1">
      <alignment horizontal="center" vertical="center"/>
    </xf>
    <xf numFmtId="176" fontId="1" fillId="35" borderId="72" xfId="0" applyNumberFormat="1" applyFont="1" applyFill="1" applyBorder="1" applyAlignment="1">
      <alignment horizontal="center" vertical="center"/>
    </xf>
    <xf numFmtId="176" fontId="1" fillId="35" borderId="77" xfId="0" applyNumberFormat="1" applyFont="1" applyFill="1" applyBorder="1" applyAlignment="1">
      <alignment horizontal="center" vertical="center"/>
    </xf>
    <xf numFmtId="176" fontId="1" fillId="35" borderId="71" xfId="0" applyNumberFormat="1" applyFont="1" applyFill="1" applyBorder="1" applyAlignment="1">
      <alignment horizontal="center" vertical="center"/>
    </xf>
    <xf numFmtId="176" fontId="1" fillId="35" borderId="81" xfId="0" applyNumberFormat="1" applyFont="1" applyFill="1" applyBorder="1" applyAlignment="1">
      <alignment horizontal="center" vertical="center"/>
    </xf>
    <xf numFmtId="176" fontId="1" fillId="36" borderId="38" xfId="0" applyNumberFormat="1" applyFont="1" applyFill="1" applyBorder="1" applyAlignment="1">
      <alignment horizontal="center" vertical="center"/>
    </xf>
    <xf numFmtId="176" fontId="1" fillId="36" borderId="39" xfId="0" applyNumberFormat="1" applyFont="1" applyFill="1" applyBorder="1" applyAlignment="1">
      <alignment horizontal="center" vertical="center"/>
    </xf>
    <xf numFmtId="176" fontId="1" fillId="36" borderId="40" xfId="0" applyNumberFormat="1" applyFont="1" applyFill="1" applyBorder="1" applyAlignment="1">
      <alignment horizontal="center" vertical="center"/>
    </xf>
    <xf numFmtId="176" fontId="1" fillId="36" borderId="78" xfId="0" applyNumberFormat="1" applyFont="1" applyFill="1" applyBorder="1" applyAlignment="1">
      <alignment horizontal="center" vertical="center"/>
    </xf>
    <xf numFmtId="176" fontId="1" fillId="36" borderId="79" xfId="0" applyNumberFormat="1" applyFont="1" applyFill="1" applyBorder="1" applyAlignment="1">
      <alignment horizontal="center" vertical="center"/>
    </xf>
    <xf numFmtId="176" fontId="1" fillId="36" borderId="80" xfId="0" applyNumberFormat="1" applyFont="1" applyFill="1" applyBorder="1" applyAlignment="1">
      <alignment horizontal="center" vertical="center"/>
    </xf>
    <xf numFmtId="176" fontId="1" fillId="37" borderId="44" xfId="0" applyNumberFormat="1" applyFont="1" applyFill="1" applyBorder="1" applyAlignment="1">
      <alignment horizontal="center" vertical="center"/>
    </xf>
    <xf numFmtId="176" fontId="1" fillId="38" borderId="45" xfId="0" applyNumberFormat="1" applyFont="1" applyFill="1" applyBorder="1" applyAlignment="1">
      <alignment horizontal="center" vertical="center"/>
    </xf>
    <xf numFmtId="176" fontId="1" fillId="38" borderId="46" xfId="0" applyNumberFormat="1" applyFont="1" applyFill="1" applyBorder="1" applyAlignment="1">
      <alignment horizontal="center" vertical="center"/>
    </xf>
    <xf numFmtId="176" fontId="1" fillId="38" borderId="47" xfId="0" applyNumberFormat="1" applyFont="1" applyFill="1" applyBorder="1" applyAlignment="1">
      <alignment horizontal="center" vertical="center"/>
    </xf>
    <xf numFmtId="176" fontId="1" fillId="33" borderId="77" xfId="0" applyNumberFormat="1" applyFont="1" applyFill="1" applyBorder="1" applyAlignment="1">
      <alignment horizontal="center" vertical="center"/>
    </xf>
    <xf numFmtId="176" fontId="1" fillId="33" borderId="44" xfId="0" applyNumberFormat="1" applyFont="1" applyFill="1" applyBorder="1" applyAlignment="1">
      <alignment horizontal="center" vertical="center"/>
    </xf>
    <xf numFmtId="176" fontId="1" fillId="34" borderId="78" xfId="0" applyNumberFormat="1" applyFont="1" applyFill="1" applyBorder="1" applyAlignment="1">
      <alignment horizontal="center" vertical="center"/>
    </xf>
    <xf numFmtId="176" fontId="1" fillId="34" borderId="79" xfId="0" applyNumberFormat="1" applyFont="1" applyFill="1" applyBorder="1" applyAlignment="1">
      <alignment horizontal="center" vertical="center"/>
    </xf>
    <xf numFmtId="176" fontId="1" fillId="34" borderId="45" xfId="0" applyNumberFormat="1" applyFont="1" applyFill="1" applyBorder="1" applyAlignment="1">
      <alignment horizontal="center" vertical="center"/>
    </xf>
    <xf numFmtId="176" fontId="1" fillId="34" borderId="46" xfId="0" applyNumberFormat="1" applyFont="1" applyFill="1" applyBorder="1" applyAlignment="1">
      <alignment horizontal="center" vertical="center"/>
    </xf>
    <xf numFmtId="177" fontId="2" fillId="0" borderId="25" xfId="0" applyNumberFormat="1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177" fontId="2" fillId="0" borderId="124" xfId="0" applyNumberFormat="1" applyFont="1" applyBorder="1" applyAlignment="1">
      <alignment horizontal="center" vertical="center"/>
    </xf>
    <xf numFmtId="177" fontId="1" fillId="0" borderId="74" xfId="0" applyNumberFormat="1" applyFont="1" applyBorder="1" applyAlignment="1">
      <alignment horizontal="center" vertical="center"/>
    </xf>
    <xf numFmtId="177" fontId="1" fillId="0" borderId="125" xfId="0" applyNumberFormat="1" applyFont="1" applyBorder="1" applyAlignment="1">
      <alignment horizontal="center" vertical="center"/>
    </xf>
    <xf numFmtId="177" fontId="1" fillId="0" borderId="126" xfId="0" applyNumberFormat="1" applyFont="1" applyBorder="1" applyAlignment="1">
      <alignment horizontal="center" vertical="center"/>
    </xf>
    <xf numFmtId="177" fontId="1" fillId="0" borderId="127" xfId="0" applyNumberFormat="1" applyFont="1" applyBorder="1" applyAlignment="1">
      <alignment horizontal="center" vertical="center"/>
    </xf>
    <xf numFmtId="177" fontId="1" fillId="39" borderId="35" xfId="0" applyNumberFormat="1" applyFont="1" applyFill="1" applyBorder="1" applyAlignment="1">
      <alignment horizontal="center" vertical="center"/>
    </xf>
    <xf numFmtId="177" fontId="1" fillId="39" borderId="36" xfId="0" applyNumberFormat="1" applyFont="1" applyFill="1" applyBorder="1" applyAlignment="1">
      <alignment horizontal="center" vertical="center"/>
    </xf>
    <xf numFmtId="177" fontId="1" fillId="39" borderId="38" xfId="0" applyNumberFormat="1" applyFont="1" applyFill="1" applyBorder="1" applyAlignment="1">
      <alignment horizontal="center" vertical="center"/>
    </xf>
    <xf numFmtId="177" fontId="1" fillId="39" borderId="39" xfId="0" applyNumberFormat="1" applyFont="1" applyFill="1" applyBorder="1" applyAlignment="1">
      <alignment horizontal="center" vertical="center"/>
    </xf>
    <xf numFmtId="177" fontId="1" fillId="40" borderId="38" xfId="0" applyNumberFormat="1" applyFont="1" applyFill="1" applyBorder="1" applyAlignment="1">
      <alignment horizontal="center" vertical="center"/>
    </xf>
    <xf numFmtId="177" fontId="1" fillId="40" borderId="39" xfId="0" applyNumberFormat="1" applyFont="1" applyFill="1" applyBorder="1" applyAlignment="1">
      <alignment horizontal="center" vertical="center"/>
    </xf>
    <xf numFmtId="177" fontId="1" fillId="41" borderId="38" xfId="0" applyNumberFormat="1" applyFont="1" applyFill="1" applyBorder="1" applyAlignment="1">
      <alignment horizontal="center" vertical="center"/>
    </xf>
    <xf numFmtId="177" fontId="1" fillId="41" borderId="39" xfId="0" applyNumberFormat="1" applyFont="1" applyFill="1" applyBorder="1" applyAlignment="1">
      <alignment horizontal="center" vertical="center"/>
    </xf>
    <xf numFmtId="177" fontId="1" fillId="41" borderId="45" xfId="0" applyNumberFormat="1" applyFont="1" applyFill="1" applyBorder="1" applyAlignment="1">
      <alignment horizontal="center" vertical="center"/>
    </xf>
    <xf numFmtId="177" fontId="1" fillId="41" borderId="46" xfId="0" applyNumberFormat="1" applyFont="1" applyFill="1" applyBorder="1" applyAlignment="1">
      <alignment horizontal="center" vertical="center"/>
    </xf>
    <xf numFmtId="177" fontId="1" fillId="12" borderId="32" xfId="0" applyNumberFormat="1" applyFont="1" applyFill="1" applyBorder="1" applyAlignment="1">
      <alignment horizontal="center" vertical="center"/>
    </xf>
    <xf numFmtId="177" fontId="1" fillId="12" borderId="33" xfId="0" applyNumberFormat="1" applyFont="1" applyFill="1" applyBorder="1" applyAlignment="1">
      <alignment horizontal="center" vertical="center"/>
    </xf>
    <xf numFmtId="177" fontId="1" fillId="15" borderId="33" xfId="0" applyNumberFormat="1" applyFont="1" applyFill="1" applyBorder="1" applyAlignment="1">
      <alignment horizontal="center" vertical="center"/>
    </xf>
    <xf numFmtId="177" fontId="1" fillId="42" borderId="33" xfId="0" applyNumberFormat="1" applyFont="1" applyFill="1" applyBorder="1" applyAlignment="1">
      <alignment horizontal="center" vertical="center"/>
    </xf>
    <xf numFmtId="177" fontId="1" fillId="42" borderId="44" xfId="0" applyNumberFormat="1" applyFont="1" applyFill="1" applyBorder="1" applyAlignment="1">
      <alignment horizontal="center" vertical="center"/>
    </xf>
    <xf numFmtId="177" fontId="1" fillId="12" borderId="128" xfId="0" applyNumberFormat="1" applyFont="1" applyFill="1" applyBorder="1" applyAlignment="1">
      <alignment horizontal="center" vertical="center"/>
    </xf>
    <xf numFmtId="177" fontId="1" fillId="12" borderId="129" xfId="0" applyNumberFormat="1" applyFont="1" applyFill="1" applyBorder="1" applyAlignment="1">
      <alignment horizontal="center" vertical="center"/>
    </xf>
    <xf numFmtId="177" fontId="1" fillId="15" borderId="129" xfId="0" applyNumberFormat="1" applyFont="1" applyFill="1" applyBorder="1" applyAlignment="1">
      <alignment horizontal="center" vertical="center"/>
    </xf>
    <xf numFmtId="177" fontId="1" fillId="42" borderId="129" xfId="0" applyNumberFormat="1" applyFont="1" applyFill="1" applyBorder="1" applyAlignment="1">
      <alignment horizontal="center" vertical="center"/>
    </xf>
    <xf numFmtId="177" fontId="1" fillId="42" borderId="130" xfId="0" applyNumberFormat="1" applyFont="1" applyFill="1" applyBorder="1" applyAlignment="1">
      <alignment horizontal="center" vertical="center"/>
    </xf>
    <xf numFmtId="177" fontId="1" fillId="43" borderId="128" xfId="0" applyNumberFormat="1" applyFont="1" applyFill="1" applyBorder="1" applyAlignment="1">
      <alignment horizontal="center" vertical="center"/>
    </xf>
    <xf numFmtId="177" fontId="1" fillId="43" borderId="33" xfId="0" applyNumberFormat="1" applyFont="1" applyFill="1" applyBorder="1" applyAlignment="1">
      <alignment horizontal="center" vertical="center"/>
    </xf>
    <xf numFmtId="177" fontId="1" fillId="44" borderId="38" xfId="0" applyNumberFormat="1" applyFont="1" applyFill="1" applyBorder="1" applyAlignment="1">
      <alignment horizontal="center" vertical="center"/>
    </xf>
    <xf numFmtId="177" fontId="1" fillId="44" borderId="39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2" fillId="0" borderId="28" xfId="0" applyNumberFormat="1" applyFont="1" applyBorder="1" applyAlignment="1">
      <alignment horizontal="center" vertical="center"/>
    </xf>
    <xf numFmtId="177" fontId="1" fillId="39" borderId="37" xfId="0" applyNumberFormat="1" applyFont="1" applyFill="1" applyBorder="1" applyAlignment="1">
      <alignment horizontal="center" vertical="center"/>
    </xf>
    <xf numFmtId="177" fontId="1" fillId="39" borderId="40" xfId="0" applyNumberFormat="1" applyFont="1" applyFill="1" applyBorder="1" applyAlignment="1">
      <alignment horizontal="center" vertical="center"/>
    </xf>
    <xf numFmtId="177" fontId="1" fillId="0" borderId="13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77" fontId="1" fillId="43" borderId="32" xfId="0" applyNumberFormat="1" applyFont="1" applyFill="1" applyBorder="1" applyAlignment="1">
      <alignment horizontal="center" vertical="center"/>
    </xf>
    <xf numFmtId="177" fontId="1" fillId="44" borderId="40" xfId="0" applyNumberFormat="1" applyFont="1" applyFill="1" applyBorder="1" applyAlignment="1">
      <alignment horizontal="center" vertical="center"/>
    </xf>
    <xf numFmtId="177" fontId="1" fillId="44" borderId="45" xfId="0" applyNumberFormat="1" applyFont="1" applyFill="1" applyBorder="1" applyAlignment="1">
      <alignment horizontal="center" vertical="center"/>
    </xf>
    <xf numFmtId="177" fontId="1" fillId="44" borderId="46" xfId="0" applyNumberFormat="1" applyFont="1" applyFill="1" applyBorder="1" applyAlignment="1">
      <alignment horizontal="center" vertical="center"/>
    </xf>
    <xf numFmtId="177" fontId="1" fillId="44" borderId="47" xfId="0" applyNumberFormat="1" applyFont="1" applyFill="1" applyBorder="1" applyAlignment="1">
      <alignment horizontal="center" vertical="center"/>
    </xf>
    <xf numFmtId="177" fontId="1" fillId="43" borderId="44" xfId="0" applyNumberFormat="1" applyFont="1" applyFill="1" applyBorder="1" applyAlignment="1">
      <alignment horizontal="center" vertical="center"/>
    </xf>
    <xf numFmtId="177" fontId="8" fillId="0" borderId="0" xfId="0" applyNumberFormat="1" applyFont="1" applyAlignment="1">
      <alignment vertical="center"/>
    </xf>
    <xf numFmtId="177" fontId="1" fillId="0" borderId="32" xfId="0" applyNumberFormat="1" applyFont="1" applyBorder="1" applyAlignment="1">
      <alignment horizontal="center" vertical="center"/>
    </xf>
    <xf numFmtId="177" fontId="1" fillId="0" borderId="44" xfId="0" applyNumberFormat="1" applyFont="1" applyBorder="1" applyAlignment="1">
      <alignment horizontal="center" vertical="center"/>
    </xf>
    <xf numFmtId="177" fontId="3" fillId="0" borderId="32" xfId="0" applyNumberFormat="1" applyFont="1" applyBorder="1" applyAlignment="1">
      <alignment horizontal="center" vertical="center"/>
    </xf>
    <xf numFmtId="176" fontId="1" fillId="0" borderId="133" xfId="0" applyNumberFormat="1" applyFont="1" applyBorder="1" applyAlignment="1">
      <alignment horizontal="center" vertical="center"/>
    </xf>
    <xf numFmtId="176" fontId="1" fillId="35" borderId="132" xfId="0" applyNumberFormat="1" applyFont="1" applyFill="1" applyBorder="1" applyAlignment="1">
      <alignment horizontal="center" vertical="center"/>
    </xf>
    <xf numFmtId="176" fontId="1" fillId="0" borderId="134" xfId="0" applyNumberFormat="1" applyFont="1" applyBorder="1" applyAlignment="1">
      <alignment horizontal="center" vertical="center"/>
    </xf>
    <xf numFmtId="176" fontId="1" fillId="0" borderId="135" xfId="0" applyNumberFormat="1" applyFont="1" applyBorder="1" applyAlignment="1">
      <alignment horizontal="center" vertical="center"/>
    </xf>
    <xf numFmtId="176" fontId="1" fillId="31" borderId="137" xfId="0" applyNumberFormat="1" applyFont="1" applyFill="1" applyBorder="1" applyAlignment="1">
      <alignment horizontal="center" vertical="center"/>
    </xf>
    <xf numFmtId="176" fontId="1" fillId="32" borderId="41" xfId="0" applyNumberFormat="1" applyFont="1" applyFill="1" applyBorder="1" applyAlignment="1">
      <alignment horizontal="center" vertical="center"/>
    </xf>
    <xf numFmtId="176" fontId="1" fillId="32" borderId="42" xfId="0" applyNumberFormat="1" applyFont="1" applyFill="1" applyBorder="1" applyAlignment="1">
      <alignment horizontal="center" vertical="center"/>
    </xf>
    <xf numFmtId="176" fontId="1" fillId="32" borderId="43" xfId="0" applyNumberFormat="1" applyFont="1" applyFill="1" applyBorder="1" applyAlignment="1">
      <alignment horizontal="center" vertical="center"/>
    </xf>
    <xf numFmtId="176" fontId="1" fillId="31" borderId="74" xfId="0" applyNumberFormat="1" applyFont="1" applyFill="1" applyBorder="1" applyAlignment="1">
      <alignment horizontal="center" vertical="center"/>
    </xf>
    <xf numFmtId="176" fontId="1" fillId="31" borderId="103" xfId="0" applyNumberFormat="1" applyFont="1" applyFill="1" applyBorder="1" applyAlignment="1">
      <alignment horizontal="center" vertical="center"/>
    </xf>
    <xf numFmtId="176" fontId="1" fillId="32" borderId="138" xfId="0" applyNumberFormat="1" applyFont="1" applyFill="1" applyBorder="1" applyAlignment="1">
      <alignment horizontal="center" vertical="center"/>
    </xf>
    <xf numFmtId="176" fontId="1" fillId="32" borderId="139" xfId="0" applyNumberFormat="1" applyFont="1" applyFill="1" applyBorder="1" applyAlignment="1">
      <alignment horizontal="center" vertical="center"/>
    </xf>
    <xf numFmtId="176" fontId="1" fillId="32" borderId="140" xfId="0" applyNumberFormat="1" applyFont="1" applyFill="1" applyBorder="1" applyAlignment="1">
      <alignment horizontal="center" vertical="center"/>
    </xf>
    <xf numFmtId="176" fontId="1" fillId="36" borderId="141" xfId="0" applyNumberFormat="1" applyFont="1" applyFill="1" applyBorder="1" applyAlignment="1">
      <alignment horizontal="center" vertical="center"/>
    </xf>
    <xf numFmtId="176" fontId="1" fillId="36" borderId="142" xfId="0" applyNumberFormat="1" applyFont="1" applyFill="1" applyBorder="1" applyAlignment="1">
      <alignment horizontal="center" vertical="center"/>
    </xf>
    <xf numFmtId="176" fontId="1" fillId="36" borderId="143" xfId="0" applyNumberFormat="1" applyFont="1" applyFill="1" applyBorder="1" applyAlignment="1">
      <alignment horizontal="center" vertical="center"/>
    </xf>
    <xf numFmtId="176" fontId="1" fillId="33" borderId="103" xfId="0" applyNumberFormat="1" applyFont="1" applyFill="1" applyBorder="1" applyAlignment="1">
      <alignment horizontal="center" vertical="center"/>
    </xf>
    <xf numFmtId="176" fontId="1" fillId="34" borderId="138" xfId="0" applyNumberFormat="1" applyFont="1" applyFill="1" applyBorder="1" applyAlignment="1">
      <alignment horizontal="center" vertical="center"/>
    </xf>
    <xf numFmtId="176" fontId="1" fillId="34" borderId="139" xfId="0" applyNumberFormat="1" applyFont="1" applyFill="1" applyBorder="1" applyAlignment="1">
      <alignment horizontal="center" vertical="center"/>
    </xf>
    <xf numFmtId="176" fontId="1" fillId="34" borderId="140" xfId="0" applyNumberFormat="1" applyFont="1" applyFill="1" applyBorder="1" applyAlignment="1">
      <alignment horizontal="center" vertical="center"/>
    </xf>
    <xf numFmtId="176" fontId="1" fillId="33" borderId="137" xfId="0" applyNumberFormat="1" applyFont="1" applyFill="1" applyBorder="1" applyAlignment="1">
      <alignment horizontal="center" vertical="center"/>
    </xf>
    <xf numFmtId="176" fontId="1" fillId="34" borderId="41" xfId="0" applyNumberFormat="1" applyFont="1" applyFill="1" applyBorder="1" applyAlignment="1">
      <alignment horizontal="center" vertical="center"/>
    </xf>
    <xf numFmtId="176" fontId="1" fillId="34" borderId="42" xfId="0" applyNumberFormat="1" applyFont="1" applyFill="1" applyBorder="1" applyAlignment="1">
      <alignment horizontal="center" vertical="center"/>
    </xf>
    <xf numFmtId="176" fontId="1" fillId="34" borderId="43" xfId="0" applyNumberFormat="1" applyFont="1" applyFill="1" applyBorder="1" applyAlignment="1">
      <alignment horizontal="center" vertical="center"/>
    </xf>
    <xf numFmtId="176" fontId="1" fillId="33" borderId="74" xfId="0" applyNumberFormat="1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176" fontId="1" fillId="34" borderId="35" xfId="0" applyNumberFormat="1" applyFont="1" applyFill="1" applyBorder="1" applyAlignment="1">
      <alignment horizontal="center" vertical="center"/>
    </xf>
    <xf numFmtId="176" fontId="1" fillId="34" borderId="36" xfId="0" applyNumberFormat="1" applyFont="1" applyFill="1" applyBorder="1" applyAlignment="1">
      <alignment horizontal="center" vertical="center"/>
    </xf>
    <xf numFmtId="176" fontId="1" fillId="33" borderId="144" xfId="0" applyNumberFormat="1" applyFont="1" applyFill="1" applyBorder="1" applyAlignment="1">
      <alignment horizontal="center" vertical="center"/>
    </xf>
    <xf numFmtId="176" fontId="1" fillId="33" borderId="32" xfId="0" applyNumberFormat="1" applyFont="1" applyFill="1" applyBorder="1" applyAlignment="1">
      <alignment horizontal="center" vertical="center"/>
    </xf>
    <xf numFmtId="176" fontId="1" fillId="33" borderId="145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76" fontId="9" fillId="31" borderId="71" xfId="0" quotePrefix="1" applyNumberFormat="1" applyFont="1" applyFill="1" applyBorder="1" applyAlignment="1">
      <alignment horizontal="center" vertical="center"/>
    </xf>
    <xf numFmtId="176" fontId="9" fillId="31" borderId="103" xfId="0" applyNumberFormat="1" applyFont="1" applyFill="1" applyBorder="1" applyAlignment="1">
      <alignment horizontal="center" vertical="center"/>
    </xf>
    <xf numFmtId="176" fontId="1" fillId="31" borderId="145" xfId="0" applyNumberFormat="1" applyFont="1" applyFill="1" applyBorder="1" applyAlignment="1">
      <alignment horizontal="center" vertical="center"/>
    </xf>
    <xf numFmtId="176" fontId="1" fillId="31" borderId="33" xfId="0" applyNumberFormat="1" applyFont="1" applyFill="1" applyBorder="1" applyAlignment="1">
      <alignment horizontal="center" vertical="center"/>
    </xf>
    <xf numFmtId="20" fontId="4" fillId="2" borderId="8" xfId="0" quotePrefix="1" applyNumberFormat="1" applyFont="1" applyFill="1" applyBorder="1" applyAlignment="1">
      <alignment horizontal="center" vertical="center"/>
    </xf>
    <xf numFmtId="20" fontId="4" fillId="45" borderId="5" xfId="0" quotePrefix="1" applyNumberFormat="1" applyFont="1" applyFill="1" applyBorder="1" applyAlignment="1">
      <alignment horizontal="center" vertical="center"/>
    </xf>
    <xf numFmtId="20" fontId="4" fillId="2" borderId="19" xfId="0" quotePrefix="1" applyNumberFormat="1" applyFont="1" applyFill="1" applyBorder="1" applyAlignment="1">
      <alignment horizontal="center" vertical="center"/>
    </xf>
    <xf numFmtId="176" fontId="1" fillId="2" borderId="20" xfId="0" applyNumberFormat="1" applyFont="1" applyFill="1" applyBorder="1" applyAlignment="1">
      <alignment horizontal="center" vertical="center"/>
    </xf>
    <xf numFmtId="20" fontId="4" fillId="2" borderId="148" xfId="0" quotePrefix="1" applyNumberFormat="1" applyFont="1" applyFill="1" applyBorder="1" applyAlignment="1">
      <alignment horizontal="center" vertical="center"/>
    </xf>
    <xf numFmtId="176" fontId="1" fillId="2" borderId="149" xfId="0" applyNumberFormat="1" applyFont="1" applyFill="1" applyBorder="1" applyAlignment="1">
      <alignment horizontal="center" vertical="center"/>
    </xf>
    <xf numFmtId="176" fontId="1" fillId="46" borderId="4" xfId="0" applyNumberFormat="1" applyFont="1" applyFill="1" applyBorder="1" applyAlignment="1">
      <alignment horizontal="center" vertical="center"/>
    </xf>
    <xf numFmtId="20" fontId="4" fillId="47" borderId="5" xfId="0" quotePrefix="1" applyNumberFormat="1" applyFont="1" applyFill="1" applyBorder="1" applyAlignment="1">
      <alignment horizontal="center" vertical="center"/>
    </xf>
    <xf numFmtId="176" fontId="1" fillId="47" borderId="6" xfId="0" applyNumberFormat="1" applyFont="1" applyFill="1" applyBorder="1" applyAlignment="1">
      <alignment horizontal="center" vertical="center"/>
    </xf>
    <xf numFmtId="20" fontId="4" fillId="47" borderId="8" xfId="0" quotePrefix="1" applyNumberFormat="1" applyFont="1" applyFill="1" applyBorder="1" applyAlignment="1">
      <alignment horizontal="center" vertical="center"/>
    </xf>
    <xf numFmtId="176" fontId="1" fillId="47" borderId="9" xfId="0" applyNumberFormat="1" applyFont="1" applyFill="1" applyBorder="1" applyAlignment="1">
      <alignment horizontal="center" vertical="center"/>
    </xf>
    <xf numFmtId="20" fontId="4" fillId="47" borderId="148" xfId="0" quotePrefix="1" applyNumberFormat="1" applyFont="1" applyFill="1" applyBorder="1" applyAlignment="1">
      <alignment horizontal="center" vertical="center"/>
    </xf>
    <xf numFmtId="176" fontId="1" fillId="47" borderId="149" xfId="0" applyNumberFormat="1" applyFont="1" applyFill="1" applyBorder="1" applyAlignment="1">
      <alignment horizontal="center" vertical="center"/>
    </xf>
    <xf numFmtId="20" fontId="4" fillId="45" borderId="146" xfId="0" quotePrefix="1" applyNumberFormat="1" applyFont="1" applyFill="1" applyBorder="1" applyAlignment="1">
      <alignment horizontal="center" vertical="center"/>
    </xf>
    <xf numFmtId="20" fontId="4" fillId="45" borderId="150" xfId="0" quotePrefix="1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6" fontId="1" fillId="48" borderId="4" xfId="0" applyNumberFormat="1" applyFont="1" applyFill="1" applyBorder="1" applyAlignment="1">
      <alignment horizontal="center" vertical="center"/>
    </xf>
    <xf numFmtId="176" fontId="1" fillId="2" borderId="19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148" xfId="0" applyNumberFormat="1" applyFont="1" applyFill="1" applyBorder="1" applyAlignment="1">
      <alignment horizontal="center" vertical="center"/>
    </xf>
    <xf numFmtId="176" fontId="1" fillId="47" borderId="5" xfId="0" applyNumberFormat="1" applyFont="1" applyFill="1" applyBorder="1" applyAlignment="1">
      <alignment horizontal="center" vertical="center"/>
    </xf>
    <xf numFmtId="176" fontId="1" fillId="47" borderId="8" xfId="0" applyNumberFormat="1" applyFont="1" applyFill="1" applyBorder="1" applyAlignment="1">
      <alignment horizontal="center" vertical="center"/>
    </xf>
    <xf numFmtId="176" fontId="1" fillId="47" borderId="148" xfId="0" applyNumberFormat="1" applyFont="1" applyFill="1" applyBorder="1" applyAlignment="1">
      <alignment horizontal="center" vertical="center"/>
    </xf>
    <xf numFmtId="176" fontId="1" fillId="7" borderId="5" xfId="0" applyNumberFormat="1" applyFont="1" applyFill="1" applyBorder="1" applyAlignment="1">
      <alignment horizontal="center" vertical="center"/>
    </xf>
    <xf numFmtId="0" fontId="1" fillId="3" borderId="157" xfId="0" applyFont="1" applyFill="1" applyBorder="1" applyAlignment="1">
      <alignment horizontal="center" vertical="center"/>
    </xf>
    <xf numFmtId="20" fontId="4" fillId="2" borderId="158" xfId="0" quotePrefix="1" applyNumberFormat="1" applyFont="1" applyFill="1" applyBorder="1" applyAlignment="1">
      <alignment horizontal="center" vertical="center"/>
    </xf>
    <xf numFmtId="0" fontId="1" fillId="3" borderId="147" xfId="0" applyFont="1" applyFill="1" applyBorder="1" applyAlignment="1">
      <alignment horizontal="center" vertical="center"/>
    </xf>
    <xf numFmtId="20" fontId="4" fillId="2" borderId="159" xfId="0" quotePrefix="1" applyNumberFormat="1" applyFont="1" applyFill="1" applyBorder="1" applyAlignment="1">
      <alignment horizontal="center" vertical="center"/>
    </xf>
    <xf numFmtId="0" fontId="1" fillId="3" borderId="160" xfId="0" applyFont="1" applyFill="1" applyBorder="1" applyAlignment="1">
      <alignment horizontal="center" vertical="center"/>
    </xf>
    <xf numFmtId="20" fontId="4" fillId="2" borderId="161" xfId="0" quotePrefix="1" applyNumberFormat="1" applyFont="1" applyFill="1" applyBorder="1" applyAlignment="1">
      <alignment horizontal="center" vertical="center"/>
    </xf>
    <xf numFmtId="0" fontId="1" fillId="46" borderId="93" xfId="0" applyFont="1" applyFill="1" applyBorder="1" applyAlignment="1">
      <alignment horizontal="center" vertical="center"/>
    </xf>
    <xf numFmtId="20" fontId="4" fillId="47" borderId="162" xfId="0" quotePrefix="1" applyNumberFormat="1" applyFont="1" applyFill="1" applyBorder="1" applyAlignment="1">
      <alignment horizontal="center" vertical="center"/>
    </xf>
    <xf numFmtId="0" fontId="1" fillId="46" borderId="147" xfId="0" applyFont="1" applyFill="1" applyBorder="1" applyAlignment="1">
      <alignment horizontal="center" vertical="center"/>
    </xf>
    <xf numFmtId="20" fontId="4" fillId="47" borderId="159" xfId="0" quotePrefix="1" applyNumberFormat="1" applyFont="1" applyFill="1" applyBorder="1" applyAlignment="1">
      <alignment horizontal="center" vertical="center"/>
    </xf>
    <xf numFmtId="0" fontId="1" fillId="46" borderId="160" xfId="0" applyFont="1" applyFill="1" applyBorder="1" applyAlignment="1">
      <alignment horizontal="center" vertical="center"/>
    </xf>
    <xf numFmtId="20" fontId="4" fillId="47" borderId="161" xfId="0" quotePrefix="1" applyNumberFormat="1" applyFont="1" applyFill="1" applyBorder="1" applyAlignment="1">
      <alignment horizontal="center" vertical="center"/>
    </xf>
    <xf numFmtId="0" fontId="1" fillId="6" borderId="93" xfId="0" applyFont="1" applyFill="1" applyBorder="1" applyAlignment="1">
      <alignment horizontal="center" vertical="center"/>
    </xf>
    <xf numFmtId="20" fontId="4" fillId="45" borderId="163" xfId="0" quotePrefix="1" applyNumberFormat="1" applyFont="1" applyFill="1" applyBorder="1" applyAlignment="1">
      <alignment horizontal="center" vertical="center"/>
    </xf>
    <xf numFmtId="20" fontId="4" fillId="45" borderId="164" xfId="0" quotePrefix="1" applyNumberFormat="1" applyFont="1" applyFill="1" applyBorder="1" applyAlignment="1">
      <alignment horizontal="center" vertical="center"/>
    </xf>
    <xf numFmtId="20" fontId="4" fillId="45" borderId="162" xfId="0" quotePrefix="1" applyNumberFormat="1" applyFont="1" applyFill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2" fillId="0" borderId="1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2" fillId="0" borderId="116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20" fontId="2" fillId="0" borderId="116" xfId="0" applyNumberFormat="1" applyFont="1" applyBorder="1" applyAlignment="1">
      <alignment horizontal="center" vertical="center"/>
    </xf>
    <xf numFmtId="0" fontId="2" fillId="0" borderId="108" xfId="0" applyFont="1" applyBorder="1" applyAlignment="1">
      <alignment horizontal="center" vertical="center"/>
    </xf>
    <xf numFmtId="0" fontId="1" fillId="0" borderId="108" xfId="0" applyFont="1" applyBorder="1" applyAlignment="1">
      <alignment vertical="center"/>
    </xf>
    <xf numFmtId="0" fontId="2" fillId="0" borderId="114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0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76" fontId="1" fillId="2" borderId="10" xfId="0" applyNumberFormat="1" applyFont="1" applyFill="1" applyBorder="1" applyAlignment="1">
      <alignment horizontal="center" vertical="center"/>
    </xf>
    <xf numFmtId="0" fontId="1" fillId="0" borderId="10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76" fontId="1" fillId="2" borderId="11" xfId="0" applyNumberFormat="1" applyFont="1" applyFill="1" applyBorder="1" applyAlignment="1">
      <alignment horizontal="center" vertical="center"/>
    </xf>
    <xf numFmtId="0" fontId="1" fillId="0" borderId="10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5" borderId="11" xfId="0" applyNumberFormat="1" applyFont="1" applyFill="1" applyBorder="1" applyAlignment="1">
      <alignment horizontal="center" vertical="center"/>
    </xf>
    <xf numFmtId="176" fontId="1" fillId="9" borderId="21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176" fontId="1" fillId="9" borderId="11" xfId="0" applyNumberFormat="1" applyFont="1" applyFill="1" applyBorder="1" applyAlignment="1">
      <alignment horizontal="center" vertical="center"/>
    </xf>
    <xf numFmtId="0" fontId="1" fillId="11" borderId="109" xfId="0" applyFont="1" applyFill="1" applyBorder="1" applyAlignment="1">
      <alignment horizontal="center" vertical="center"/>
    </xf>
    <xf numFmtId="0" fontId="1" fillId="0" borderId="110" xfId="0" applyFont="1" applyBorder="1" applyAlignment="1">
      <alignment vertical="center"/>
    </xf>
    <xf numFmtId="176" fontId="1" fillId="10" borderId="23" xfId="0" applyNumberFormat="1" applyFont="1" applyFill="1" applyBorder="1" applyAlignment="1">
      <alignment horizontal="center" vertical="center"/>
    </xf>
    <xf numFmtId="0" fontId="1" fillId="0" borderId="111" xfId="0" applyFont="1" applyBorder="1" applyAlignment="1">
      <alignment vertical="center"/>
    </xf>
    <xf numFmtId="0" fontId="1" fillId="0" borderId="112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0" xfId="0" applyNumberFormat="1" applyFont="1" applyFill="1" applyBorder="1" applyAlignment="1">
      <alignment horizontal="center" vertical="center"/>
    </xf>
    <xf numFmtId="176" fontId="1" fillId="7" borderId="11" xfId="0" applyNumberFormat="1" applyFont="1" applyFill="1" applyBorder="1" applyAlignment="1">
      <alignment horizontal="center" vertical="center"/>
    </xf>
    <xf numFmtId="176" fontId="1" fillId="0" borderId="117" xfId="0" applyNumberFormat="1" applyFont="1" applyBorder="1" applyAlignment="1">
      <alignment horizontal="center" vertical="center"/>
    </xf>
    <xf numFmtId="176" fontId="1" fillId="0" borderId="29" xfId="0" applyNumberFormat="1" applyFont="1" applyBorder="1" applyAlignment="1">
      <alignment horizontal="center" vertical="center"/>
    </xf>
    <xf numFmtId="176" fontId="6" fillId="0" borderId="118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19" xfId="0" applyFont="1" applyBorder="1" applyAlignment="1">
      <alignment horizontal="center" vertical="center"/>
    </xf>
    <xf numFmtId="0" fontId="2" fillId="0" borderId="120" xfId="0" applyFont="1" applyBorder="1" applyAlignment="1">
      <alignment horizontal="center" vertical="center"/>
    </xf>
    <xf numFmtId="0" fontId="2" fillId="0" borderId="121" xfId="0" applyFont="1" applyBorder="1" applyAlignment="1">
      <alignment horizontal="center" vertical="center"/>
    </xf>
    <xf numFmtId="20" fontId="1" fillId="0" borderId="12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0" xfId="0" applyFont="1" applyBorder="1" applyAlignment="1">
      <alignment horizontal="center" vertical="center"/>
    </xf>
    <xf numFmtId="0" fontId="1" fillId="24" borderId="70" xfId="0" applyFont="1" applyFill="1" applyBorder="1" applyAlignment="1">
      <alignment horizontal="center" vertical="center"/>
    </xf>
    <xf numFmtId="0" fontId="1" fillId="24" borderId="15" xfId="0" applyFont="1" applyFill="1" applyBorder="1" applyAlignment="1">
      <alignment horizontal="center" vertical="center"/>
    </xf>
    <xf numFmtId="0" fontId="2" fillId="0" borderId="123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6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0" borderId="151" xfId="0" applyFont="1" applyBorder="1" applyAlignment="1">
      <alignment horizontal="center" vertical="center"/>
    </xf>
    <xf numFmtId="0" fontId="2" fillId="0" borderId="15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24" borderId="165" xfId="0" applyFont="1" applyFill="1" applyBorder="1" applyAlignment="1">
      <alignment horizontal="center" vertical="center"/>
    </xf>
    <xf numFmtId="0" fontId="1" fillId="24" borderId="166" xfId="0" applyFont="1" applyFill="1" applyBorder="1" applyAlignment="1">
      <alignment horizontal="center" vertical="center"/>
    </xf>
    <xf numFmtId="0" fontId="1" fillId="24" borderId="167" xfId="0" applyFont="1" applyFill="1" applyBorder="1" applyAlignment="1">
      <alignment horizontal="center" vertical="center"/>
    </xf>
    <xf numFmtId="0" fontId="2" fillId="0" borderId="122" xfId="0" applyFont="1" applyBorder="1" applyAlignment="1">
      <alignment horizontal="center" vertical="center"/>
    </xf>
    <xf numFmtId="0" fontId="2" fillId="0" borderId="153" xfId="0" applyFont="1" applyBorder="1" applyAlignment="1">
      <alignment horizontal="center" vertical="center"/>
    </xf>
    <xf numFmtId="0" fontId="1" fillId="0" borderId="156" xfId="0" applyFont="1" applyBorder="1" applyAlignment="1">
      <alignment horizontal="center" vertical="center"/>
    </xf>
    <xf numFmtId="0" fontId="2" fillId="0" borderId="154" xfId="0" applyFont="1" applyBorder="1" applyAlignment="1">
      <alignment horizontal="center" vertical="center"/>
    </xf>
    <xf numFmtId="0" fontId="2" fillId="0" borderId="15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7620</xdr:rowOff>
    </xdr:from>
    <xdr:to>
      <xdr:col>10</xdr:col>
      <xdr:colOff>472440</xdr:colOff>
      <xdr:row>22</xdr:row>
      <xdr:rowOff>114300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771650" y="781050"/>
          <a:ext cx="7677150" cy="501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0000FF"/>
      </a:folHlink>
    </a:clrScheme>
    <a:fontScheme name="Sheets">
      <a:majorFont>
        <a:latin typeface="hnc_go_b_hint_gs"/>
        <a:ea typeface="hnc_go_b_hint_gs"/>
        <a:cs typeface="hnc_go_b_hint_gs"/>
      </a:majorFont>
      <a:minorFont>
        <a:latin typeface="hnc_go_b_hint_gs"/>
        <a:ea typeface="hnc_go_b_hint_gs"/>
        <a:cs typeface="hnc_go_b_hint_g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J1000"/>
  <sheetViews>
    <sheetView zoomScaleNormal="100" zoomScaleSheetLayoutView="75" workbookViewId="0">
      <selection activeCell="C36" sqref="C36"/>
    </sheetView>
  </sheetViews>
  <sheetFormatPr defaultColWidth="9.25" defaultRowHeight="15" customHeight="1"/>
  <cols>
    <col min="1" max="1" width="9.25" style="7" customWidth="1"/>
    <col min="2" max="16384" width="9.25" style="7"/>
  </cols>
  <sheetData>
    <row r="1" spans="3:10" ht="13.5" customHeight="1"/>
    <row r="2" spans="3:10" ht="13.5" customHeight="1"/>
    <row r="3" spans="3:10" ht="13.5" customHeight="1">
      <c r="C3" s="142" t="s">
        <v>9</v>
      </c>
      <c r="D3" s="143" t="s">
        <v>8</v>
      </c>
      <c r="E3" s="144" t="s">
        <v>41</v>
      </c>
      <c r="F3" s="145" t="s">
        <v>54</v>
      </c>
    </row>
    <row r="4" spans="3:10" ht="13.5" customHeight="1">
      <c r="C4" s="146" t="s">
        <v>42</v>
      </c>
      <c r="D4" s="147">
        <v>27300</v>
      </c>
      <c r="E4" s="148">
        <v>9500</v>
      </c>
      <c r="F4" s="149">
        <f t="shared" ref="F4:F19" si="0">SUM(D4,E4)</f>
        <v>36800</v>
      </c>
    </row>
    <row r="5" spans="3:10" ht="13.5" customHeight="1">
      <c r="C5" s="150" t="s">
        <v>22</v>
      </c>
      <c r="D5" s="147">
        <v>27300</v>
      </c>
      <c r="E5" s="151">
        <v>9500</v>
      </c>
      <c r="F5" s="152">
        <f t="shared" si="0"/>
        <v>36800</v>
      </c>
    </row>
    <row r="6" spans="3:10" ht="13.5" customHeight="1">
      <c r="C6" s="150" t="s">
        <v>5</v>
      </c>
      <c r="D6" s="153">
        <v>20000</v>
      </c>
      <c r="E6" s="151">
        <v>9500</v>
      </c>
      <c r="F6" s="152">
        <f t="shared" si="0"/>
        <v>29500</v>
      </c>
    </row>
    <row r="7" spans="3:10" ht="13.5" customHeight="1">
      <c r="C7" s="154" t="s">
        <v>27</v>
      </c>
      <c r="D7" s="155">
        <v>27300</v>
      </c>
      <c r="E7" s="156">
        <v>9500</v>
      </c>
      <c r="F7" s="157">
        <f t="shared" si="0"/>
        <v>36800</v>
      </c>
    </row>
    <row r="8" spans="3:10" ht="13.5" customHeight="1">
      <c r="C8" s="158" t="s">
        <v>39</v>
      </c>
      <c r="D8" s="159">
        <v>27300</v>
      </c>
      <c r="E8" s="160">
        <v>15500</v>
      </c>
      <c r="F8" s="161">
        <f t="shared" si="0"/>
        <v>42800</v>
      </c>
    </row>
    <row r="9" spans="3:10" ht="13.5" customHeight="1">
      <c r="C9" s="162" t="s">
        <v>30</v>
      </c>
      <c r="D9" s="163">
        <v>27300</v>
      </c>
      <c r="E9" s="164">
        <v>15500</v>
      </c>
      <c r="F9" s="165">
        <f t="shared" si="0"/>
        <v>42800</v>
      </c>
    </row>
    <row r="10" spans="3:10" ht="13.5" customHeight="1">
      <c r="C10" s="162" t="s">
        <v>37</v>
      </c>
      <c r="D10" s="163">
        <v>27300</v>
      </c>
      <c r="E10" s="164">
        <v>15500</v>
      </c>
      <c r="F10" s="165">
        <f t="shared" si="0"/>
        <v>42800</v>
      </c>
    </row>
    <row r="11" spans="3:10" ht="13.5" customHeight="1">
      <c r="C11" s="166" t="s">
        <v>23</v>
      </c>
      <c r="D11" s="167">
        <v>27300</v>
      </c>
      <c r="E11" s="168">
        <v>15500</v>
      </c>
      <c r="F11" s="169">
        <f t="shared" si="0"/>
        <v>42800</v>
      </c>
    </row>
    <row r="12" spans="3:10" ht="13.5" customHeight="1">
      <c r="C12" s="170" t="s">
        <v>46</v>
      </c>
      <c r="D12" s="171">
        <v>27300</v>
      </c>
      <c r="E12" s="172">
        <v>0</v>
      </c>
      <c r="F12" s="173">
        <f t="shared" si="0"/>
        <v>27300</v>
      </c>
      <c r="J12" s="8"/>
    </row>
    <row r="13" spans="3:10" ht="13.5" customHeight="1">
      <c r="C13" s="174" t="s">
        <v>33</v>
      </c>
      <c r="D13" s="175">
        <v>27300</v>
      </c>
      <c r="E13" s="176">
        <v>0</v>
      </c>
      <c r="F13" s="177">
        <f t="shared" si="0"/>
        <v>27300</v>
      </c>
    </row>
    <row r="14" spans="3:10" ht="13.5" customHeight="1">
      <c r="C14" s="174" t="s">
        <v>40</v>
      </c>
      <c r="D14" s="175">
        <v>27300</v>
      </c>
      <c r="E14" s="176">
        <v>0</v>
      </c>
      <c r="F14" s="177">
        <f t="shared" si="0"/>
        <v>27300</v>
      </c>
    </row>
    <row r="15" spans="3:10" ht="13.5" customHeight="1">
      <c r="C15" s="174" t="s">
        <v>36</v>
      </c>
      <c r="D15" s="175">
        <v>27300</v>
      </c>
      <c r="E15" s="176">
        <v>0</v>
      </c>
      <c r="F15" s="177">
        <f t="shared" si="0"/>
        <v>27300</v>
      </c>
    </row>
    <row r="16" spans="3:10" ht="13.5" customHeight="1">
      <c r="C16" s="174" t="s">
        <v>12</v>
      </c>
      <c r="D16" s="175">
        <v>27300</v>
      </c>
      <c r="E16" s="176">
        <v>0</v>
      </c>
      <c r="F16" s="177">
        <f t="shared" si="0"/>
        <v>27300</v>
      </c>
    </row>
    <row r="17" spans="3:6" ht="13.5" customHeight="1">
      <c r="C17" s="174" t="s">
        <v>19</v>
      </c>
      <c r="D17" s="175">
        <v>27300</v>
      </c>
      <c r="E17" s="176">
        <v>0</v>
      </c>
      <c r="F17" s="177">
        <f t="shared" si="0"/>
        <v>27300</v>
      </c>
    </row>
    <row r="18" spans="3:6" ht="13.5" customHeight="1">
      <c r="C18" s="174" t="s">
        <v>24</v>
      </c>
      <c r="D18" s="175">
        <v>27300</v>
      </c>
      <c r="E18" s="176">
        <v>0</v>
      </c>
      <c r="F18" s="177">
        <f t="shared" si="0"/>
        <v>27300</v>
      </c>
    </row>
    <row r="19" spans="3:6" ht="13.5" customHeight="1">
      <c r="C19" s="178" t="s">
        <v>51</v>
      </c>
      <c r="D19" s="179">
        <v>27300</v>
      </c>
      <c r="E19" s="180">
        <v>0</v>
      </c>
      <c r="F19" s="181">
        <f t="shared" si="0"/>
        <v>27300</v>
      </c>
    </row>
    <row r="20" spans="3:6" ht="13.5" customHeight="1">
      <c r="C20" s="182" t="s">
        <v>54</v>
      </c>
      <c r="D20" s="183">
        <v>429600</v>
      </c>
      <c r="E20" s="184">
        <v>100000</v>
      </c>
      <c r="F20" s="185">
        <v>529600</v>
      </c>
    </row>
    <row r="21" spans="3:6" ht="13.5" customHeight="1"/>
    <row r="22" spans="3:6" ht="13.5" customHeight="1"/>
    <row r="23" spans="3:6" ht="13.5" customHeight="1"/>
    <row r="24" spans="3:6" ht="13.5" customHeight="1"/>
    <row r="25" spans="3:6" ht="13.5" customHeight="1"/>
    <row r="26" spans="3:6" ht="13.5" customHeight="1"/>
    <row r="27" spans="3:6" ht="13.5" customHeight="1"/>
    <row r="28" spans="3:6" ht="13.5" customHeight="1"/>
    <row r="29" spans="3:6" ht="13.5" customHeight="1"/>
    <row r="30" spans="3:6" ht="13.5" customHeight="1"/>
    <row r="31" spans="3:6" ht="13.5" customHeight="1"/>
    <row r="32" spans="3: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7" type="noConversion"/>
  <pageMargins left="0.74805557727813721" right="0.74805557727813721" top="0.98430556058883667" bottom="0.98430556058883667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U1000"/>
  <sheetViews>
    <sheetView topLeftCell="A4" zoomScale="70" zoomScaleNormal="70" zoomScaleSheetLayoutView="75" workbookViewId="0">
      <selection activeCell="G7" sqref="G7:T32"/>
    </sheetView>
  </sheetViews>
  <sheetFormatPr defaultColWidth="9.25" defaultRowHeight="15" customHeight="1"/>
  <cols>
    <col min="1" max="1" width="9.25" style="7" customWidth="1"/>
    <col min="2" max="16384" width="9.25" style="7"/>
  </cols>
  <sheetData>
    <row r="1" spans="7:20" ht="13.5" customHeight="1"/>
    <row r="2" spans="7:20" ht="13.5" customHeight="1"/>
    <row r="3" spans="7:20" ht="13.5" customHeight="1"/>
    <row r="4" spans="7:20" ht="13.5" customHeight="1">
      <c r="K4" s="9"/>
    </row>
    <row r="5" spans="7:20" ht="13.5" customHeight="1"/>
    <row r="6" spans="7:20" ht="13.5" customHeight="1"/>
    <row r="7" spans="7:20" ht="15.75" customHeight="1">
      <c r="G7" s="455" t="s">
        <v>9</v>
      </c>
      <c r="H7" s="457" t="s">
        <v>99</v>
      </c>
      <c r="I7" s="459" t="s">
        <v>18</v>
      </c>
      <c r="J7" s="461" t="s">
        <v>92</v>
      </c>
      <c r="K7" s="459" t="s">
        <v>43</v>
      </c>
      <c r="L7" s="462" t="s">
        <v>38</v>
      </c>
      <c r="M7" s="463"/>
      <c r="N7" s="463"/>
      <c r="O7" s="463"/>
      <c r="P7" s="463"/>
      <c r="Q7" s="463"/>
      <c r="R7" s="463"/>
      <c r="S7" s="464" t="s">
        <v>111</v>
      </c>
      <c r="T7" s="455" t="s">
        <v>54</v>
      </c>
    </row>
    <row r="8" spans="7:20" ht="13.5" customHeight="1">
      <c r="G8" s="456"/>
      <c r="H8" s="458"/>
      <c r="I8" s="460"/>
      <c r="J8" s="460"/>
      <c r="K8" s="460"/>
      <c r="L8" s="10">
        <v>0.80555555555555558</v>
      </c>
      <c r="M8" s="11">
        <v>0.9194444444444444</v>
      </c>
      <c r="N8" s="11">
        <v>0.98611111111111116</v>
      </c>
      <c r="O8" s="12" t="s">
        <v>109</v>
      </c>
      <c r="P8" s="12" t="s">
        <v>89</v>
      </c>
      <c r="Q8" s="12" t="s">
        <v>100</v>
      </c>
      <c r="R8" s="12" t="s">
        <v>87</v>
      </c>
      <c r="S8" s="465"/>
      <c r="T8" s="456"/>
    </row>
    <row r="9" spans="7:20" ht="16.5">
      <c r="G9" s="13" t="s">
        <v>42</v>
      </c>
      <c r="H9" s="14" t="s">
        <v>96</v>
      </c>
      <c r="I9" s="15">
        <f>I32/20</f>
        <v>12500</v>
      </c>
      <c r="J9" s="15">
        <v>0</v>
      </c>
      <c r="K9" s="15">
        <v>0</v>
      </c>
      <c r="L9" s="15">
        <f t="shared" ref="L9:M9" si="0">ROUNDUP(L32/19,0)</f>
        <v>4172</v>
      </c>
      <c r="M9" s="15">
        <f t="shared" si="0"/>
        <v>1269</v>
      </c>
      <c r="N9" s="15">
        <f>ROUNDUP(N32/18,0)</f>
        <v>884</v>
      </c>
      <c r="O9" s="466">
        <f>ROUNDUP(SUM(O32:R32)/13,0)</f>
        <v>4696</v>
      </c>
      <c r="P9" s="467"/>
      <c r="Q9" s="467"/>
      <c r="R9" s="468"/>
      <c r="S9" s="6">
        <f>S32/6</f>
        <v>6500</v>
      </c>
      <c r="T9" s="16">
        <f t="shared" ref="T9:T32" si="1">SUM(I9:S9)</f>
        <v>30021</v>
      </c>
    </row>
    <row r="10" spans="7:20" ht="16.5">
      <c r="G10" s="17" t="s">
        <v>47</v>
      </c>
      <c r="H10" s="18" t="s">
        <v>96</v>
      </c>
      <c r="I10" s="19">
        <v>12500</v>
      </c>
      <c r="J10" s="19">
        <v>0</v>
      </c>
      <c r="K10" s="19">
        <v>0</v>
      </c>
      <c r="L10" s="19">
        <f t="shared" ref="L10:M10" si="2">ROUNDUP(L32/19,0)</f>
        <v>4172</v>
      </c>
      <c r="M10" s="19">
        <f t="shared" si="2"/>
        <v>1269</v>
      </c>
      <c r="N10" s="19">
        <f>ROUNDUP(N32/18,0)</f>
        <v>884</v>
      </c>
      <c r="O10" s="469">
        <f>ROUNDUP(SUM(O32:R32)/13,0)</f>
        <v>4696</v>
      </c>
      <c r="P10" s="470"/>
      <c r="Q10" s="470"/>
      <c r="R10" s="471"/>
      <c r="S10" s="20">
        <f>S32/6</f>
        <v>6500</v>
      </c>
      <c r="T10" s="16">
        <f t="shared" si="1"/>
        <v>30021</v>
      </c>
    </row>
    <row r="11" spans="7:20" ht="16.5">
      <c r="G11" s="17" t="s">
        <v>5</v>
      </c>
      <c r="H11" s="18" t="s">
        <v>96</v>
      </c>
      <c r="I11" s="19">
        <v>12500</v>
      </c>
      <c r="J11" s="19">
        <v>0</v>
      </c>
      <c r="K11" s="19">
        <v>0</v>
      </c>
      <c r="L11" s="19">
        <f>ROUNDUP(L32/19,0)</f>
        <v>4172</v>
      </c>
      <c r="M11" s="19">
        <f>ROUNDUP(M32/19,0)</f>
        <v>1269</v>
      </c>
      <c r="N11" s="19">
        <f>ROUNDUP(N32/18,0)</f>
        <v>884</v>
      </c>
      <c r="O11" s="469">
        <f>ROUNDUP(SUM(O32:R32)/13,0)</f>
        <v>4696</v>
      </c>
      <c r="P11" s="470"/>
      <c r="Q11" s="470"/>
      <c r="R11" s="471"/>
      <c r="S11" s="20">
        <f>S32/6</f>
        <v>6500</v>
      </c>
      <c r="T11" s="16">
        <f t="shared" si="1"/>
        <v>30021</v>
      </c>
    </row>
    <row r="12" spans="7:20" ht="16.5">
      <c r="G12" s="17" t="s">
        <v>10</v>
      </c>
      <c r="H12" s="18" t="s">
        <v>96</v>
      </c>
      <c r="I12" s="19">
        <v>12500</v>
      </c>
      <c r="J12" s="19">
        <v>0</v>
      </c>
      <c r="K12" s="19">
        <v>0</v>
      </c>
      <c r="L12" s="19">
        <f t="shared" ref="L12:M12" si="3">ROUNDUP(L32/19,0)</f>
        <v>4172</v>
      </c>
      <c r="M12" s="19">
        <f t="shared" si="3"/>
        <v>1269</v>
      </c>
      <c r="N12" s="19">
        <f>ROUNDUP(N32/18,0)</f>
        <v>884</v>
      </c>
      <c r="O12" s="469">
        <f>ROUNDUP(SUM(O32:R32)/13,0)</f>
        <v>4696</v>
      </c>
      <c r="P12" s="470"/>
      <c r="Q12" s="470"/>
      <c r="R12" s="471"/>
      <c r="S12" s="20">
        <f>S32/6</f>
        <v>6500</v>
      </c>
      <c r="T12" s="16">
        <f t="shared" si="1"/>
        <v>30021</v>
      </c>
    </row>
    <row r="13" spans="7:20" ht="16.5">
      <c r="G13" s="17" t="s">
        <v>23</v>
      </c>
      <c r="H13" s="18" t="s">
        <v>96</v>
      </c>
      <c r="I13" s="19">
        <v>12500</v>
      </c>
      <c r="J13" s="19">
        <v>0</v>
      </c>
      <c r="K13" s="19">
        <v>0</v>
      </c>
      <c r="L13" s="19">
        <f t="shared" ref="L13:M13" si="4">ROUNDUP(L32/19,0)</f>
        <v>4172</v>
      </c>
      <c r="M13" s="19">
        <f t="shared" si="4"/>
        <v>1269</v>
      </c>
      <c r="N13" s="19">
        <f>ROUNDUP(N32/18,0)</f>
        <v>884</v>
      </c>
      <c r="O13" s="469">
        <f>ROUNDUP(SUM(O32:R32)/13,0)</f>
        <v>4696</v>
      </c>
      <c r="P13" s="470"/>
      <c r="Q13" s="470"/>
      <c r="R13" s="471"/>
      <c r="S13" s="20">
        <f>S32/6</f>
        <v>6500</v>
      </c>
      <c r="T13" s="16">
        <f t="shared" si="1"/>
        <v>30021</v>
      </c>
    </row>
    <row r="14" spans="7:20" ht="16.5">
      <c r="G14" s="218" t="s">
        <v>30</v>
      </c>
      <c r="H14" s="21" t="s">
        <v>96</v>
      </c>
      <c r="I14" s="22">
        <v>12500</v>
      </c>
      <c r="J14" s="22">
        <v>0</v>
      </c>
      <c r="K14" s="22">
        <v>0</v>
      </c>
      <c r="L14" s="22">
        <v>0</v>
      </c>
      <c r="M14" s="22">
        <f>ROUNDUP(M32/19,0)</f>
        <v>1269</v>
      </c>
      <c r="N14" s="22">
        <f>ROUNDUP(N32/18,0)</f>
        <v>884</v>
      </c>
      <c r="O14" s="472">
        <f>ROUNDUP(SUM(O32:R32)/13,0)</f>
        <v>4696</v>
      </c>
      <c r="P14" s="473"/>
      <c r="Q14" s="473"/>
      <c r="R14" s="474"/>
      <c r="S14" s="23">
        <f>S32/6</f>
        <v>6500</v>
      </c>
      <c r="T14" s="24">
        <f t="shared" si="1"/>
        <v>25849</v>
      </c>
    </row>
    <row r="15" spans="7:20" ht="16.5">
      <c r="G15" s="25" t="s">
        <v>22</v>
      </c>
      <c r="H15" s="26" t="s">
        <v>85</v>
      </c>
      <c r="I15" s="27">
        <v>12500</v>
      </c>
      <c r="J15" s="27">
        <v>0</v>
      </c>
      <c r="K15" s="27">
        <v>0</v>
      </c>
      <c r="L15" s="27">
        <f t="shared" ref="L15:M15" si="5">ROUNDUP(L32/19,0)</f>
        <v>4172</v>
      </c>
      <c r="M15" s="27">
        <f t="shared" si="5"/>
        <v>1269</v>
      </c>
      <c r="N15" s="27">
        <f>ROUNDUP(N32/18,0)</f>
        <v>884</v>
      </c>
      <c r="O15" s="475">
        <f>ROUNDUP(SUM(O32:R32)/13,0)</f>
        <v>4696</v>
      </c>
      <c r="P15" s="467"/>
      <c r="Q15" s="467"/>
      <c r="R15" s="468"/>
      <c r="S15" s="28">
        <v>0</v>
      </c>
      <c r="T15" s="29">
        <f t="shared" si="1"/>
        <v>23521</v>
      </c>
    </row>
    <row r="16" spans="7:20" ht="16.5">
      <c r="G16" s="30" t="s">
        <v>39</v>
      </c>
      <c r="H16" s="31" t="s">
        <v>85</v>
      </c>
      <c r="I16" s="32">
        <v>12500</v>
      </c>
      <c r="J16" s="32">
        <v>0</v>
      </c>
      <c r="K16" s="32">
        <v>0</v>
      </c>
      <c r="L16" s="32">
        <f t="shared" ref="L16:M16" si="6">ROUNDUP(L32/19,0)</f>
        <v>4172</v>
      </c>
      <c r="M16" s="32">
        <f t="shared" si="6"/>
        <v>1269</v>
      </c>
      <c r="N16" s="32">
        <f>ROUNDUP(N32/18,0)</f>
        <v>884</v>
      </c>
      <c r="O16" s="476">
        <f>ROUNDUP(SUM(O32:R32)/13,0)</f>
        <v>4696</v>
      </c>
      <c r="P16" s="470"/>
      <c r="Q16" s="470"/>
      <c r="R16" s="471"/>
      <c r="S16" s="33">
        <v>0</v>
      </c>
      <c r="T16" s="29">
        <f t="shared" si="1"/>
        <v>23521</v>
      </c>
    </row>
    <row r="17" spans="2:21" ht="16.5">
      <c r="G17" s="30" t="s">
        <v>37</v>
      </c>
      <c r="H17" s="31" t="s">
        <v>85</v>
      </c>
      <c r="I17" s="32">
        <v>12500</v>
      </c>
      <c r="J17" s="32">
        <v>0</v>
      </c>
      <c r="K17" s="32">
        <v>0</v>
      </c>
      <c r="L17" s="32">
        <f t="shared" ref="L17:M17" si="7">ROUNDUP(L32/19,0)</f>
        <v>4172</v>
      </c>
      <c r="M17" s="32">
        <f t="shared" si="7"/>
        <v>1269</v>
      </c>
      <c r="N17" s="32">
        <f>ROUNDUP(N32/18,0)</f>
        <v>884</v>
      </c>
      <c r="O17" s="476">
        <f>ROUNDUP(SUM(O32:R32)/13,0)</f>
        <v>4696</v>
      </c>
      <c r="P17" s="470"/>
      <c r="Q17" s="470"/>
      <c r="R17" s="471"/>
      <c r="S17" s="33">
        <v>0</v>
      </c>
      <c r="T17" s="29">
        <f t="shared" si="1"/>
        <v>23521</v>
      </c>
    </row>
    <row r="18" spans="2:21" ht="16.5">
      <c r="C18" s="34"/>
      <c r="G18" s="30" t="s">
        <v>7</v>
      </c>
      <c r="H18" s="31" t="s">
        <v>85</v>
      </c>
      <c r="I18" s="32">
        <v>12500</v>
      </c>
      <c r="J18" s="32">
        <v>0</v>
      </c>
      <c r="K18" s="32">
        <v>0</v>
      </c>
      <c r="L18" s="32">
        <f t="shared" ref="L18:M18" si="8">ROUNDUP(L32/19,0)</f>
        <v>4172</v>
      </c>
      <c r="M18" s="32">
        <f t="shared" si="8"/>
        <v>1269</v>
      </c>
      <c r="N18" s="32">
        <f>ROUNDUP(N32/18,0)</f>
        <v>884</v>
      </c>
      <c r="O18" s="476">
        <f>ROUNDUP(SUM(O32:R32)/13,0)</f>
        <v>4696</v>
      </c>
      <c r="P18" s="470"/>
      <c r="Q18" s="470"/>
      <c r="R18" s="471"/>
      <c r="S18" s="33">
        <v>0</v>
      </c>
      <c r="T18" s="29">
        <f t="shared" si="1"/>
        <v>23521</v>
      </c>
    </row>
    <row r="19" spans="2:21" ht="16.5">
      <c r="C19" s="34"/>
      <c r="G19" s="30" t="s">
        <v>14</v>
      </c>
      <c r="H19" s="31" t="s">
        <v>85</v>
      </c>
      <c r="I19" s="32">
        <v>12500</v>
      </c>
      <c r="J19" s="32">
        <v>0</v>
      </c>
      <c r="K19" s="32">
        <v>0</v>
      </c>
      <c r="L19" s="32">
        <f t="shared" ref="L19:M19" si="9">ROUNDUP(L32/19,0)</f>
        <v>4172</v>
      </c>
      <c r="M19" s="32">
        <f t="shared" si="9"/>
        <v>1269</v>
      </c>
      <c r="N19" s="32">
        <f>ROUNDUP(N32/18,0)</f>
        <v>884</v>
      </c>
      <c r="O19" s="476">
        <f>ROUNDUP(SUM(O32:R32)/13,0)</f>
        <v>4696</v>
      </c>
      <c r="P19" s="470"/>
      <c r="Q19" s="470"/>
      <c r="R19" s="471"/>
      <c r="S19" s="33">
        <v>0</v>
      </c>
      <c r="T19" s="29">
        <f t="shared" si="1"/>
        <v>23521</v>
      </c>
    </row>
    <row r="20" spans="2:21" ht="16.5">
      <c r="C20" s="34"/>
      <c r="G20" s="30" t="s">
        <v>57</v>
      </c>
      <c r="H20" s="31" t="s">
        <v>85</v>
      </c>
      <c r="I20" s="32">
        <v>12500</v>
      </c>
      <c r="J20" s="32">
        <v>0</v>
      </c>
      <c r="K20" s="32">
        <v>0</v>
      </c>
      <c r="L20" s="32">
        <f t="shared" ref="L20:M20" si="10">ROUNDUP(L32/19,0)</f>
        <v>4172</v>
      </c>
      <c r="M20" s="32">
        <f t="shared" si="10"/>
        <v>1269</v>
      </c>
      <c r="N20" s="32">
        <f>ROUNDUP(N32/18,0)</f>
        <v>884</v>
      </c>
      <c r="O20" s="476">
        <f>ROUNDUP(SUM(O32:R32)/13,0)</f>
        <v>4696</v>
      </c>
      <c r="P20" s="470"/>
      <c r="Q20" s="470"/>
      <c r="R20" s="471"/>
      <c r="S20" s="33">
        <v>0</v>
      </c>
      <c r="T20" s="29">
        <f t="shared" si="1"/>
        <v>23521</v>
      </c>
    </row>
    <row r="21" spans="2:21" ht="16.5">
      <c r="C21" s="34"/>
      <c r="G21" s="35" t="s">
        <v>44</v>
      </c>
      <c r="H21" s="36" t="s">
        <v>85</v>
      </c>
      <c r="I21" s="37">
        <v>12500</v>
      </c>
      <c r="J21" s="37">
        <v>0</v>
      </c>
      <c r="K21" s="37">
        <v>0</v>
      </c>
      <c r="L21" s="37">
        <f t="shared" ref="L21:M21" si="11">ROUNDUP(L32/19,0)</f>
        <v>4172</v>
      </c>
      <c r="M21" s="37">
        <f t="shared" si="11"/>
        <v>1269</v>
      </c>
      <c r="N21" s="37">
        <f>ROUNDUP(N32/18,0)</f>
        <v>884</v>
      </c>
      <c r="O21" s="477">
        <f>ROUNDUP(SUM(O32:R32)/13,0)</f>
        <v>4696</v>
      </c>
      <c r="P21" s="473"/>
      <c r="Q21" s="473"/>
      <c r="R21" s="474"/>
      <c r="S21" s="2">
        <v>0</v>
      </c>
      <c r="T21" s="38">
        <f t="shared" si="1"/>
        <v>23521</v>
      </c>
    </row>
    <row r="22" spans="2:21" ht="16.5">
      <c r="G22" s="39" t="s">
        <v>19</v>
      </c>
      <c r="H22" s="40" t="s">
        <v>115</v>
      </c>
      <c r="I22" s="41">
        <v>12500</v>
      </c>
      <c r="J22" s="41">
        <v>0</v>
      </c>
      <c r="K22" s="41">
        <v>0</v>
      </c>
      <c r="L22" s="41">
        <f t="shared" ref="L22:M22" si="12">ROUNDUP(L32/19,0)</f>
        <v>4172</v>
      </c>
      <c r="M22" s="41">
        <f t="shared" si="12"/>
        <v>1269</v>
      </c>
      <c r="N22" s="41">
        <f>ROUNDUP(N32/18,0)</f>
        <v>884</v>
      </c>
      <c r="O22" s="487">
        <v>0</v>
      </c>
      <c r="P22" s="467"/>
      <c r="Q22" s="467"/>
      <c r="R22" s="468"/>
      <c r="S22" s="4">
        <v>0</v>
      </c>
      <c r="T22" s="42">
        <f t="shared" si="1"/>
        <v>18825</v>
      </c>
    </row>
    <row r="23" spans="2:21" ht="16.5">
      <c r="B23" s="34"/>
      <c r="G23" s="43" t="s">
        <v>55</v>
      </c>
      <c r="H23" s="44" t="s">
        <v>115</v>
      </c>
      <c r="I23" s="45">
        <v>12500</v>
      </c>
      <c r="J23" s="45">
        <v>0</v>
      </c>
      <c r="K23" s="45">
        <v>0</v>
      </c>
      <c r="L23" s="45">
        <f t="shared" ref="L23:M23" si="13">ROUNDUP(L32/19,0)</f>
        <v>4172</v>
      </c>
      <c r="M23" s="45">
        <f t="shared" si="13"/>
        <v>1269</v>
      </c>
      <c r="N23" s="45">
        <f>ROUNDUP(N32/18,0)</f>
        <v>884</v>
      </c>
      <c r="O23" s="488">
        <v>0</v>
      </c>
      <c r="P23" s="470"/>
      <c r="Q23" s="470"/>
      <c r="R23" s="471"/>
      <c r="S23" s="3">
        <v>0</v>
      </c>
      <c r="T23" s="42">
        <f t="shared" si="1"/>
        <v>18825</v>
      </c>
    </row>
    <row r="24" spans="2:21" ht="16.5">
      <c r="G24" s="43" t="s">
        <v>15</v>
      </c>
      <c r="H24" s="44" t="s">
        <v>82</v>
      </c>
      <c r="I24" s="45">
        <v>12500</v>
      </c>
      <c r="J24" s="45">
        <v>0</v>
      </c>
      <c r="K24" s="45">
        <v>0</v>
      </c>
      <c r="L24" s="45">
        <f t="shared" ref="L24:M24" si="14">ROUNDUP(L32/19,0)</f>
        <v>4172</v>
      </c>
      <c r="M24" s="45">
        <f t="shared" si="14"/>
        <v>1269</v>
      </c>
      <c r="N24" s="45">
        <f>ROUNDUP(N32/18,0)</f>
        <v>884</v>
      </c>
      <c r="O24" s="488">
        <v>0</v>
      </c>
      <c r="P24" s="470"/>
      <c r="Q24" s="470"/>
      <c r="R24" s="471"/>
      <c r="S24" s="3">
        <v>0</v>
      </c>
      <c r="T24" s="42">
        <f t="shared" si="1"/>
        <v>18825</v>
      </c>
    </row>
    <row r="25" spans="2:21" ht="16.5">
      <c r="G25" s="43" t="s">
        <v>59</v>
      </c>
      <c r="H25" s="44" t="s">
        <v>95</v>
      </c>
      <c r="I25" s="45">
        <v>12500</v>
      </c>
      <c r="J25" s="45">
        <v>0</v>
      </c>
      <c r="K25" s="45">
        <v>0</v>
      </c>
      <c r="L25" s="45">
        <f t="shared" ref="L25:M25" si="15">ROUNDUP(L32/19,0)</f>
        <v>4172</v>
      </c>
      <c r="M25" s="45">
        <f t="shared" si="15"/>
        <v>1269</v>
      </c>
      <c r="N25" s="45">
        <f>ROUNDUP(N32/18,0)</f>
        <v>884</v>
      </c>
      <c r="O25" s="488">
        <v>0</v>
      </c>
      <c r="P25" s="470"/>
      <c r="Q25" s="470"/>
      <c r="R25" s="471"/>
      <c r="S25" s="3">
        <v>0</v>
      </c>
      <c r="T25" s="42">
        <f t="shared" si="1"/>
        <v>18825</v>
      </c>
    </row>
    <row r="26" spans="2:21" ht="16.5">
      <c r="G26" s="46" t="s">
        <v>28</v>
      </c>
      <c r="H26" s="44" t="s">
        <v>95</v>
      </c>
      <c r="I26" s="45">
        <v>12500</v>
      </c>
      <c r="J26" s="45">
        <v>0</v>
      </c>
      <c r="K26" s="45">
        <v>0</v>
      </c>
      <c r="L26" s="45">
        <f t="shared" ref="L26:M26" si="16">ROUNDUP(L32/19,0)</f>
        <v>4172</v>
      </c>
      <c r="M26" s="45">
        <f t="shared" si="16"/>
        <v>1269</v>
      </c>
      <c r="N26" s="45">
        <f>ROUNDUP(N32/18,0)</f>
        <v>884</v>
      </c>
      <c r="O26" s="488">
        <v>0</v>
      </c>
      <c r="P26" s="470"/>
      <c r="Q26" s="470"/>
      <c r="R26" s="471"/>
      <c r="S26" s="3">
        <v>0</v>
      </c>
      <c r="T26" s="42">
        <f t="shared" si="1"/>
        <v>18825</v>
      </c>
    </row>
    <row r="27" spans="2:21" ht="16.5">
      <c r="G27" s="43" t="s">
        <v>25</v>
      </c>
      <c r="H27" s="47">
        <v>0.97916666666666663</v>
      </c>
      <c r="I27" s="45">
        <v>12500</v>
      </c>
      <c r="J27" s="45">
        <v>0</v>
      </c>
      <c r="K27" s="45">
        <v>0</v>
      </c>
      <c r="L27" s="45">
        <f t="shared" ref="L27:M27" si="17">ROUNDUP(L32/19,0)</f>
        <v>4172</v>
      </c>
      <c r="M27" s="45">
        <f t="shared" si="17"/>
        <v>1269</v>
      </c>
      <c r="N27" s="45">
        <v>0</v>
      </c>
      <c r="O27" s="488">
        <v>0</v>
      </c>
      <c r="P27" s="470"/>
      <c r="Q27" s="470"/>
      <c r="R27" s="471"/>
      <c r="S27" s="3">
        <v>0</v>
      </c>
      <c r="T27" s="42">
        <f t="shared" si="1"/>
        <v>17941</v>
      </c>
    </row>
    <row r="28" spans="2:21" ht="16.5">
      <c r="G28" s="48" t="s">
        <v>40</v>
      </c>
      <c r="H28" s="49">
        <v>0.91666666666666663</v>
      </c>
      <c r="I28" s="50">
        <v>12500</v>
      </c>
      <c r="J28" s="51">
        <v>0</v>
      </c>
      <c r="K28" s="51">
        <v>0</v>
      </c>
      <c r="L28" s="51">
        <f>ROUNDUP(L32/19,0)</f>
        <v>4172</v>
      </c>
      <c r="M28" s="51">
        <v>0</v>
      </c>
      <c r="N28" s="51">
        <v>0</v>
      </c>
      <c r="O28" s="489">
        <v>0</v>
      </c>
      <c r="P28" s="473"/>
      <c r="Q28" s="473"/>
      <c r="R28" s="474"/>
      <c r="S28" s="52">
        <v>0</v>
      </c>
      <c r="T28" s="53">
        <f t="shared" si="1"/>
        <v>16672</v>
      </c>
    </row>
    <row r="29" spans="2:21" ht="16.5">
      <c r="G29" s="54" t="s">
        <v>53</v>
      </c>
      <c r="H29" s="55">
        <v>0.86111111111111116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478">
        <v>0</v>
      </c>
      <c r="P29" s="463"/>
      <c r="Q29" s="463"/>
      <c r="R29" s="479"/>
      <c r="S29" s="1">
        <v>0</v>
      </c>
      <c r="T29" s="57">
        <f t="shared" si="1"/>
        <v>0</v>
      </c>
    </row>
    <row r="30" spans="2:21" ht="16.5">
      <c r="G30" s="58" t="s">
        <v>6</v>
      </c>
      <c r="H30" s="59">
        <v>0.86111111111111116</v>
      </c>
      <c r="I30" s="60">
        <v>0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480">
        <v>0</v>
      </c>
      <c r="P30" s="473"/>
      <c r="Q30" s="473"/>
      <c r="R30" s="474"/>
      <c r="S30" s="61">
        <v>0</v>
      </c>
      <c r="T30" s="62">
        <f t="shared" si="1"/>
        <v>0</v>
      </c>
    </row>
    <row r="31" spans="2:21" ht="16.5">
      <c r="G31" s="481" t="s">
        <v>83</v>
      </c>
      <c r="H31" s="482"/>
      <c r="I31" s="63">
        <v>0</v>
      </c>
      <c r="J31" s="63">
        <v>112200</v>
      </c>
      <c r="K31" s="63">
        <v>21000</v>
      </c>
      <c r="L31" s="63">
        <v>0</v>
      </c>
      <c r="M31" s="63">
        <v>0</v>
      </c>
      <c r="N31" s="63">
        <v>0</v>
      </c>
      <c r="O31" s="483">
        <v>0</v>
      </c>
      <c r="P31" s="484"/>
      <c r="Q31" s="484"/>
      <c r="R31" s="485"/>
      <c r="S31" s="64">
        <v>0</v>
      </c>
      <c r="T31" s="65">
        <f t="shared" si="1"/>
        <v>133200</v>
      </c>
      <c r="U31" s="9"/>
    </row>
    <row r="32" spans="2:21" ht="13.5" customHeight="1">
      <c r="G32" s="486" t="s">
        <v>54</v>
      </c>
      <c r="H32" s="458"/>
      <c r="I32" s="66">
        <v>250000</v>
      </c>
      <c r="J32" s="66">
        <v>112200</v>
      </c>
      <c r="K32" s="66">
        <v>21000</v>
      </c>
      <c r="L32" s="66">
        <v>79250</v>
      </c>
      <c r="M32" s="66">
        <v>24100</v>
      </c>
      <c r="N32" s="66">
        <v>15900</v>
      </c>
      <c r="O32" s="66">
        <v>22950</v>
      </c>
      <c r="P32" s="66">
        <v>18690</v>
      </c>
      <c r="Q32" s="66">
        <v>6300</v>
      </c>
      <c r="R32" s="66">
        <v>13100</v>
      </c>
      <c r="S32" s="67">
        <v>39000</v>
      </c>
      <c r="T32" s="68">
        <f t="shared" si="1"/>
        <v>602490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3">
    <mergeCell ref="G32:H32"/>
    <mergeCell ref="O22:R22"/>
    <mergeCell ref="O23:R23"/>
    <mergeCell ref="O24:R24"/>
    <mergeCell ref="O25:R25"/>
    <mergeCell ref="O26:R26"/>
    <mergeCell ref="O27:R27"/>
    <mergeCell ref="O28:R28"/>
    <mergeCell ref="O21:R21"/>
    <mergeCell ref="O29:R29"/>
    <mergeCell ref="O30:R30"/>
    <mergeCell ref="G31:H31"/>
    <mergeCell ref="O31:R31"/>
    <mergeCell ref="O16:R16"/>
    <mergeCell ref="O17:R17"/>
    <mergeCell ref="O18:R18"/>
    <mergeCell ref="O19:R19"/>
    <mergeCell ref="O20:R20"/>
    <mergeCell ref="O11:R11"/>
    <mergeCell ref="O12:R12"/>
    <mergeCell ref="O13:R13"/>
    <mergeCell ref="O14:R14"/>
    <mergeCell ref="O15:R15"/>
    <mergeCell ref="L7:R7"/>
    <mergeCell ref="T7:T8"/>
    <mergeCell ref="S7:S8"/>
    <mergeCell ref="O9:R9"/>
    <mergeCell ref="O10:R10"/>
    <mergeCell ref="G7:G8"/>
    <mergeCell ref="H7:H8"/>
    <mergeCell ref="I7:I8"/>
    <mergeCell ref="J7:J8"/>
    <mergeCell ref="K7:K8"/>
  </mergeCells>
  <phoneticPr fontId="7" type="noConversion"/>
  <pageMargins left="0.74805557727813721" right="0.74805557727813721" top="0.98430556058883667" bottom="0.98430556058883667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1000"/>
  <sheetViews>
    <sheetView zoomScaleNormal="100" zoomScaleSheetLayoutView="75" workbookViewId="0">
      <selection activeCell="O14" sqref="O14"/>
    </sheetView>
  </sheetViews>
  <sheetFormatPr defaultColWidth="9.25" defaultRowHeight="15" customHeight="1"/>
  <cols>
    <col min="1" max="1" width="9.25" style="7" customWidth="1"/>
    <col min="2" max="16384" width="9.25" style="7"/>
  </cols>
  <sheetData>
    <row r="1" spans="1:28" ht="13.5" customHeight="1"/>
    <row r="2" spans="1:28" ht="13.5" customHeight="1"/>
    <row r="3" spans="1:28" ht="13.5" customHeight="1"/>
    <row r="4" spans="1:28" ht="13.5" customHeight="1"/>
    <row r="5" spans="1:28" ht="13.5" customHeight="1"/>
    <row r="6" spans="1:28" ht="13.5" customHeight="1">
      <c r="C6" s="7" t="s">
        <v>91</v>
      </c>
      <c r="D6" s="7" t="s">
        <v>99</v>
      </c>
      <c r="E6" s="7" t="s">
        <v>49</v>
      </c>
      <c r="F6" s="7" t="s">
        <v>102</v>
      </c>
      <c r="H6" s="7" t="s">
        <v>88</v>
      </c>
      <c r="I6" s="7" t="s">
        <v>50</v>
      </c>
      <c r="J6" s="7" t="s">
        <v>93</v>
      </c>
    </row>
    <row r="7" spans="1:28" ht="13.5" customHeight="1">
      <c r="A7" s="7" t="s">
        <v>88</v>
      </c>
      <c r="B7" s="7" t="s">
        <v>47</v>
      </c>
      <c r="C7" s="69" t="s">
        <v>110</v>
      </c>
      <c r="D7" s="70" t="s">
        <v>101</v>
      </c>
      <c r="E7" s="7">
        <v>1</v>
      </c>
      <c r="F7" s="7">
        <v>4</v>
      </c>
      <c r="H7" s="7">
        <f>ROUNDUP(I9/7,0)</f>
        <v>5429</v>
      </c>
      <c r="I7" s="7">
        <f>ROUNDUP(I11/9,0)</f>
        <v>10389</v>
      </c>
      <c r="J7" s="7">
        <f>ROUNDUP(I12/8,0)</f>
        <v>5850</v>
      </c>
    </row>
    <row r="8" spans="1:28" ht="13.5" customHeight="1">
      <c r="B8" s="7" t="s">
        <v>57</v>
      </c>
      <c r="C8" s="69" t="s">
        <v>110</v>
      </c>
      <c r="D8" s="69" t="s">
        <v>101</v>
      </c>
      <c r="E8" s="7">
        <v>1</v>
      </c>
      <c r="F8" s="7">
        <v>4</v>
      </c>
      <c r="L8" s="71" t="s">
        <v>9</v>
      </c>
      <c r="M8" s="72" t="s">
        <v>103</v>
      </c>
      <c r="N8" s="73" t="s">
        <v>99</v>
      </c>
      <c r="O8" s="73" t="s">
        <v>88</v>
      </c>
      <c r="P8" s="73" t="s">
        <v>114</v>
      </c>
      <c r="Q8" s="73" t="s">
        <v>50</v>
      </c>
      <c r="R8" s="74" t="s">
        <v>93</v>
      </c>
      <c r="S8" s="71" t="s">
        <v>54</v>
      </c>
      <c r="U8" s="138"/>
      <c r="V8" s="138"/>
      <c r="W8" s="138"/>
      <c r="X8" s="138"/>
      <c r="Y8" s="138"/>
      <c r="Z8" s="138"/>
      <c r="AA8" s="138"/>
      <c r="AB8" s="138"/>
    </row>
    <row r="9" spans="1:28" ht="13.5" customHeight="1">
      <c r="B9" s="7" t="s">
        <v>27</v>
      </c>
      <c r="C9" s="69" t="s">
        <v>110</v>
      </c>
      <c r="D9" s="69" t="s">
        <v>85</v>
      </c>
      <c r="E9" s="7">
        <v>123</v>
      </c>
      <c r="F9" s="7">
        <v>5</v>
      </c>
      <c r="H9" s="7" t="s">
        <v>88</v>
      </c>
      <c r="I9" s="7">
        <v>38000</v>
      </c>
      <c r="L9" s="78" t="s">
        <v>42</v>
      </c>
      <c r="M9" s="81" t="s">
        <v>105</v>
      </c>
      <c r="N9" s="82" t="s">
        <v>85</v>
      </c>
      <c r="O9" s="83">
        <v>0</v>
      </c>
      <c r="P9" s="83">
        <v>22750</v>
      </c>
      <c r="Q9" s="83">
        <f>ROUNDUP(Q25/9,0)</f>
        <v>10389</v>
      </c>
      <c r="R9" s="84">
        <f>ROUNDUP(R25/8,0)</f>
        <v>5850</v>
      </c>
      <c r="S9" s="78">
        <f>SUM(O9:R9)</f>
        <v>38989</v>
      </c>
      <c r="U9" s="139"/>
      <c r="V9" s="140"/>
      <c r="W9" s="140"/>
      <c r="X9" s="139"/>
      <c r="Y9" s="139"/>
      <c r="Z9" s="139"/>
      <c r="AA9" s="139"/>
      <c r="AB9" s="139"/>
    </row>
    <row r="10" spans="1:28" ht="13.5" customHeight="1">
      <c r="B10" s="7" t="s">
        <v>39</v>
      </c>
      <c r="C10" s="69" t="s">
        <v>110</v>
      </c>
      <c r="D10" s="69" t="s">
        <v>85</v>
      </c>
      <c r="E10" s="7">
        <v>123</v>
      </c>
      <c r="F10" s="7">
        <v>5</v>
      </c>
      <c r="H10" s="7" t="s">
        <v>114</v>
      </c>
      <c r="I10" s="7">
        <v>323300</v>
      </c>
      <c r="J10" s="7" t="s">
        <v>84</v>
      </c>
      <c r="L10" s="79" t="s">
        <v>5</v>
      </c>
      <c r="M10" s="85" t="s">
        <v>81</v>
      </c>
      <c r="N10" s="86" t="s">
        <v>85</v>
      </c>
      <c r="O10" s="87">
        <v>0</v>
      </c>
      <c r="P10" s="87">
        <v>22750</v>
      </c>
      <c r="Q10" s="87">
        <f>ROUNDUP(Q25/9,0)</f>
        <v>10389</v>
      </c>
      <c r="R10" s="88">
        <f>ROUNDUP(R25/8,0)</f>
        <v>5850</v>
      </c>
      <c r="S10" s="79">
        <f t="shared" ref="S10:S24" si="0">SUM(O10:R10)</f>
        <v>38989</v>
      </c>
      <c r="U10" s="139"/>
      <c r="V10" s="140"/>
      <c r="W10" s="140"/>
      <c r="X10" s="139"/>
      <c r="Y10" s="139"/>
      <c r="Z10" s="139"/>
      <c r="AA10" s="139"/>
      <c r="AB10" s="139"/>
    </row>
    <row r="11" spans="1:28" ht="13.5" customHeight="1">
      <c r="B11" s="7" t="s">
        <v>14</v>
      </c>
      <c r="C11" s="69" t="s">
        <v>110</v>
      </c>
      <c r="D11" s="69" t="s">
        <v>101</v>
      </c>
      <c r="E11" s="7">
        <v>1</v>
      </c>
      <c r="F11" s="7">
        <v>4</v>
      </c>
      <c r="H11" s="7" t="s">
        <v>50</v>
      </c>
      <c r="I11" s="7">
        <v>93500</v>
      </c>
      <c r="J11" s="7" t="s">
        <v>90</v>
      </c>
      <c r="L11" s="79" t="s">
        <v>44</v>
      </c>
      <c r="M11" s="85" t="s">
        <v>97</v>
      </c>
      <c r="N11" s="86" t="s">
        <v>85</v>
      </c>
      <c r="O11" s="87">
        <v>0</v>
      </c>
      <c r="P11" s="87">
        <v>22750</v>
      </c>
      <c r="Q11" s="87">
        <f>ROUNDUP(Q25/9,0)</f>
        <v>10389</v>
      </c>
      <c r="R11" s="88">
        <f>ROUNDUP(R25/8,0)</f>
        <v>5850</v>
      </c>
      <c r="S11" s="79">
        <f t="shared" si="0"/>
        <v>38989</v>
      </c>
      <c r="U11" s="139"/>
      <c r="V11" s="140"/>
      <c r="W11" s="140"/>
      <c r="X11" s="139"/>
      <c r="Y11" s="139"/>
      <c r="Z11" s="139"/>
      <c r="AA11" s="139"/>
      <c r="AB11" s="139"/>
    </row>
    <row r="12" spans="1:28" ht="13.5" customHeight="1">
      <c r="B12" s="7" t="s">
        <v>23</v>
      </c>
      <c r="C12" s="69" t="s">
        <v>110</v>
      </c>
      <c r="D12" s="69" t="s">
        <v>85</v>
      </c>
      <c r="E12" s="7">
        <v>123</v>
      </c>
      <c r="F12" s="7">
        <v>5</v>
      </c>
      <c r="H12" s="7" t="s">
        <v>93</v>
      </c>
      <c r="I12" s="7">
        <v>46800</v>
      </c>
      <c r="J12" s="7" t="s">
        <v>107</v>
      </c>
      <c r="L12" s="79" t="s">
        <v>27</v>
      </c>
      <c r="M12" s="85" t="s">
        <v>110</v>
      </c>
      <c r="N12" s="86" t="s">
        <v>85</v>
      </c>
      <c r="O12" s="87">
        <f>ROUNDUP(O25/7,0)</f>
        <v>5429</v>
      </c>
      <c r="P12" s="87">
        <v>25500</v>
      </c>
      <c r="Q12" s="87">
        <f>ROUNDUP(Q25/9,0)</f>
        <v>10389</v>
      </c>
      <c r="R12" s="88">
        <f>ROUNDUP(R25/8,0)</f>
        <v>5850</v>
      </c>
      <c r="S12" s="79">
        <f t="shared" si="0"/>
        <v>47168</v>
      </c>
      <c r="U12" s="139"/>
      <c r="V12" s="140"/>
      <c r="W12" s="140"/>
      <c r="X12" s="139"/>
      <c r="Y12" s="139"/>
      <c r="Z12" s="139"/>
      <c r="AA12" s="139"/>
      <c r="AB12" s="139"/>
    </row>
    <row r="13" spans="1:28" ht="13.5" customHeight="1">
      <c r="B13" s="7" t="s">
        <v>59</v>
      </c>
      <c r="C13" s="69" t="s">
        <v>110</v>
      </c>
      <c r="D13" s="69" t="s">
        <v>95</v>
      </c>
      <c r="E13" s="7">
        <v>1</v>
      </c>
      <c r="F13" s="7">
        <v>5</v>
      </c>
      <c r="H13" s="7" t="s">
        <v>54</v>
      </c>
      <c r="I13" s="7">
        <f>SUM(I9:I12)</f>
        <v>501600</v>
      </c>
      <c r="L13" s="79" t="s">
        <v>39</v>
      </c>
      <c r="M13" s="85" t="s">
        <v>110</v>
      </c>
      <c r="N13" s="86" t="s">
        <v>85</v>
      </c>
      <c r="O13" s="87">
        <f>ROUNDUP(O25/7,0)</f>
        <v>5429</v>
      </c>
      <c r="P13" s="87">
        <v>25500</v>
      </c>
      <c r="Q13" s="87">
        <f>ROUNDUP(Q25/9,0)</f>
        <v>10389</v>
      </c>
      <c r="R13" s="88">
        <f>ROUNDUP(R25/8,0)</f>
        <v>5850</v>
      </c>
      <c r="S13" s="79">
        <f t="shared" si="0"/>
        <v>47168</v>
      </c>
      <c r="U13" s="139"/>
      <c r="V13" s="140"/>
      <c r="W13" s="140"/>
      <c r="X13" s="139"/>
      <c r="Y13" s="139"/>
      <c r="Z13" s="139"/>
      <c r="AA13" s="139"/>
      <c r="AB13" s="139"/>
    </row>
    <row r="14" spans="1:28" ht="13.5" customHeight="1">
      <c r="L14" s="80" t="s">
        <v>23</v>
      </c>
      <c r="M14" s="89" t="s">
        <v>110</v>
      </c>
      <c r="N14" s="90" t="s">
        <v>85</v>
      </c>
      <c r="O14" s="91">
        <f>ROUNDUP(O25/7,0)</f>
        <v>5429</v>
      </c>
      <c r="P14" s="91">
        <v>25500</v>
      </c>
      <c r="Q14" s="91">
        <f>ROUNDUP(Q25/9,0)</f>
        <v>10389</v>
      </c>
      <c r="R14" s="92">
        <f>ROUNDUP(R25/8,0)</f>
        <v>5850</v>
      </c>
      <c r="S14" s="80">
        <f t="shared" si="0"/>
        <v>47168</v>
      </c>
      <c r="U14" s="139"/>
      <c r="V14" s="140"/>
      <c r="W14" s="140"/>
      <c r="X14" s="139"/>
      <c r="Y14" s="139"/>
      <c r="Z14" s="139"/>
      <c r="AA14" s="139"/>
      <c r="AB14" s="139"/>
    </row>
    <row r="15" spans="1:28" ht="13.5" customHeight="1">
      <c r="A15" s="7" t="s">
        <v>127</v>
      </c>
      <c r="B15" s="7" t="s">
        <v>5</v>
      </c>
      <c r="C15" s="69" t="s">
        <v>81</v>
      </c>
      <c r="D15" s="69" t="s">
        <v>85</v>
      </c>
      <c r="E15" s="7">
        <v>123</v>
      </c>
      <c r="F15" s="7">
        <v>4</v>
      </c>
      <c r="L15" s="105" t="s">
        <v>22</v>
      </c>
      <c r="M15" s="93" t="s">
        <v>108</v>
      </c>
      <c r="N15" s="94" t="s">
        <v>85</v>
      </c>
      <c r="O15" s="95">
        <v>0</v>
      </c>
      <c r="P15" s="95">
        <v>0</v>
      </c>
      <c r="Q15" s="95">
        <f>ROUNDUP(Q25/9,0)</f>
        <v>10389</v>
      </c>
      <c r="R15" s="96">
        <f>ROUNDUP(R25/8,0)</f>
        <v>5850</v>
      </c>
      <c r="S15" s="105">
        <f t="shared" si="0"/>
        <v>16239</v>
      </c>
      <c r="U15" s="139"/>
      <c r="V15" s="140"/>
      <c r="W15" s="140"/>
      <c r="X15" s="139"/>
      <c r="Y15" s="139"/>
      <c r="Z15" s="139"/>
      <c r="AA15" s="139"/>
      <c r="AB15" s="139"/>
    </row>
    <row r="16" spans="1:28" ht="13.5" customHeight="1">
      <c r="B16" s="7" t="s">
        <v>42</v>
      </c>
      <c r="C16" s="69" t="s">
        <v>105</v>
      </c>
      <c r="D16" s="69" t="s">
        <v>85</v>
      </c>
      <c r="E16" s="7">
        <v>123</v>
      </c>
      <c r="F16" s="7">
        <v>4</v>
      </c>
      <c r="L16" s="106" t="s">
        <v>48</v>
      </c>
      <c r="M16" s="97" t="s">
        <v>108</v>
      </c>
      <c r="N16" s="98" t="s">
        <v>85</v>
      </c>
      <c r="O16" s="99">
        <v>0</v>
      </c>
      <c r="P16" s="99">
        <v>0</v>
      </c>
      <c r="Q16" s="99">
        <f>ROUNDUP(Q25/9,0)</f>
        <v>10389</v>
      </c>
      <c r="R16" s="100">
        <f>ROUNDUP(R25/8,0)</f>
        <v>5850</v>
      </c>
      <c r="S16" s="106">
        <f t="shared" si="0"/>
        <v>16239</v>
      </c>
      <c r="U16" s="139"/>
      <c r="V16" s="140"/>
      <c r="W16" s="140"/>
      <c r="X16" s="139"/>
      <c r="Y16" s="139"/>
      <c r="Z16" s="139"/>
      <c r="AA16" s="139"/>
      <c r="AB16" s="139"/>
    </row>
    <row r="17" spans="1:28" ht="13.5" customHeight="1">
      <c r="B17" s="7" t="s">
        <v>37</v>
      </c>
      <c r="C17" s="69" t="s">
        <v>105</v>
      </c>
      <c r="D17" s="69" t="s">
        <v>86</v>
      </c>
      <c r="E17" s="7">
        <v>12</v>
      </c>
      <c r="F17" s="7">
        <v>4</v>
      </c>
      <c r="L17" s="107" t="s">
        <v>37</v>
      </c>
      <c r="M17" s="101" t="s">
        <v>105</v>
      </c>
      <c r="N17" s="102" t="s">
        <v>86</v>
      </c>
      <c r="O17" s="103">
        <v>0</v>
      </c>
      <c r="P17" s="103">
        <v>22750</v>
      </c>
      <c r="Q17" s="103">
        <f>ROUNDUP(Q25/9,0)</f>
        <v>10389</v>
      </c>
      <c r="R17" s="104">
        <v>0</v>
      </c>
      <c r="S17" s="107">
        <f t="shared" si="0"/>
        <v>33139</v>
      </c>
      <c r="U17" s="139"/>
      <c r="V17" s="140"/>
      <c r="W17" s="140"/>
      <c r="X17" s="139"/>
      <c r="Y17" s="139"/>
      <c r="Z17" s="139"/>
      <c r="AA17" s="139"/>
      <c r="AB17" s="139"/>
    </row>
    <row r="18" spans="1:28" ht="13.5" customHeight="1">
      <c r="B18" s="7" t="s">
        <v>10</v>
      </c>
      <c r="C18" s="69" t="s">
        <v>105</v>
      </c>
      <c r="D18" s="69" t="s">
        <v>108</v>
      </c>
      <c r="E18" s="7">
        <v>1</v>
      </c>
      <c r="F18" s="7">
        <v>3.5</v>
      </c>
      <c r="L18" s="135" t="s">
        <v>47</v>
      </c>
      <c r="M18" s="123" t="s">
        <v>110</v>
      </c>
      <c r="N18" s="124" t="s">
        <v>101</v>
      </c>
      <c r="O18" s="125">
        <f>ROUNDUP(O25/7,0)</f>
        <v>5429</v>
      </c>
      <c r="P18" s="125">
        <v>22750</v>
      </c>
      <c r="Q18" s="125">
        <v>0</v>
      </c>
      <c r="R18" s="126">
        <v>0</v>
      </c>
      <c r="S18" s="135">
        <f t="shared" si="0"/>
        <v>28179</v>
      </c>
      <c r="U18" s="139"/>
      <c r="V18" s="140"/>
      <c r="W18" s="141"/>
      <c r="X18" s="139"/>
      <c r="Y18" s="139"/>
      <c r="Z18" s="139"/>
      <c r="AA18" s="139"/>
      <c r="AB18" s="139"/>
    </row>
    <row r="19" spans="1:28" ht="13.5" customHeight="1">
      <c r="B19" s="7" t="s">
        <v>44</v>
      </c>
      <c r="C19" s="69" t="s">
        <v>97</v>
      </c>
      <c r="D19" s="69" t="s">
        <v>85</v>
      </c>
      <c r="E19" s="7">
        <v>123</v>
      </c>
      <c r="F19" s="7">
        <v>4</v>
      </c>
      <c r="L19" s="136" t="s">
        <v>57</v>
      </c>
      <c r="M19" s="127" t="s">
        <v>110</v>
      </c>
      <c r="N19" s="128" t="s">
        <v>101</v>
      </c>
      <c r="O19" s="129">
        <f>ROUNDUP(O25/7,0)</f>
        <v>5429</v>
      </c>
      <c r="P19" s="129">
        <v>22750</v>
      </c>
      <c r="Q19" s="129">
        <v>0</v>
      </c>
      <c r="R19" s="130">
        <v>0</v>
      </c>
      <c r="S19" s="136">
        <f t="shared" si="0"/>
        <v>28179</v>
      </c>
      <c r="U19" s="139"/>
      <c r="V19" s="140"/>
      <c r="W19" s="140"/>
      <c r="X19" s="139"/>
      <c r="Y19" s="139"/>
      <c r="Z19" s="139"/>
      <c r="AA19" s="139"/>
      <c r="AB19" s="139"/>
    </row>
    <row r="20" spans="1:28" ht="13.5" customHeight="1">
      <c r="B20" s="7" t="s">
        <v>29</v>
      </c>
      <c r="C20" s="69" t="s">
        <v>113</v>
      </c>
      <c r="D20" s="69" t="s">
        <v>106</v>
      </c>
      <c r="E20" s="7">
        <v>1</v>
      </c>
      <c r="F20" s="7">
        <v>3</v>
      </c>
      <c r="L20" s="136" t="s">
        <v>14</v>
      </c>
      <c r="M20" s="127" t="s">
        <v>110</v>
      </c>
      <c r="N20" s="128" t="s">
        <v>101</v>
      </c>
      <c r="O20" s="129">
        <f>ROUNDUP(O25/7,0)</f>
        <v>5429</v>
      </c>
      <c r="P20" s="129">
        <v>22750</v>
      </c>
      <c r="Q20" s="129">
        <v>0</v>
      </c>
      <c r="R20" s="130">
        <v>0</v>
      </c>
      <c r="S20" s="136">
        <f t="shared" si="0"/>
        <v>28179</v>
      </c>
      <c r="U20" s="139"/>
      <c r="V20" s="140"/>
      <c r="W20" s="140"/>
      <c r="X20" s="139"/>
      <c r="Y20" s="139"/>
      <c r="Z20" s="139"/>
      <c r="AA20" s="139"/>
      <c r="AB20" s="139"/>
    </row>
    <row r="21" spans="1:28" ht="13.5" customHeight="1">
      <c r="B21" s="7" t="s">
        <v>25</v>
      </c>
      <c r="C21" s="69" t="s">
        <v>104</v>
      </c>
      <c r="D21" s="69" t="s">
        <v>112</v>
      </c>
      <c r="E21" s="7">
        <v>1</v>
      </c>
      <c r="F21" s="7">
        <v>3</v>
      </c>
      <c r="L21" s="137" t="s">
        <v>59</v>
      </c>
      <c r="M21" s="131" t="s">
        <v>110</v>
      </c>
      <c r="N21" s="132" t="s">
        <v>95</v>
      </c>
      <c r="O21" s="133">
        <f>ROUNDUP(O25/7,0)</f>
        <v>5429</v>
      </c>
      <c r="P21" s="133">
        <v>25500</v>
      </c>
      <c r="Q21" s="133">
        <v>0</v>
      </c>
      <c r="R21" s="134">
        <v>0</v>
      </c>
      <c r="S21" s="137">
        <f t="shared" si="0"/>
        <v>30929</v>
      </c>
      <c r="U21" s="139"/>
      <c r="V21" s="141"/>
      <c r="W21" s="140"/>
      <c r="X21" s="139"/>
      <c r="Y21" s="139"/>
      <c r="Z21" s="139"/>
      <c r="AA21" s="139"/>
      <c r="AB21" s="139"/>
    </row>
    <row r="22" spans="1:28" ht="13.5" customHeight="1">
      <c r="A22" s="7" t="s">
        <v>98</v>
      </c>
      <c r="B22" s="7" t="s">
        <v>22</v>
      </c>
      <c r="C22" s="69" t="s">
        <v>108</v>
      </c>
      <c r="D22" s="69" t="s">
        <v>85</v>
      </c>
      <c r="E22" s="7">
        <v>23</v>
      </c>
      <c r="L22" s="108" t="s">
        <v>10</v>
      </c>
      <c r="M22" s="111" t="s">
        <v>105</v>
      </c>
      <c r="N22" s="112" t="s">
        <v>108</v>
      </c>
      <c r="O22" s="113">
        <v>0</v>
      </c>
      <c r="P22" s="113">
        <v>22750</v>
      </c>
      <c r="Q22" s="113">
        <v>0</v>
      </c>
      <c r="R22" s="114">
        <v>0</v>
      </c>
      <c r="S22" s="108">
        <f t="shared" si="0"/>
        <v>22750</v>
      </c>
      <c r="U22" s="139"/>
      <c r="V22" s="140"/>
      <c r="W22" s="140"/>
      <c r="X22" s="139"/>
      <c r="Y22" s="139"/>
      <c r="Z22" s="139"/>
      <c r="AA22" s="139"/>
      <c r="AB22" s="139"/>
    </row>
    <row r="23" spans="1:28" ht="13.5" customHeight="1">
      <c r="B23" s="7" t="s">
        <v>48</v>
      </c>
      <c r="C23" s="69" t="s">
        <v>108</v>
      </c>
      <c r="D23" s="69" t="s">
        <v>85</v>
      </c>
      <c r="E23" s="7">
        <v>23</v>
      </c>
      <c r="L23" s="109" t="s">
        <v>29</v>
      </c>
      <c r="M23" s="115" t="s">
        <v>113</v>
      </c>
      <c r="N23" s="116" t="s">
        <v>106</v>
      </c>
      <c r="O23" s="117">
        <v>0</v>
      </c>
      <c r="P23" s="117">
        <v>19650</v>
      </c>
      <c r="Q23" s="117">
        <v>0</v>
      </c>
      <c r="R23" s="118">
        <v>0</v>
      </c>
      <c r="S23" s="109">
        <f t="shared" si="0"/>
        <v>19650</v>
      </c>
      <c r="U23" s="139"/>
      <c r="V23" s="140"/>
      <c r="W23" s="140"/>
      <c r="X23" s="139"/>
      <c r="Y23" s="139"/>
      <c r="Z23" s="139"/>
      <c r="AA23" s="139"/>
      <c r="AB23" s="139"/>
    </row>
    <row r="24" spans="1:28" ht="13.5" customHeight="1">
      <c r="L24" s="110" t="s">
        <v>25</v>
      </c>
      <c r="M24" s="119" t="s">
        <v>104</v>
      </c>
      <c r="N24" s="120" t="s">
        <v>112</v>
      </c>
      <c r="O24" s="121">
        <v>0</v>
      </c>
      <c r="P24" s="121">
        <v>19650</v>
      </c>
      <c r="Q24" s="121">
        <v>0</v>
      </c>
      <c r="R24" s="122">
        <v>0</v>
      </c>
      <c r="S24" s="109">
        <f t="shared" si="0"/>
        <v>19650</v>
      </c>
      <c r="U24" s="139"/>
      <c r="V24" s="140"/>
      <c r="W24" s="140"/>
      <c r="X24" s="139"/>
      <c r="Y24" s="139"/>
      <c r="Z24" s="139"/>
      <c r="AA24" s="139"/>
      <c r="AB24" s="139"/>
    </row>
    <row r="25" spans="1:28" ht="13.5" customHeight="1">
      <c r="L25" s="490" t="s">
        <v>54</v>
      </c>
      <c r="M25" s="491"/>
      <c r="N25" s="491"/>
      <c r="O25" s="75">
        <v>38000</v>
      </c>
      <c r="P25" s="75">
        <v>323300</v>
      </c>
      <c r="Q25" s="75">
        <v>93500</v>
      </c>
      <c r="R25" s="76">
        <v>46800</v>
      </c>
      <c r="S25" s="77">
        <f>SUM(O25:R25)</f>
        <v>501600</v>
      </c>
      <c r="U25" s="493"/>
      <c r="V25" s="493"/>
      <c r="W25" s="493"/>
      <c r="X25" s="139"/>
      <c r="Y25" s="139"/>
      <c r="Z25" s="139"/>
      <c r="AA25" s="139"/>
      <c r="AB25" s="139"/>
    </row>
    <row r="26" spans="1:28" ht="13.5" customHeight="1">
      <c r="B26" s="7" t="s">
        <v>94</v>
      </c>
      <c r="L26" s="492" t="s">
        <v>76</v>
      </c>
      <c r="M26" s="492"/>
      <c r="N26" s="492"/>
      <c r="O26" s="492"/>
      <c r="P26" s="492"/>
      <c r="Q26" s="492"/>
      <c r="R26" s="492"/>
      <c r="S26" s="492"/>
      <c r="U26" s="494"/>
      <c r="V26" s="494"/>
      <c r="W26" s="494"/>
      <c r="X26" s="494"/>
      <c r="Y26" s="494"/>
      <c r="Z26" s="494"/>
      <c r="AA26" s="494"/>
      <c r="AB26" s="494"/>
    </row>
    <row r="27" spans="1:28" ht="13.5" customHeight="1">
      <c r="C27" s="7" t="s">
        <v>45</v>
      </c>
      <c r="D27" s="7" t="s">
        <v>58</v>
      </c>
      <c r="E27" s="7" t="s">
        <v>11</v>
      </c>
      <c r="F27" s="7" t="s">
        <v>35</v>
      </c>
    </row>
    <row r="28" spans="1:28" ht="13.5" customHeight="1">
      <c r="C28" s="7" t="s">
        <v>27</v>
      </c>
      <c r="D28" s="7" t="s">
        <v>42</v>
      </c>
      <c r="E28" s="7" t="s">
        <v>29</v>
      </c>
      <c r="F28" s="7" t="s">
        <v>22</v>
      </c>
    </row>
    <row r="29" spans="1:28" ht="13.5" customHeight="1">
      <c r="C29" s="7" t="s">
        <v>39</v>
      </c>
      <c r="D29" s="7" t="s">
        <v>5</v>
      </c>
      <c r="E29" s="7" t="s">
        <v>25</v>
      </c>
      <c r="F29" s="7" t="s">
        <v>48</v>
      </c>
      <c r="O29" s="9"/>
    </row>
    <row r="30" spans="1:28" ht="13.5" customHeight="1">
      <c r="C30" s="7" t="s">
        <v>59</v>
      </c>
      <c r="D30" s="7" t="s">
        <v>44</v>
      </c>
    </row>
    <row r="31" spans="1:28" ht="13.5" customHeight="1">
      <c r="C31" s="7" t="s">
        <v>23</v>
      </c>
      <c r="D31" s="7" t="s">
        <v>37</v>
      </c>
    </row>
    <row r="32" spans="1:28" ht="13.5" customHeight="1">
      <c r="D32" s="7" t="s">
        <v>10</v>
      </c>
    </row>
    <row r="33" spans="3:7" ht="13.5" customHeight="1">
      <c r="D33" s="7" t="s">
        <v>47</v>
      </c>
    </row>
    <row r="34" spans="3:7" ht="13.5" customHeight="1">
      <c r="D34" s="7" t="s">
        <v>57</v>
      </c>
    </row>
    <row r="35" spans="3:7" ht="13.5" customHeight="1">
      <c r="D35" s="7" t="s">
        <v>14</v>
      </c>
    </row>
    <row r="36" spans="3:7" ht="13.5" customHeight="1">
      <c r="C36" s="7">
        <v>25500</v>
      </c>
      <c r="D36" s="7">
        <v>22750</v>
      </c>
      <c r="E36" s="7">
        <v>19650</v>
      </c>
      <c r="F36" s="7">
        <v>0</v>
      </c>
    </row>
    <row r="37" spans="3:7" ht="13.5" customHeight="1">
      <c r="C37" s="7">
        <v>102000</v>
      </c>
      <c r="D37" s="7">
        <v>182000</v>
      </c>
      <c r="E37" s="7">
        <v>39300</v>
      </c>
      <c r="G37" s="7">
        <v>323300</v>
      </c>
    </row>
    <row r="38" spans="3:7" ht="13.5" customHeight="1"/>
    <row r="39" spans="3:7" ht="13.5" customHeight="1"/>
    <row r="40" spans="3:7" ht="13.5" customHeight="1"/>
    <row r="41" spans="3:7" ht="13.5" customHeight="1"/>
    <row r="42" spans="3:7" ht="13.5" customHeight="1"/>
    <row r="43" spans="3:7" ht="13.5" customHeight="1"/>
    <row r="44" spans="3:7" ht="13.5" customHeight="1"/>
    <row r="45" spans="3:7" ht="13.5" customHeight="1"/>
    <row r="46" spans="3:7" ht="13.5" customHeight="1"/>
    <row r="47" spans="3:7" ht="13.5" customHeight="1"/>
    <row r="48" spans="3:7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L25:N25"/>
    <mergeCell ref="L26:S26"/>
    <mergeCell ref="U25:W25"/>
    <mergeCell ref="U26:AB26"/>
  </mergeCells>
  <phoneticPr fontId="7" type="noConversion"/>
  <pageMargins left="0.74805557727813721" right="0.74805557727813721" top="0.98430556058883667" bottom="0.98430556058883667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3:F26"/>
  <sheetViews>
    <sheetView zoomScaleNormal="100" zoomScaleSheetLayoutView="75" workbookViewId="0">
      <selection activeCell="D7" sqref="D7"/>
    </sheetView>
  </sheetViews>
  <sheetFormatPr defaultColWidth="9.25" defaultRowHeight="16.5"/>
  <cols>
    <col min="1" max="1" width="9.25" style="7" customWidth="1"/>
    <col min="2" max="16384" width="9.25" style="7"/>
  </cols>
  <sheetData>
    <row r="3" spans="2:6">
      <c r="B3" s="455" t="s">
        <v>9</v>
      </c>
      <c r="C3" s="459" t="s">
        <v>56</v>
      </c>
      <c r="D3" s="461" t="s">
        <v>52</v>
      </c>
      <c r="E3" s="459" t="s">
        <v>34</v>
      </c>
      <c r="F3" s="455" t="s">
        <v>54</v>
      </c>
    </row>
    <row r="4" spans="2:6">
      <c r="B4" s="456"/>
      <c r="C4" s="460"/>
      <c r="D4" s="460"/>
      <c r="E4" s="460"/>
      <c r="F4" s="456"/>
    </row>
    <row r="5" spans="2:6">
      <c r="B5" s="13" t="s">
        <v>22</v>
      </c>
      <c r="C5" s="15">
        <v>15700</v>
      </c>
      <c r="D5" s="15">
        <v>28500</v>
      </c>
      <c r="E5" s="15">
        <v>7100</v>
      </c>
      <c r="F5" s="16">
        <f t="shared" ref="F5:F21" si="0">SUM(C5:E5)</f>
        <v>51300</v>
      </c>
    </row>
    <row r="6" spans="2:6">
      <c r="B6" s="17" t="s">
        <v>42</v>
      </c>
      <c r="C6" s="19">
        <v>15700</v>
      </c>
      <c r="D6" s="19">
        <v>28500</v>
      </c>
      <c r="E6" s="19">
        <v>0</v>
      </c>
      <c r="F6" s="16">
        <f t="shared" si="0"/>
        <v>44200</v>
      </c>
    </row>
    <row r="7" spans="2:6">
      <c r="B7" s="17" t="s">
        <v>40</v>
      </c>
      <c r="C7" s="19">
        <v>15700</v>
      </c>
      <c r="D7" s="19">
        <v>28500</v>
      </c>
      <c r="E7" s="19">
        <v>0</v>
      </c>
      <c r="F7" s="16">
        <f t="shared" si="0"/>
        <v>44200</v>
      </c>
    </row>
    <row r="8" spans="2:6">
      <c r="B8" s="17" t="s">
        <v>39</v>
      </c>
      <c r="C8" s="19">
        <v>15700</v>
      </c>
      <c r="D8" s="19">
        <v>28500</v>
      </c>
      <c r="E8" s="19">
        <v>7100</v>
      </c>
      <c r="F8" s="16">
        <f t="shared" si="0"/>
        <v>51300</v>
      </c>
    </row>
    <row r="9" spans="2:6">
      <c r="B9" s="17" t="s">
        <v>28</v>
      </c>
      <c r="C9" s="15">
        <v>15700</v>
      </c>
      <c r="D9" s="19">
        <v>28500</v>
      </c>
      <c r="E9" s="19">
        <v>0</v>
      </c>
      <c r="F9" s="16">
        <f t="shared" si="0"/>
        <v>44200</v>
      </c>
    </row>
    <row r="10" spans="2:6">
      <c r="B10" s="17" t="s">
        <v>57</v>
      </c>
      <c r="C10" s="15">
        <v>15700</v>
      </c>
      <c r="D10" s="19">
        <v>28500</v>
      </c>
      <c r="E10" s="19">
        <v>0</v>
      </c>
      <c r="F10" s="16">
        <f t="shared" si="0"/>
        <v>44200</v>
      </c>
    </row>
    <row r="11" spans="2:6">
      <c r="B11" s="17" t="s">
        <v>13</v>
      </c>
      <c r="C11" s="19">
        <v>15700</v>
      </c>
      <c r="D11" s="19">
        <v>28500</v>
      </c>
      <c r="E11" s="19">
        <v>0</v>
      </c>
      <c r="F11" s="16">
        <f t="shared" si="0"/>
        <v>44200</v>
      </c>
    </row>
    <row r="12" spans="2:6">
      <c r="B12" s="17" t="s">
        <v>25</v>
      </c>
      <c r="C12" s="19">
        <v>15700</v>
      </c>
      <c r="D12" s="19">
        <v>28500</v>
      </c>
      <c r="E12" s="19">
        <v>0</v>
      </c>
      <c r="F12" s="16">
        <f t="shared" si="0"/>
        <v>44200</v>
      </c>
    </row>
    <row r="13" spans="2:6">
      <c r="B13" s="17" t="s">
        <v>29</v>
      </c>
      <c r="C13" s="19">
        <v>7900</v>
      </c>
      <c r="D13" s="19">
        <v>28500</v>
      </c>
      <c r="E13" s="19">
        <v>0</v>
      </c>
      <c r="F13" s="16">
        <f t="shared" si="0"/>
        <v>36400</v>
      </c>
    </row>
    <row r="14" spans="2:6">
      <c r="B14" s="218" t="s">
        <v>23</v>
      </c>
      <c r="C14" s="219">
        <v>7900</v>
      </c>
      <c r="D14" s="219">
        <v>14300</v>
      </c>
      <c r="E14" s="219">
        <v>3600</v>
      </c>
      <c r="F14" s="220">
        <f t="shared" si="0"/>
        <v>25800</v>
      </c>
    </row>
    <row r="15" spans="2:6">
      <c r="B15" s="186" t="s">
        <v>19</v>
      </c>
      <c r="C15" s="187">
        <v>0</v>
      </c>
      <c r="D15" s="187">
        <v>28500</v>
      </c>
      <c r="E15" s="187">
        <v>0</v>
      </c>
      <c r="F15" s="188">
        <f t="shared" si="0"/>
        <v>28500</v>
      </c>
    </row>
    <row r="16" spans="2:6">
      <c r="B16" s="189" t="s">
        <v>5</v>
      </c>
      <c r="C16" s="190">
        <v>0</v>
      </c>
      <c r="D16" s="190">
        <v>28500</v>
      </c>
      <c r="E16" s="190">
        <v>7100</v>
      </c>
      <c r="F16" s="191">
        <f t="shared" si="0"/>
        <v>35600</v>
      </c>
    </row>
    <row r="17" spans="2:6">
      <c r="B17" s="189" t="s">
        <v>10</v>
      </c>
      <c r="C17" s="190">
        <v>0</v>
      </c>
      <c r="D17" s="190">
        <v>28500</v>
      </c>
      <c r="E17" s="190">
        <v>7100</v>
      </c>
      <c r="F17" s="191">
        <f t="shared" si="0"/>
        <v>35600</v>
      </c>
    </row>
    <row r="18" spans="2:6">
      <c r="B18" s="189" t="s">
        <v>44</v>
      </c>
      <c r="C18" s="190">
        <v>0</v>
      </c>
      <c r="D18" s="190">
        <v>28500</v>
      </c>
      <c r="E18" s="190">
        <v>7100</v>
      </c>
      <c r="F18" s="191">
        <f t="shared" si="0"/>
        <v>35600</v>
      </c>
    </row>
    <row r="19" spans="2:6">
      <c r="B19" s="189" t="s">
        <v>59</v>
      </c>
      <c r="C19" s="190">
        <v>0</v>
      </c>
      <c r="D19" s="190">
        <v>28500</v>
      </c>
      <c r="E19" s="190">
        <v>0</v>
      </c>
      <c r="F19" s="191">
        <f t="shared" si="0"/>
        <v>28500</v>
      </c>
    </row>
    <row r="20" spans="2:6">
      <c r="B20" s="189" t="s">
        <v>27</v>
      </c>
      <c r="C20" s="190">
        <v>0</v>
      </c>
      <c r="D20" s="190">
        <v>28500</v>
      </c>
      <c r="E20" s="190">
        <v>7100</v>
      </c>
      <c r="F20" s="191">
        <f t="shared" si="0"/>
        <v>35600</v>
      </c>
    </row>
    <row r="21" spans="2:6">
      <c r="B21" s="5" t="s">
        <v>54</v>
      </c>
      <c r="C21" s="66">
        <f>SUM(C5:C20)</f>
        <v>141400</v>
      </c>
      <c r="D21" s="66">
        <f>SUM(D5:D20)</f>
        <v>441800</v>
      </c>
      <c r="E21" s="66">
        <f>SUM(E5:E20)</f>
        <v>46200</v>
      </c>
      <c r="F21" s="68">
        <f t="shared" si="0"/>
        <v>629400</v>
      </c>
    </row>
    <row r="24" spans="2:6">
      <c r="C24" s="7" t="s">
        <v>56</v>
      </c>
      <c r="D24" s="7">
        <v>141400</v>
      </c>
    </row>
    <row r="25" spans="2:6">
      <c r="C25" s="7" t="s">
        <v>52</v>
      </c>
      <c r="D25" s="7">
        <v>441500</v>
      </c>
    </row>
    <row r="26" spans="2:6">
      <c r="C26" s="7" t="s">
        <v>34</v>
      </c>
      <c r="D26" s="7">
        <v>46000</v>
      </c>
    </row>
  </sheetData>
  <mergeCells count="5">
    <mergeCell ref="F3:F4"/>
    <mergeCell ref="B3:B4"/>
    <mergeCell ref="C3:C4"/>
    <mergeCell ref="D3:D4"/>
    <mergeCell ref="E3:E4"/>
  </mergeCells>
  <phoneticPr fontId="7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zoomScaleNormal="100" zoomScaleSheetLayoutView="75" workbookViewId="0">
      <selection activeCell="N10" sqref="N10"/>
    </sheetView>
  </sheetViews>
  <sheetFormatPr defaultColWidth="9.25" defaultRowHeight="16.5"/>
  <cols>
    <col min="1" max="1" width="9.25" style="7" customWidth="1"/>
    <col min="2" max="16384" width="9.25" style="7"/>
  </cols>
  <sheetData/>
  <phoneticPr fontId="7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G16"/>
  <sheetViews>
    <sheetView zoomScaleNormal="100" zoomScaleSheetLayoutView="75" workbookViewId="0">
      <selection activeCell="D6" sqref="D6"/>
    </sheetView>
  </sheetViews>
  <sheetFormatPr defaultColWidth="8.75" defaultRowHeight="13.5"/>
  <sheetData>
    <row r="2" spans="2:7" ht="16.5">
      <c r="B2" s="206" t="s">
        <v>9</v>
      </c>
      <c r="C2" s="207" t="s">
        <v>31</v>
      </c>
      <c r="D2" s="208" t="s">
        <v>32</v>
      </c>
      <c r="E2" s="74" t="s">
        <v>17</v>
      </c>
      <c r="F2" s="74" t="s">
        <v>124</v>
      </c>
      <c r="G2" s="71" t="s">
        <v>54</v>
      </c>
    </row>
    <row r="3" spans="2:7" ht="16.5">
      <c r="B3" s="196" t="s">
        <v>22</v>
      </c>
      <c r="C3" s="205">
        <v>3700</v>
      </c>
      <c r="D3" s="83">
        <v>2600</v>
      </c>
      <c r="E3" s="83">
        <v>20400</v>
      </c>
      <c r="F3" s="84">
        <v>12500</v>
      </c>
      <c r="G3" s="196">
        <f>SUM(C3:F3)</f>
        <v>39200</v>
      </c>
    </row>
    <row r="4" spans="2:7" ht="16.5">
      <c r="B4" s="197" t="s">
        <v>23</v>
      </c>
      <c r="C4" s="193">
        <v>3700</v>
      </c>
      <c r="D4" s="87">
        <v>2500</v>
      </c>
      <c r="E4" s="87">
        <v>20400</v>
      </c>
      <c r="F4" s="88">
        <v>12000</v>
      </c>
      <c r="G4" s="196">
        <f t="shared" ref="G4:G5" si="0">SUM(C4:F4)</f>
        <v>38600</v>
      </c>
    </row>
    <row r="5" spans="2:7" ht="16.5">
      <c r="B5" s="197" t="s">
        <v>19</v>
      </c>
      <c r="C5" s="193">
        <v>3600</v>
      </c>
      <c r="D5" s="87">
        <v>2500</v>
      </c>
      <c r="E5" s="87">
        <v>20400</v>
      </c>
      <c r="F5" s="88"/>
      <c r="G5" s="196">
        <f t="shared" si="0"/>
        <v>26500</v>
      </c>
    </row>
    <row r="6" spans="2:7" ht="16.5">
      <c r="B6" s="198" t="s">
        <v>59</v>
      </c>
      <c r="C6" s="194"/>
      <c r="D6" s="99">
        <v>1800</v>
      </c>
      <c r="E6" s="99">
        <v>20400</v>
      </c>
      <c r="F6" s="100"/>
      <c r="G6" s="198">
        <f t="shared" ref="G6:G15" si="1">SUM(C6:F6)</f>
        <v>22200</v>
      </c>
    </row>
    <row r="7" spans="2:7" ht="16.5">
      <c r="B7" s="199" t="s">
        <v>29</v>
      </c>
      <c r="C7" s="194"/>
      <c r="D7" s="99">
        <v>1800</v>
      </c>
      <c r="E7" s="99">
        <v>20400</v>
      </c>
      <c r="F7" s="100"/>
      <c r="G7" s="198">
        <f t="shared" ref="G7:G8" si="2">SUM(C7:F7)</f>
        <v>22200</v>
      </c>
    </row>
    <row r="8" spans="2:7" ht="16.5">
      <c r="B8" s="199" t="s">
        <v>5</v>
      </c>
      <c r="C8" s="194"/>
      <c r="D8" s="99">
        <v>1800</v>
      </c>
      <c r="E8" s="99">
        <v>15400</v>
      </c>
      <c r="F8" s="100">
        <v>12500</v>
      </c>
      <c r="G8" s="198">
        <f t="shared" si="2"/>
        <v>29700</v>
      </c>
    </row>
    <row r="9" spans="2:7" ht="16.5">
      <c r="B9" s="200" t="s">
        <v>46</v>
      </c>
      <c r="C9" s="195"/>
      <c r="D9" s="192"/>
      <c r="E9" s="192">
        <v>20400</v>
      </c>
      <c r="F9" s="202">
        <v>12500</v>
      </c>
      <c r="G9" s="200">
        <f t="shared" si="1"/>
        <v>32900</v>
      </c>
    </row>
    <row r="10" spans="2:7" ht="16.5">
      <c r="B10" s="201" t="s">
        <v>33</v>
      </c>
      <c r="C10" s="195"/>
      <c r="D10" s="192"/>
      <c r="E10" s="192">
        <v>20400</v>
      </c>
      <c r="F10" s="202">
        <v>12500</v>
      </c>
      <c r="G10" s="200">
        <f t="shared" si="1"/>
        <v>32900</v>
      </c>
    </row>
    <row r="11" spans="2:7" ht="16.5">
      <c r="B11" s="201" t="s">
        <v>39</v>
      </c>
      <c r="C11" s="195"/>
      <c r="D11" s="192"/>
      <c r="E11" s="192">
        <v>18400</v>
      </c>
      <c r="F11" s="202">
        <v>12500</v>
      </c>
      <c r="G11" s="200">
        <f t="shared" si="1"/>
        <v>30900</v>
      </c>
    </row>
    <row r="12" spans="2:7" ht="16.5">
      <c r="B12" s="201" t="s">
        <v>47</v>
      </c>
      <c r="C12" s="195"/>
      <c r="D12" s="192"/>
      <c r="E12" s="192">
        <v>18400</v>
      </c>
      <c r="F12" s="202">
        <v>12500</v>
      </c>
      <c r="G12" s="200">
        <f t="shared" si="1"/>
        <v>30900</v>
      </c>
    </row>
    <row r="13" spans="2:7" ht="16.5">
      <c r="B13" s="201" t="s">
        <v>27</v>
      </c>
      <c r="C13" s="195"/>
      <c r="D13" s="192"/>
      <c r="E13" s="192">
        <v>15400</v>
      </c>
      <c r="F13" s="202">
        <v>12500</v>
      </c>
      <c r="G13" s="200">
        <f t="shared" si="1"/>
        <v>27900</v>
      </c>
    </row>
    <row r="14" spans="2:7" ht="16.5">
      <c r="B14" s="209" t="s">
        <v>26</v>
      </c>
      <c r="C14" s="210"/>
      <c r="D14" s="211"/>
      <c r="E14" s="211">
        <v>15200</v>
      </c>
      <c r="F14" s="212">
        <v>12500</v>
      </c>
      <c r="G14" s="213">
        <f t="shared" si="1"/>
        <v>27700</v>
      </c>
    </row>
    <row r="15" spans="2:7" ht="16.5">
      <c r="B15" s="214" t="s">
        <v>16</v>
      </c>
      <c r="C15" s="215"/>
      <c r="D15" s="216"/>
      <c r="E15" s="216">
        <v>15400</v>
      </c>
      <c r="F15" s="217"/>
      <c r="G15" s="214">
        <f t="shared" si="1"/>
        <v>15400</v>
      </c>
    </row>
    <row r="16" spans="2:7" ht="16.5">
      <c r="B16" s="204" t="s">
        <v>54</v>
      </c>
      <c r="C16" s="183">
        <f>SUM(C3:C15)</f>
        <v>11000</v>
      </c>
      <c r="D16" s="183">
        <f>SUM(D3:D15)</f>
        <v>13000</v>
      </c>
      <c r="E16" s="183">
        <f>SUM(E3:E15)</f>
        <v>241000</v>
      </c>
      <c r="F16" s="203">
        <f>SUM(F3:F15)</f>
        <v>112000</v>
      </c>
      <c r="G16" s="204">
        <f>SUM(G3:G15)</f>
        <v>377000</v>
      </c>
    </row>
  </sheetData>
  <phoneticPr fontId="7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4:O40"/>
  <sheetViews>
    <sheetView topLeftCell="A4" zoomScaleNormal="100" zoomScaleSheetLayoutView="75" workbookViewId="0">
      <selection activeCell="B20" sqref="B20:N24"/>
    </sheetView>
  </sheetViews>
  <sheetFormatPr defaultColWidth="8.75" defaultRowHeight="13.5"/>
  <cols>
    <col min="15" max="15" width="9.5" bestFit="1" customWidth="1"/>
  </cols>
  <sheetData>
    <row r="4" spans="2:14" ht="16.5">
      <c r="B4" s="455" t="s">
        <v>9</v>
      </c>
      <c r="C4" s="503" t="s">
        <v>99</v>
      </c>
      <c r="D4" s="459" t="s">
        <v>18</v>
      </c>
      <c r="E4" s="459" t="s">
        <v>43</v>
      </c>
      <c r="F4" s="461" t="s">
        <v>92</v>
      </c>
      <c r="G4" s="497" t="s">
        <v>116</v>
      </c>
      <c r="H4" s="495" t="s">
        <v>38</v>
      </c>
      <c r="I4" s="462"/>
      <c r="J4" s="462"/>
      <c r="K4" s="462"/>
      <c r="L4" s="462"/>
      <c r="M4" s="496"/>
      <c r="N4" s="455" t="s">
        <v>54</v>
      </c>
    </row>
    <row r="5" spans="2:14" ht="16.5">
      <c r="B5" s="499"/>
      <c r="C5" s="504"/>
      <c r="D5" s="505"/>
      <c r="E5" s="505"/>
      <c r="F5" s="505"/>
      <c r="G5" s="498"/>
      <c r="H5" s="221">
        <v>0.85833333333333295</v>
      </c>
      <c r="I5" s="11">
        <v>0.89652777777777803</v>
      </c>
      <c r="J5" s="11">
        <v>0.92013888888888895</v>
      </c>
      <c r="K5" s="257">
        <v>0.97708333333333297</v>
      </c>
      <c r="L5" s="259" t="s">
        <v>118</v>
      </c>
      <c r="M5" s="259" t="s">
        <v>123</v>
      </c>
      <c r="N5" s="499"/>
    </row>
    <row r="6" spans="2:14" ht="16.5">
      <c r="B6" s="13" t="s">
        <v>22</v>
      </c>
      <c r="C6" s="222" t="s">
        <v>125</v>
      </c>
      <c r="D6" s="15">
        <v>5000</v>
      </c>
      <c r="E6" s="15">
        <v>0</v>
      </c>
      <c r="F6" s="15">
        <v>6400</v>
      </c>
      <c r="G6" s="6">
        <v>240</v>
      </c>
      <c r="H6" s="223">
        <v>1920</v>
      </c>
      <c r="I6" s="15">
        <v>320</v>
      </c>
      <c r="J6" s="15">
        <v>1020</v>
      </c>
      <c r="K6" s="6">
        <v>1600</v>
      </c>
      <c r="L6" s="6">
        <v>1540</v>
      </c>
      <c r="M6" s="6">
        <v>1350</v>
      </c>
      <c r="N6" s="224">
        <f>SUM(D6:M6)</f>
        <v>19390</v>
      </c>
    </row>
    <row r="7" spans="2:14" ht="16.5">
      <c r="B7" s="17" t="s">
        <v>47</v>
      </c>
      <c r="C7" s="225" t="s">
        <v>125</v>
      </c>
      <c r="D7" s="19">
        <v>4000</v>
      </c>
      <c r="E7" s="19">
        <v>0</v>
      </c>
      <c r="F7" s="19">
        <v>6400</v>
      </c>
      <c r="G7" s="20">
        <v>240</v>
      </c>
      <c r="H7" s="226">
        <v>1920</v>
      </c>
      <c r="I7" s="19">
        <v>320</v>
      </c>
      <c r="J7" s="19">
        <v>1020</v>
      </c>
      <c r="K7" s="20">
        <v>1600</v>
      </c>
      <c r="L7" s="20">
        <v>1540</v>
      </c>
      <c r="M7" s="20">
        <v>1350</v>
      </c>
      <c r="N7" s="16">
        <f>SUM(D7:M7)</f>
        <v>18390</v>
      </c>
    </row>
    <row r="8" spans="2:14" ht="16.5">
      <c r="B8" s="17" t="s">
        <v>39</v>
      </c>
      <c r="C8" s="225" t="s">
        <v>125</v>
      </c>
      <c r="D8" s="19">
        <v>4000</v>
      </c>
      <c r="E8" s="19">
        <v>0</v>
      </c>
      <c r="F8" s="19">
        <v>6400</v>
      </c>
      <c r="G8" s="20">
        <v>240</v>
      </c>
      <c r="H8" s="226">
        <v>1920</v>
      </c>
      <c r="I8" s="19">
        <v>320</v>
      </c>
      <c r="J8" s="19">
        <v>1020</v>
      </c>
      <c r="K8" s="20">
        <v>1600</v>
      </c>
      <c r="L8" s="20">
        <v>1540</v>
      </c>
      <c r="M8" s="20">
        <v>1350</v>
      </c>
      <c r="N8" s="16">
        <f t="shared" ref="N8:N35" si="0">SUM(D8:M8)</f>
        <v>18390</v>
      </c>
    </row>
    <row r="9" spans="2:14" ht="16.5">
      <c r="B9" s="17" t="s">
        <v>5</v>
      </c>
      <c r="C9" s="225" t="s">
        <v>125</v>
      </c>
      <c r="D9" s="19">
        <v>4000</v>
      </c>
      <c r="E9" s="19">
        <v>0</v>
      </c>
      <c r="F9" s="19">
        <v>6400</v>
      </c>
      <c r="G9" s="20">
        <v>240</v>
      </c>
      <c r="H9" s="226">
        <v>1920</v>
      </c>
      <c r="I9" s="19">
        <v>320</v>
      </c>
      <c r="J9" s="19">
        <v>1020</v>
      </c>
      <c r="K9" s="20">
        <v>1600</v>
      </c>
      <c r="L9" s="20">
        <v>1540</v>
      </c>
      <c r="M9" s="20">
        <v>1350</v>
      </c>
      <c r="N9" s="16">
        <f t="shared" si="0"/>
        <v>18390</v>
      </c>
    </row>
    <row r="10" spans="2:14" ht="16.5">
      <c r="B10" s="17" t="s">
        <v>27</v>
      </c>
      <c r="C10" s="225" t="s">
        <v>125</v>
      </c>
      <c r="D10" s="19">
        <v>4000</v>
      </c>
      <c r="E10" s="19">
        <v>0</v>
      </c>
      <c r="F10" s="19">
        <v>6400</v>
      </c>
      <c r="G10" s="20">
        <v>240</v>
      </c>
      <c r="H10" s="226">
        <v>1920</v>
      </c>
      <c r="I10" s="19">
        <v>320</v>
      </c>
      <c r="J10" s="19">
        <v>1020</v>
      </c>
      <c r="K10" s="20">
        <v>1600</v>
      </c>
      <c r="L10" s="20">
        <v>1540</v>
      </c>
      <c r="M10" s="20">
        <v>1350</v>
      </c>
      <c r="N10" s="16">
        <f t="shared" si="0"/>
        <v>18390</v>
      </c>
    </row>
    <row r="11" spans="2:14" ht="16.5">
      <c r="B11" s="17" t="s">
        <v>10</v>
      </c>
      <c r="C11" s="225" t="s">
        <v>125</v>
      </c>
      <c r="D11" s="19">
        <v>4000</v>
      </c>
      <c r="E11" s="19">
        <v>0</v>
      </c>
      <c r="F11" s="19">
        <v>6400</v>
      </c>
      <c r="G11" s="20">
        <v>240</v>
      </c>
      <c r="H11" s="226">
        <v>1920</v>
      </c>
      <c r="I11" s="19">
        <v>320</v>
      </c>
      <c r="J11" s="19">
        <v>1020</v>
      </c>
      <c r="K11" s="20">
        <v>1600</v>
      </c>
      <c r="L11" s="20">
        <v>1540</v>
      </c>
      <c r="M11" s="20">
        <v>1350</v>
      </c>
      <c r="N11" s="16">
        <f t="shared" si="0"/>
        <v>18390</v>
      </c>
    </row>
    <row r="12" spans="2:14" ht="16.5">
      <c r="B12" s="17" t="s">
        <v>23</v>
      </c>
      <c r="C12" s="225" t="s">
        <v>125</v>
      </c>
      <c r="D12" s="19">
        <v>4000</v>
      </c>
      <c r="E12" s="19">
        <v>0</v>
      </c>
      <c r="F12" s="19">
        <v>6400</v>
      </c>
      <c r="G12" s="20">
        <v>240</v>
      </c>
      <c r="H12" s="226">
        <v>1920</v>
      </c>
      <c r="I12" s="19">
        <v>320</v>
      </c>
      <c r="J12" s="19">
        <v>1020</v>
      </c>
      <c r="K12" s="20">
        <v>1600</v>
      </c>
      <c r="L12" s="20">
        <v>1540</v>
      </c>
      <c r="M12" s="20">
        <v>1350</v>
      </c>
      <c r="N12" s="16">
        <f t="shared" si="0"/>
        <v>18390</v>
      </c>
    </row>
    <row r="13" spans="2:14" ht="16.5">
      <c r="B13" s="17" t="s">
        <v>20</v>
      </c>
      <c r="C13" s="225" t="s">
        <v>125</v>
      </c>
      <c r="D13" s="19">
        <v>4000</v>
      </c>
      <c r="E13" s="19">
        <v>0</v>
      </c>
      <c r="F13" s="19">
        <v>6400</v>
      </c>
      <c r="G13" s="20">
        <v>240</v>
      </c>
      <c r="H13" s="226">
        <v>1920</v>
      </c>
      <c r="I13" s="19">
        <v>320</v>
      </c>
      <c r="J13" s="19">
        <v>1020</v>
      </c>
      <c r="K13" s="20">
        <v>1600</v>
      </c>
      <c r="L13" s="20">
        <v>1540</v>
      </c>
      <c r="M13" s="20">
        <v>1350</v>
      </c>
      <c r="N13" s="16">
        <f t="shared" si="0"/>
        <v>18390</v>
      </c>
    </row>
    <row r="14" spans="2:14" ht="16.5">
      <c r="B14" s="227" t="s">
        <v>21</v>
      </c>
      <c r="C14" s="228" t="s">
        <v>125</v>
      </c>
      <c r="D14" s="22">
        <v>4000</v>
      </c>
      <c r="E14" s="22">
        <v>0</v>
      </c>
      <c r="F14" s="22">
        <v>6400</v>
      </c>
      <c r="G14" s="23">
        <v>240</v>
      </c>
      <c r="H14" s="229">
        <v>1920</v>
      </c>
      <c r="I14" s="22">
        <v>320</v>
      </c>
      <c r="J14" s="22">
        <v>1020</v>
      </c>
      <c r="K14" s="23">
        <v>1600</v>
      </c>
      <c r="L14" s="23">
        <v>1540</v>
      </c>
      <c r="M14" s="23">
        <v>1350</v>
      </c>
      <c r="N14" s="284">
        <f t="shared" si="0"/>
        <v>18390</v>
      </c>
    </row>
    <row r="15" spans="2:14" ht="16.5">
      <c r="B15" s="30" t="s">
        <v>2</v>
      </c>
      <c r="C15" s="230" t="s">
        <v>85</v>
      </c>
      <c r="D15" s="32">
        <v>4000</v>
      </c>
      <c r="E15" s="32">
        <v>0</v>
      </c>
      <c r="F15" s="32">
        <v>6400</v>
      </c>
      <c r="G15" s="33">
        <v>240</v>
      </c>
      <c r="H15" s="231">
        <v>1920</v>
      </c>
      <c r="I15" s="32">
        <v>320</v>
      </c>
      <c r="J15" s="32">
        <v>1020</v>
      </c>
      <c r="K15" s="33">
        <v>1600</v>
      </c>
      <c r="L15" s="33">
        <v>1540</v>
      </c>
      <c r="M15" s="33">
        <v>1350</v>
      </c>
      <c r="N15" s="285">
        <f t="shared" si="0"/>
        <v>18390</v>
      </c>
    </row>
    <row r="16" spans="2:14" ht="16.5">
      <c r="B16" s="30" t="s">
        <v>0</v>
      </c>
      <c r="C16" s="230" t="s">
        <v>85</v>
      </c>
      <c r="D16" s="32">
        <v>4000</v>
      </c>
      <c r="E16" s="32">
        <v>0</v>
      </c>
      <c r="F16" s="32">
        <v>6400</v>
      </c>
      <c r="G16" s="33">
        <v>240</v>
      </c>
      <c r="H16" s="231">
        <v>1920</v>
      </c>
      <c r="I16" s="32">
        <v>320</v>
      </c>
      <c r="J16" s="32">
        <v>1020</v>
      </c>
      <c r="K16" s="33">
        <v>1600</v>
      </c>
      <c r="L16" s="33">
        <v>1540</v>
      </c>
      <c r="M16" s="33">
        <v>1350</v>
      </c>
      <c r="N16" s="286">
        <f t="shared" si="0"/>
        <v>18390</v>
      </c>
    </row>
    <row r="17" spans="2:14" ht="16.5">
      <c r="B17" s="30" t="s">
        <v>25</v>
      </c>
      <c r="C17" s="230" t="s">
        <v>85</v>
      </c>
      <c r="D17" s="32">
        <v>4000</v>
      </c>
      <c r="E17" s="32">
        <v>0</v>
      </c>
      <c r="F17" s="32">
        <v>6400</v>
      </c>
      <c r="G17" s="33">
        <v>240</v>
      </c>
      <c r="H17" s="231">
        <v>1920</v>
      </c>
      <c r="I17" s="32">
        <v>320</v>
      </c>
      <c r="J17" s="32">
        <v>1020</v>
      </c>
      <c r="K17" s="33">
        <v>1600</v>
      </c>
      <c r="L17" s="33">
        <v>1540</v>
      </c>
      <c r="M17" s="33">
        <v>1350</v>
      </c>
      <c r="N17" s="286">
        <f t="shared" si="0"/>
        <v>18390</v>
      </c>
    </row>
    <row r="18" spans="2:14" ht="16.5">
      <c r="B18" s="30" t="s">
        <v>29</v>
      </c>
      <c r="C18" s="230" t="s">
        <v>85</v>
      </c>
      <c r="D18" s="32">
        <v>4000</v>
      </c>
      <c r="E18" s="32">
        <v>0</v>
      </c>
      <c r="F18" s="232">
        <v>0</v>
      </c>
      <c r="G18" s="233">
        <v>0</v>
      </c>
      <c r="H18" s="234">
        <v>0</v>
      </c>
      <c r="I18" s="32">
        <v>320</v>
      </c>
      <c r="J18" s="32">
        <v>1020</v>
      </c>
      <c r="K18" s="33">
        <v>1600</v>
      </c>
      <c r="L18" s="33">
        <v>1540</v>
      </c>
      <c r="M18" s="33">
        <v>1350</v>
      </c>
      <c r="N18" s="286">
        <f t="shared" si="0"/>
        <v>9830</v>
      </c>
    </row>
    <row r="19" spans="2:14" ht="16.5">
      <c r="B19" s="35" t="s">
        <v>3</v>
      </c>
      <c r="C19" s="235" t="s">
        <v>85</v>
      </c>
      <c r="D19" s="37">
        <v>4000</v>
      </c>
      <c r="E19" s="37">
        <v>0</v>
      </c>
      <c r="F19" s="236">
        <v>0</v>
      </c>
      <c r="G19" s="237">
        <v>0</v>
      </c>
      <c r="H19" s="238">
        <v>0</v>
      </c>
      <c r="I19" s="37">
        <v>320</v>
      </c>
      <c r="J19" s="37">
        <v>1020</v>
      </c>
      <c r="K19" s="2">
        <v>1600</v>
      </c>
      <c r="L19" s="2">
        <v>1540</v>
      </c>
      <c r="M19" s="2">
        <v>1350</v>
      </c>
      <c r="N19" s="287">
        <f t="shared" si="0"/>
        <v>9830</v>
      </c>
    </row>
    <row r="20" spans="2:14" ht="16.5">
      <c r="B20" s="39" t="s">
        <v>4</v>
      </c>
      <c r="C20" s="239" t="s">
        <v>126</v>
      </c>
      <c r="D20" s="41">
        <v>4000</v>
      </c>
      <c r="E20" s="41">
        <v>0</v>
      </c>
      <c r="F20" s="41">
        <v>6400</v>
      </c>
      <c r="G20" s="4">
        <v>240</v>
      </c>
      <c r="H20" s="240">
        <v>1920</v>
      </c>
      <c r="I20" s="41">
        <v>320</v>
      </c>
      <c r="J20" s="41">
        <v>1020</v>
      </c>
      <c r="K20" s="4">
        <v>1600</v>
      </c>
      <c r="L20" s="4">
        <v>1540</v>
      </c>
      <c r="M20" s="4">
        <v>0</v>
      </c>
      <c r="N20" s="288">
        <f t="shared" si="0"/>
        <v>17040</v>
      </c>
    </row>
    <row r="21" spans="2:14" ht="16.5">
      <c r="B21" s="251" t="s">
        <v>1</v>
      </c>
      <c r="C21" s="239" t="s">
        <v>117</v>
      </c>
      <c r="D21" s="41">
        <v>4000</v>
      </c>
      <c r="E21" s="41">
        <v>0</v>
      </c>
      <c r="F21" s="41">
        <v>6400</v>
      </c>
      <c r="G21" s="4">
        <v>240</v>
      </c>
      <c r="H21" s="255">
        <v>960</v>
      </c>
      <c r="I21" s="256">
        <v>160</v>
      </c>
      <c r="J21" s="256">
        <v>510</v>
      </c>
      <c r="K21" s="258">
        <v>800</v>
      </c>
      <c r="L21" s="258">
        <v>770</v>
      </c>
      <c r="M21" s="4">
        <v>0</v>
      </c>
      <c r="N21" s="289">
        <f t="shared" si="0"/>
        <v>13840</v>
      </c>
    </row>
    <row r="22" spans="2:14" ht="16.5">
      <c r="B22" s="39" t="s">
        <v>65</v>
      </c>
      <c r="C22" s="239" t="s">
        <v>117</v>
      </c>
      <c r="D22" s="41">
        <v>4000</v>
      </c>
      <c r="E22" s="41">
        <v>0</v>
      </c>
      <c r="F22" s="41">
        <v>6400</v>
      </c>
      <c r="G22" s="4">
        <v>240</v>
      </c>
      <c r="H22" s="240">
        <v>1920</v>
      </c>
      <c r="I22" s="41">
        <v>320</v>
      </c>
      <c r="J22" s="41">
        <v>1020</v>
      </c>
      <c r="K22" s="4">
        <v>1600</v>
      </c>
      <c r="L22" s="4">
        <v>1540</v>
      </c>
      <c r="M22" s="4">
        <v>0</v>
      </c>
      <c r="N22" s="289">
        <f t="shared" si="0"/>
        <v>17040</v>
      </c>
    </row>
    <row r="23" spans="2:14" ht="16.5">
      <c r="B23" s="39" t="s">
        <v>66</v>
      </c>
      <c r="C23" s="239" t="s">
        <v>117</v>
      </c>
      <c r="D23" s="41">
        <v>4000</v>
      </c>
      <c r="E23" s="41">
        <v>0</v>
      </c>
      <c r="F23" s="41">
        <v>6400</v>
      </c>
      <c r="G23" s="4">
        <v>240</v>
      </c>
      <c r="H23" s="240">
        <v>1920</v>
      </c>
      <c r="I23" s="41">
        <v>320</v>
      </c>
      <c r="J23" s="41">
        <v>1020</v>
      </c>
      <c r="K23" s="4">
        <v>1600</v>
      </c>
      <c r="L23" s="4">
        <v>1540</v>
      </c>
      <c r="M23" s="4">
        <v>0</v>
      </c>
      <c r="N23" s="289">
        <f t="shared" si="0"/>
        <v>17040</v>
      </c>
    </row>
    <row r="24" spans="2:14" ht="16.5">
      <c r="B24" s="260" t="s">
        <v>33</v>
      </c>
      <c r="C24" s="261" t="s">
        <v>117</v>
      </c>
      <c r="D24" s="262">
        <v>4000</v>
      </c>
      <c r="E24" s="262">
        <v>0</v>
      </c>
      <c r="F24" s="262">
        <v>6400</v>
      </c>
      <c r="G24" s="263">
        <v>240</v>
      </c>
      <c r="H24" s="264">
        <v>1920</v>
      </c>
      <c r="I24" s="262">
        <v>320</v>
      </c>
      <c r="J24" s="262">
        <v>1020</v>
      </c>
      <c r="K24" s="263">
        <v>1600</v>
      </c>
      <c r="L24" s="263">
        <v>1540</v>
      </c>
      <c r="M24" s="263">
        <v>0</v>
      </c>
      <c r="N24" s="290">
        <f t="shared" si="0"/>
        <v>17040</v>
      </c>
    </row>
    <row r="25" spans="2:14" ht="16.5">
      <c r="B25" s="268" t="s">
        <v>42</v>
      </c>
      <c r="C25" s="271" t="s">
        <v>122</v>
      </c>
      <c r="D25" s="272">
        <v>4000</v>
      </c>
      <c r="E25" s="272">
        <v>0</v>
      </c>
      <c r="F25" s="272">
        <v>6400</v>
      </c>
      <c r="G25" s="273">
        <v>240</v>
      </c>
      <c r="H25" s="274">
        <v>1920</v>
      </c>
      <c r="I25" s="272">
        <v>320</v>
      </c>
      <c r="J25" s="272">
        <v>1020</v>
      </c>
      <c r="K25" s="273">
        <v>1600</v>
      </c>
      <c r="L25" s="273">
        <v>0</v>
      </c>
      <c r="M25" s="273">
        <v>0</v>
      </c>
      <c r="N25" s="291">
        <f t="shared" si="0"/>
        <v>15500</v>
      </c>
    </row>
    <row r="26" spans="2:14" ht="16.5">
      <c r="B26" s="269" t="s">
        <v>67</v>
      </c>
      <c r="C26" s="275" t="s">
        <v>122</v>
      </c>
      <c r="D26" s="276">
        <v>4000</v>
      </c>
      <c r="E26" s="276">
        <v>0</v>
      </c>
      <c r="F26" s="276">
        <v>6400</v>
      </c>
      <c r="G26" s="277">
        <v>240</v>
      </c>
      <c r="H26" s="278">
        <v>1920</v>
      </c>
      <c r="I26" s="276">
        <v>320</v>
      </c>
      <c r="J26" s="276">
        <v>1020</v>
      </c>
      <c r="K26" s="277">
        <v>1600</v>
      </c>
      <c r="L26" s="277">
        <v>0</v>
      </c>
      <c r="M26" s="277">
        <v>0</v>
      </c>
      <c r="N26" s="292">
        <f t="shared" si="0"/>
        <v>15500</v>
      </c>
    </row>
    <row r="27" spans="2:14" ht="16.5">
      <c r="B27" s="270" t="s">
        <v>61</v>
      </c>
      <c r="C27" s="279" t="s">
        <v>122</v>
      </c>
      <c r="D27" s="280">
        <v>4000</v>
      </c>
      <c r="E27" s="280">
        <v>0</v>
      </c>
      <c r="F27" s="280">
        <v>6400</v>
      </c>
      <c r="G27" s="281">
        <v>240</v>
      </c>
      <c r="H27" s="282">
        <v>1920</v>
      </c>
      <c r="I27" s="280">
        <v>320</v>
      </c>
      <c r="J27" s="280">
        <v>1020</v>
      </c>
      <c r="K27" s="281">
        <v>1600</v>
      </c>
      <c r="L27" s="281">
        <v>0</v>
      </c>
      <c r="M27" s="281">
        <v>0</v>
      </c>
      <c r="N27" s="293">
        <f t="shared" si="0"/>
        <v>15500</v>
      </c>
    </row>
    <row r="28" spans="2:14" ht="16.5">
      <c r="B28" s="189" t="s">
        <v>14</v>
      </c>
      <c r="C28" s="265" t="s">
        <v>119</v>
      </c>
      <c r="D28" s="190">
        <v>4000</v>
      </c>
      <c r="E28" s="190">
        <v>0</v>
      </c>
      <c r="F28" s="190">
        <v>6400</v>
      </c>
      <c r="G28" s="266">
        <v>240</v>
      </c>
      <c r="H28" s="267">
        <v>1920</v>
      </c>
      <c r="I28" s="190">
        <v>320</v>
      </c>
      <c r="J28" s="190">
        <v>1020</v>
      </c>
      <c r="K28" s="266">
        <v>0</v>
      </c>
      <c r="L28" s="266">
        <v>0</v>
      </c>
      <c r="M28" s="266">
        <v>0</v>
      </c>
      <c r="N28" s="294">
        <f t="shared" si="0"/>
        <v>13900</v>
      </c>
    </row>
    <row r="29" spans="2:14" ht="16.5">
      <c r="B29" s="241" t="s">
        <v>62</v>
      </c>
      <c r="C29" s="242" t="s">
        <v>101</v>
      </c>
      <c r="D29" s="243">
        <v>4000</v>
      </c>
      <c r="E29" s="243">
        <v>0</v>
      </c>
      <c r="F29" s="243">
        <v>6400</v>
      </c>
      <c r="G29" s="244">
        <v>240</v>
      </c>
      <c r="H29" s="245">
        <v>1920</v>
      </c>
      <c r="I29" s="243">
        <v>320</v>
      </c>
      <c r="J29" s="243">
        <v>1020</v>
      </c>
      <c r="K29" s="244">
        <v>0</v>
      </c>
      <c r="L29" s="244">
        <v>0</v>
      </c>
      <c r="M29" s="244">
        <v>0</v>
      </c>
      <c r="N29" s="295">
        <f t="shared" si="0"/>
        <v>13900</v>
      </c>
    </row>
    <row r="30" spans="2:14" ht="16.5">
      <c r="B30" s="252" t="s">
        <v>63</v>
      </c>
      <c r="C30" s="242" t="s">
        <v>101</v>
      </c>
      <c r="D30" s="243">
        <v>4000</v>
      </c>
      <c r="E30" s="243">
        <v>0</v>
      </c>
      <c r="F30" s="243">
        <v>6400</v>
      </c>
      <c r="G30" s="244">
        <v>240</v>
      </c>
      <c r="H30" s="253">
        <v>960</v>
      </c>
      <c r="I30" s="254">
        <v>160</v>
      </c>
      <c r="J30" s="254">
        <v>510</v>
      </c>
      <c r="K30" s="244">
        <v>0</v>
      </c>
      <c r="L30" s="244">
        <v>0</v>
      </c>
      <c r="M30" s="244">
        <v>0</v>
      </c>
      <c r="N30" s="295">
        <f t="shared" si="0"/>
        <v>12270</v>
      </c>
    </row>
    <row r="31" spans="2:14" ht="16.5">
      <c r="B31" s="252" t="s">
        <v>64</v>
      </c>
      <c r="C31" s="242" t="s">
        <v>120</v>
      </c>
      <c r="D31" s="243">
        <v>4000</v>
      </c>
      <c r="E31" s="243">
        <v>0</v>
      </c>
      <c r="F31" s="243">
        <v>6400</v>
      </c>
      <c r="G31" s="244">
        <v>240</v>
      </c>
      <c r="H31" s="253">
        <v>960</v>
      </c>
      <c r="I31" s="254">
        <v>160</v>
      </c>
      <c r="J31" s="254">
        <v>510</v>
      </c>
      <c r="K31" s="244">
        <v>0</v>
      </c>
      <c r="L31" s="244">
        <v>0</v>
      </c>
      <c r="M31" s="244">
        <v>0</v>
      </c>
      <c r="N31" s="295">
        <f t="shared" si="0"/>
        <v>12270</v>
      </c>
    </row>
    <row r="32" spans="2:14" ht="16.5">
      <c r="B32" s="252" t="s">
        <v>60</v>
      </c>
      <c r="C32" s="242" t="s">
        <v>120</v>
      </c>
      <c r="D32" s="243">
        <v>4000</v>
      </c>
      <c r="E32" s="243">
        <v>0</v>
      </c>
      <c r="F32" s="243">
        <v>6400</v>
      </c>
      <c r="G32" s="244">
        <v>240</v>
      </c>
      <c r="H32" s="253">
        <v>960</v>
      </c>
      <c r="I32" s="254">
        <v>160</v>
      </c>
      <c r="J32" s="254">
        <v>510</v>
      </c>
      <c r="K32" s="244">
        <v>0</v>
      </c>
      <c r="L32" s="244">
        <v>0</v>
      </c>
      <c r="M32" s="244">
        <v>0</v>
      </c>
      <c r="N32" s="295">
        <f t="shared" si="0"/>
        <v>12270</v>
      </c>
    </row>
    <row r="33" spans="2:15" ht="16.5">
      <c r="B33" s="241" t="s">
        <v>69</v>
      </c>
      <c r="C33" s="242" t="s">
        <v>121</v>
      </c>
      <c r="D33" s="243">
        <v>4000</v>
      </c>
      <c r="E33" s="243">
        <v>0</v>
      </c>
      <c r="F33" s="243">
        <v>6400</v>
      </c>
      <c r="G33" s="244">
        <v>240</v>
      </c>
      <c r="H33" s="245">
        <v>1920</v>
      </c>
      <c r="I33" s="243">
        <v>320</v>
      </c>
      <c r="J33" s="243">
        <v>1020</v>
      </c>
      <c r="K33" s="244">
        <v>0</v>
      </c>
      <c r="L33" s="244">
        <v>0</v>
      </c>
      <c r="M33" s="244">
        <v>0</v>
      </c>
      <c r="N33" s="295">
        <f t="shared" si="0"/>
        <v>13900</v>
      </c>
    </row>
    <row r="34" spans="2:15" ht="16.5">
      <c r="B34" s="241" t="s">
        <v>15</v>
      </c>
      <c r="C34" s="242" t="s">
        <v>121</v>
      </c>
      <c r="D34" s="243">
        <v>4000</v>
      </c>
      <c r="E34" s="243">
        <v>0</v>
      </c>
      <c r="F34" s="243">
        <v>6400</v>
      </c>
      <c r="G34" s="244">
        <v>240</v>
      </c>
      <c r="H34" s="245">
        <v>1920</v>
      </c>
      <c r="I34" s="243">
        <v>320</v>
      </c>
      <c r="J34" s="243">
        <v>1020</v>
      </c>
      <c r="K34" s="244">
        <v>0</v>
      </c>
      <c r="L34" s="244">
        <v>0</v>
      </c>
      <c r="M34" s="244">
        <v>0</v>
      </c>
      <c r="N34" s="295">
        <f t="shared" si="0"/>
        <v>13900</v>
      </c>
    </row>
    <row r="35" spans="2:15" ht="16.5">
      <c r="B35" s="58" t="s">
        <v>71</v>
      </c>
      <c r="C35" s="246" t="s">
        <v>121</v>
      </c>
      <c r="D35" s="60">
        <v>4000</v>
      </c>
      <c r="E35" s="60">
        <v>0</v>
      </c>
      <c r="F35" s="60">
        <v>6400</v>
      </c>
      <c r="G35" s="61">
        <v>240</v>
      </c>
      <c r="H35" s="247">
        <v>1920</v>
      </c>
      <c r="I35" s="60">
        <v>320</v>
      </c>
      <c r="J35" s="60">
        <v>1020</v>
      </c>
      <c r="K35" s="61">
        <v>0</v>
      </c>
      <c r="L35" s="61">
        <v>0</v>
      </c>
      <c r="M35" s="61">
        <v>0</v>
      </c>
      <c r="N35" s="296">
        <f t="shared" si="0"/>
        <v>13900</v>
      </c>
      <c r="O35" s="283"/>
    </row>
    <row r="36" spans="2:15" ht="16.5">
      <c r="B36" s="481" t="s">
        <v>83</v>
      </c>
      <c r="C36" s="500"/>
      <c r="D36" s="63">
        <v>179000</v>
      </c>
      <c r="E36" s="63">
        <v>21000</v>
      </c>
      <c r="F36" s="63">
        <v>0</v>
      </c>
      <c r="G36" s="64">
        <v>0</v>
      </c>
      <c r="H36" s="248">
        <v>0</v>
      </c>
      <c r="I36" s="63">
        <v>0</v>
      </c>
      <c r="J36" s="63">
        <v>0</v>
      </c>
      <c r="K36" s="64">
        <v>0</v>
      </c>
      <c r="L36" s="64">
        <v>0</v>
      </c>
      <c r="M36" s="64">
        <v>0</v>
      </c>
      <c r="N36" s="65">
        <v>200000</v>
      </c>
    </row>
    <row r="37" spans="2:15" ht="16.5">
      <c r="B37" s="501" t="s">
        <v>54</v>
      </c>
      <c r="C37" s="502"/>
      <c r="D37" s="66">
        <v>300000</v>
      </c>
      <c r="E37" s="66">
        <v>21000</v>
      </c>
      <c r="F37" s="66">
        <v>179000</v>
      </c>
      <c r="G37" s="67">
        <v>7210</v>
      </c>
      <c r="H37" s="249">
        <v>49830</v>
      </c>
      <c r="I37" s="66">
        <v>9000</v>
      </c>
      <c r="J37" s="66">
        <v>28650</v>
      </c>
      <c r="K37" s="67">
        <v>34050</v>
      </c>
      <c r="L37" s="67">
        <v>28590</v>
      </c>
      <c r="M37" s="67">
        <v>18850</v>
      </c>
      <c r="N37" s="250">
        <f>SUM(D37:M37)</f>
        <v>676180</v>
      </c>
    </row>
    <row r="40" spans="2:15">
      <c r="L40" s="283"/>
    </row>
  </sheetData>
  <mergeCells count="10">
    <mergeCell ref="H4:M4"/>
    <mergeCell ref="G4:G5"/>
    <mergeCell ref="N4:N5"/>
    <mergeCell ref="B36:C36"/>
    <mergeCell ref="B37:C37"/>
    <mergeCell ref="B4:B5"/>
    <mergeCell ref="C4:C5"/>
    <mergeCell ref="D4:D5"/>
    <mergeCell ref="E4:E5"/>
    <mergeCell ref="F4:F5"/>
  </mergeCells>
  <phoneticPr fontId="7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G8:Q34"/>
  <sheetViews>
    <sheetView zoomScaleNormal="100" zoomScaleSheetLayoutView="75" workbookViewId="0">
      <selection activeCell="I8" sqref="I8:O22"/>
    </sheetView>
  </sheetViews>
  <sheetFormatPr defaultColWidth="8.75" defaultRowHeight="13.5"/>
  <cols>
    <col min="10" max="13" width="13.375" bestFit="1" customWidth="1"/>
    <col min="14" max="14" width="10.625" customWidth="1"/>
  </cols>
  <sheetData>
    <row r="8" spans="9:15" ht="16.5">
      <c r="I8" s="206" t="s">
        <v>9</v>
      </c>
      <c r="J8" s="302" t="s">
        <v>79</v>
      </c>
      <c r="K8" s="303" t="s">
        <v>77</v>
      </c>
      <c r="L8" s="304" t="s">
        <v>80</v>
      </c>
      <c r="M8" s="304" t="s">
        <v>78</v>
      </c>
      <c r="N8" s="304" t="s">
        <v>68</v>
      </c>
      <c r="O8" s="71" t="s">
        <v>54</v>
      </c>
    </row>
    <row r="9" spans="9:15" ht="16.5">
      <c r="I9" s="297" t="s">
        <v>23</v>
      </c>
      <c r="J9" s="299">
        <v>6700</v>
      </c>
      <c r="K9" s="300">
        <v>6200</v>
      </c>
      <c r="L9" s="300">
        <v>4300</v>
      </c>
      <c r="M9" s="301">
        <v>3900</v>
      </c>
      <c r="N9" s="301">
        <v>0</v>
      </c>
      <c r="O9" s="298">
        <f>SUM(J9:N9)</f>
        <v>21100</v>
      </c>
    </row>
    <row r="10" spans="9:15" ht="16.5">
      <c r="I10" s="297" t="s">
        <v>5</v>
      </c>
      <c r="J10" s="299">
        <v>6700</v>
      </c>
      <c r="K10" s="300">
        <v>6200</v>
      </c>
      <c r="L10" s="300">
        <v>4300</v>
      </c>
      <c r="M10" s="301">
        <v>3900</v>
      </c>
      <c r="N10" s="301">
        <v>7400</v>
      </c>
      <c r="O10" s="298">
        <f>SUM(J10:M10)+N10</f>
        <v>28500</v>
      </c>
    </row>
    <row r="11" spans="9:15" ht="16.5">
      <c r="I11" s="298" t="s">
        <v>19</v>
      </c>
      <c r="J11" s="299">
        <v>6700</v>
      </c>
      <c r="K11" s="300">
        <v>6200</v>
      </c>
      <c r="L11" s="300">
        <v>4300</v>
      </c>
      <c r="M11" s="301">
        <v>3900</v>
      </c>
      <c r="N11" s="301">
        <v>7400</v>
      </c>
      <c r="O11" s="298">
        <f>SUM(J11:M11)+N11</f>
        <v>28500</v>
      </c>
    </row>
    <row r="12" spans="9:15" ht="16.5">
      <c r="I12" s="297" t="s">
        <v>27</v>
      </c>
      <c r="J12" s="299">
        <v>6700</v>
      </c>
      <c r="K12" s="300">
        <v>6200</v>
      </c>
      <c r="L12" s="300">
        <v>4300</v>
      </c>
      <c r="M12" s="301">
        <v>3900</v>
      </c>
      <c r="N12" s="301">
        <v>0</v>
      </c>
      <c r="O12" s="298">
        <f t="shared" ref="O12:O21" si="0">SUM(J12:N12)</f>
        <v>21100</v>
      </c>
    </row>
    <row r="13" spans="9:15" ht="16.5">
      <c r="I13" s="297" t="s">
        <v>39</v>
      </c>
      <c r="J13" s="299">
        <v>6700</v>
      </c>
      <c r="K13" s="300">
        <v>6200</v>
      </c>
      <c r="L13" s="300">
        <v>4300</v>
      </c>
      <c r="M13" s="301">
        <v>3900</v>
      </c>
      <c r="N13" s="301">
        <v>0</v>
      </c>
      <c r="O13" s="298">
        <f t="shared" si="0"/>
        <v>21100</v>
      </c>
    </row>
    <row r="14" spans="9:15" ht="16.5">
      <c r="I14" s="298" t="s">
        <v>20</v>
      </c>
      <c r="J14" s="299">
        <v>6700</v>
      </c>
      <c r="K14" s="300">
        <v>6200</v>
      </c>
      <c r="L14" s="300">
        <v>4300</v>
      </c>
      <c r="M14" s="301">
        <v>3900</v>
      </c>
      <c r="N14" s="301">
        <v>0</v>
      </c>
      <c r="O14" s="298">
        <f t="shared" si="0"/>
        <v>21100</v>
      </c>
    </row>
    <row r="15" spans="9:15" ht="16.5">
      <c r="I15" s="297" t="s">
        <v>2</v>
      </c>
      <c r="J15" s="299">
        <v>6700</v>
      </c>
      <c r="K15" s="300">
        <v>6200</v>
      </c>
      <c r="L15" s="300">
        <v>4300</v>
      </c>
      <c r="M15" s="301">
        <v>3900</v>
      </c>
      <c r="N15" s="301">
        <v>0</v>
      </c>
      <c r="O15" s="298">
        <f t="shared" si="0"/>
        <v>21100</v>
      </c>
    </row>
    <row r="16" spans="9:15" ht="16.5">
      <c r="I16" s="306" t="s">
        <v>66</v>
      </c>
      <c r="J16" s="308">
        <v>6700</v>
      </c>
      <c r="K16" s="309">
        <v>6200</v>
      </c>
      <c r="L16" s="309">
        <v>4300</v>
      </c>
      <c r="M16" s="310">
        <v>0</v>
      </c>
      <c r="N16" s="310">
        <v>32700</v>
      </c>
      <c r="O16" s="307">
        <f t="shared" si="0"/>
        <v>49900</v>
      </c>
    </row>
    <row r="17" spans="7:17" ht="16.5">
      <c r="I17" s="306" t="s">
        <v>21</v>
      </c>
      <c r="J17" s="308">
        <v>6700</v>
      </c>
      <c r="K17" s="309">
        <v>6200</v>
      </c>
      <c r="L17" s="309">
        <v>4300</v>
      </c>
      <c r="M17" s="310">
        <v>0</v>
      </c>
      <c r="N17" s="310">
        <v>0</v>
      </c>
      <c r="O17" s="307">
        <f t="shared" si="0"/>
        <v>17200</v>
      </c>
      <c r="Q17">
        <f>M22/8</f>
        <v>3850</v>
      </c>
    </row>
    <row r="18" spans="7:17" ht="16.5">
      <c r="I18" s="306" t="s">
        <v>29</v>
      </c>
      <c r="J18" s="308">
        <v>4600</v>
      </c>
      <c r="K18" s="309">
        <v>4400</v>
      </c>
      <c r="L18" s="309">
        <v>3200</v>
      </c>
      <c r="M18" s="310">
        <v>0</v>
      </c>
      <c r="N18" s="310">
        <v>0</v>
      </c>
      <c r="O18" s="307">
        <f t="shared" si="0"/>
        <v>12200</v>
      </c>
    </row>
    <row r="19" spans="7:17" ht="16.5">
      <c r="I19" s="311" t="s">
        <v>70</v>
      </c>
      <c r="J19" s="315">
        <v>6700</v>
      </c>
      <c r="K19" s="316">
        <v>6200</v>
      </c>
      <c r="L19" s="316">
        <v>0</v>
      </c>
      <c r="M19" s="317">
        <v>0</v>
      </c>
      <c r="N19" s="317">
        <v>0</v>
      </c>
      <c r="O19" s="313">
        <f t="shared" si="0"/>
        <v>12900</v>
      </c>
    </row>
    <row r="20" spans="7:17" ht="16.5">
      <c r="I20" s="312" t="s">
        <v>60</v>
      </c>
      <c r="J20" s="318">
        <v>4600</v>
      </c>
      <c r="K20" s="319">
        <v>4400</v>
      </c>
      <c r="L20" s="319">
        <v>0</v>
      </c>
      <c r="M20" s="320">
        <v>0</v>
      </c>
      <c r="N20" s="320">
        <v>0</v>
      </c>
      <c r="O20" s="314">
        <f t="shared" si="0"/>
        <v>9000</v>
      </c>
      <c r="Q20" s="283">
        <f>SUM(M9:M21)</f>
        <v>31200</v>
      </c>
    </row>
    <row r="21" spans="7:17" ht="16.5">
      <c r="I21" s="321" t="s">
        <v>22</v>
      </c>
      <c r="J21" s="322">
        <v>0</v>
      </c>
      <c r="K21" s="323">
        <v>6200</v>
      </c>
      <c r="L21" s="323">
        <v>4300</v>
      </c>
      <c r="M21" s="324">
        <v>3900</v>
      </c>
      <c r="N21" s="324">
        <v>0</v>
      </c>
      <c r="O21" s="321">
        <f t="shared" si="0"/>
        <v>14400</v>
      </c>
    </row>
    <row r="22" spans="7:17" ht="16.5">
      <c r="I22" s="204" t="s">
        <v>54</v>
      </c>
      <c r="J22" s="183">
        <v>76300</v>
      </c>
      <c r="K22" s="183">
        <v>77000</v>
      </c>
      <c r="L22" s="183">
        <f>L26/10*3</f>
        <v>46200</v>
      </c>
      <c r="M22" s="305">
        <f>L26/10*2</f>
        <v>30800</v>
      </c>
      <c r="N22" s="203">
        <f>SUM(N9:N21)</f>
        <v>47500</v>
      </c>
      <c r="O22" s="204">
        <f>SUM(O9:O21)</f>
        <v>278100</v>
      </c>
    </row>
    <row r="23" spans="7:17">
      <c r="J23" s="283"/>
    </row>
    <row r="25" spans="7:17">
      <c r="H25">
        <f>J28*3*10+J28*2*2</f>
        <v>76300</v>
      </c>
      <c r="K25">
        <f>K22/37</f>
        <v>2081.0810810810813</v>
      </c>
    </row>
    <row r="26" spans="7:17">
      <c r="L26">
        <v>154000</v>
      </c>
      <c r="M26">
        <f>L26/3</f>
        <v>51333.333333333336</v>
      </c>
    </row>
    <row r="27" spans="7:17">
      <c r="K27">
        <f>K25*3</f>
        <v>6243.2432432432433</v>
      </c>
      <c r="Q27" s="283">
        <f>SUM(L9:L21)</f>
        <v>46200</v>
      </c>
    </row>
    <row r="28" spans="7:17">
      <c r="G28">
        <f>J28*3</f>
        <v>6732.3529411764703</v>
      </c>
      <c r="J28">
        <f>J22/34</f>
        <v>2244.1176470588234</v>
      </c>
      <c r="K28">
        <f>K25*2</f>
        <v>4162.1621621621625</v>
      </c>
    </row>
    <row r="29" spans="7:17">
      <c r="J29">
        <v>4600</v>
      </c>
      <c r="M29">
        <f>L26/2</f>
        <v>77000</v>
      </c>
    </row>
    <row r="30" spans="7:17">
      <c r="J30">
        <v>6900</v>
      </c>
      <c r="K30">
        <f>J30*10+J29*2</f>
        <v>78200</v>
      </c>
    </row>
    <row r="31" spans="7:17">
      <c r="N31" s="283">
        <f>SUM(K9:K21)</f>
        <v>77000</v>
      </c>
    </row>
    <row r="33" spans="12:13">
      <c r="L33">
        <f>L22/32</f>
        <v>1443.75</v>
      </c>
      <c r="M33">
        <f>L33*3</f>
        <v>4331.25</v>
      </c>
    </row>
    <row r="34" spans="12:13">
      <c r="M34">
        <f>L33*2</f>
        <v>2887.5</v>
      </c>
    </row>
  </sheetData>
  <phoneticPr fontId="7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G8:M29"/>
  <sheetViews>
    <sheetView topLeftCell="A4" zoomScaleNormal="100" zoomScaleSheetLayoutView="75" workbookViewId="0">
      <selection activeCell="I27" sqref="I27:I28"/>
    </sheetView>
  </sheetViews>
  <sheetFormatPr defaultColWidth="8.75" defaultRowHeight="13.5"/>
  <cols>
    <col min="8" max="11" width="13.375" bestFit="1" customWidth="1"/>
    <col min="13" max="13" width="9.5" bestFit="1" customWidth="1"/>
  </cols>
  <sheetData>
    <row r="8" spans="7:10" ht="16.5">
      <c r="G8" s="206" t="s">
        <v>9</v>
      </c>
      <c r="H8" s="302" t="s">
        <v>73</v>
      </c>
      <c r="I8" s="303" t="s">
        <v>74</v>
      </c>
      <c r="J8" s="71" t="s">
        <v>54</v>
      </c>
    </row>
    <row r="9" spans="7:10" ht="16.5">
      <c r="G9" s="297" t="s">
        <v>22</v>
      </c>
      <c r="H9" s="299">
        <v>17400</v>
      </c>
      <c r="I9" s="300">
        <v>15000</v>
      </c>
      <c r="J9" s="298">
        <f>SUM(H9:I9)</f>
        <v>32400</v>
      </c>
    </row>
    <row r="10" spans="7:10" ht="16.5">
      <c r="G10" s="297" t="s">
        <v>42</v>
      </c>
      <c r="H10" s="299">
        <v>17000</v>
      </c>
      <c r="I10" s="300">
        <v>15000</v>
      </c>
      <c r="J10" s="298">
        <f t="shared" ref="J10:J27" si="0">SUM(H10:I10)</f>
        <v>32000</v>
      </c>
    </row>
    <row r="11" spans="7:10" ht="16.5">
      <c r="G11" s="298" t="s">
        <v>5</v>
      </c>
      <c r="H11" s="299">
        <v>17000</v>
      </c>
      <c r="I11" s="300">
        <v>15000</v>
      </c>
      <c r="J11" s="298">
        <f t="shared" si="0"/>
        <v>32000</v>
      </c>
    </row>
    <row r="12" spans="7:10" ht="16.5">
      <c r="G12" s="297" t="s">
        <v>39</v>
      </c>
      <c r="H12" s="299">
        <v>17000</v>
      </c>
      <c r="I12" s="300">
        <v>15000</v>
      </c>
      <c r="J12" s="298">
        <f t="shared" si="0"/>
        <v>32000</v>
      </c>
    </row>
    <row r="13" spans="7:10" ht="16.5">
      <c r="G13" s="297" t="s">
        <v>66</v>
      </c>
      <c r="H13" s="299">
        <v>17000</v>
      </c>
      <c r="I13" s="300">
        <v>15000</v>
      </c>
      <c r="J13" s="298">
        <f t="shared" si="0"/>
        <v>32000</v>
      </c>
    </row>
    <row r="14" spans="7:10" ht="16.5">
      <c r="G14" s="297" t="s">
        <v>14</v>
      </c>
      <c r="H14" s="299">
        <v>17000</v>
      </c>
      <c r="I14" s="300">
        <v>15000</v>
      </c>
      <c r="J14" s="298">
        <f t="shared" si="0"/>
        <v>32000</v>
      </c>
    </row>
    <row r="15" spans="7:10" ht="16.5">
      <c r="G15" s="298" t="s">
        <v>69</v>
      </c>
      <c r="H15" s="299">
        <v>17000</v>
      </c>
      <c r="I15" s="300">
        <v>0</v>
      </c>
      <c r="J15" s="298">
        <f t="shared" si="0"/>
        <v>17000</v>
      </c>
    </row>
    <row r="16" spans="7:10" ht="16.5">
      <c r="G16" s="298" t="s">
        <v>46</v>
      </c>
      <c r="H16" s="299">
        <v>17000</v>
      </c>
      <c r="I16" s="300">
        <v>15000</v>
      </c>
      <c r="J16" s="298">
        <f t="shared" si="0"/>
        <v>32000</v>
      </c>
    </row>
    <row r="17" spans="7:13" ht="16.5">
      <c r="G17" s="297" t="s">
        <v>19</v>
      </c>
      <c r="H17" s="299">
        <v>17000</v>
      </c>
      <c r="I17" s="300">
        <v>15000</v>
      </c>
      <c r="J17" s="298">
        <f t="shared" si="0"/>
        <v>32000</v>
      </c>
    </row>
    <row r="18" spans="7:13" ht="16.5">
      <c r="G18" s="297" t="s">
        <v>40</v>
      </c>
      <c r="H18" s="299">
        <v>16000</v>
      </c>
      <c r="I18" s="300">
        <v>15000</v>
      </c>
      <c r="J18" s="298">
        <f t="shared" si="0"/>
        <v>31000</v>
      </c>
    </row>
    <row r="19" spans="7:13" ht="16.5">
      <c r="G19" s="297" t="s">
        <v>33</v>
      </c>
      <c r="H19" s="299">
        <v>16000</v>
      </c>
      <c r="I19" s="300">
        <v>15000</v>
      </c>
      <c r="J19" s="298">
        <f t="shared" si="0"/>
        <v>31000</v>
      </c>
    </row>
    <row r="20" spans="7:13" ht="16.5">
      <c r="G20" s="298" t="s">
        <v>71</v>
      </c>
      <c r="H20" s="299">
        <v>15000</v>
      </c>
      <c r="I20" s="300">
        <v>15000</v>
      </c>
      <c r="J20" s="298">
        <f t="shared" si="0"/>
        <v>30000</v>
      </c>
      <c r="M20" s="283"/>
    </row>
    <row r="21" spans="7:13" ht="16.5">
      <c r="G21" s="306" t="s">
        <v>25</v>
      </c>
      <c r="H21" s="308">
        <v>10000</v>
      </c>
      <c r="I21" s="309">
        <v>7500</v>
      </c>
      <c r="J21" s="307">
        <f t="shared" si="0"/>
        <v>17500</v>
      </c>
    </row>
    <row r="22" spans="7:13" ht="16.5">
      <c r="G22" s="306" t="s">
        <v>6</v>
      </c>
      <c r="H22" s="308">
        <v>10000</v>
      </c>
      <c r="I22" s="309">
        <v>7500</v>
      </c>
      <c r="J22" s="307">
        <f t="shared" si="0"/>
        <v>17500</v>
      </c>
    </row>
    <row r="23" spans="7:13" ht="16.5">
      <c r="G23" s="306" t="s">
        <v>2</v>
      </c>
      <c r="H23" s="308">
        <v>10000</v>
      </c>
      <c r="I23" s="309">
        <v>7500</v>
      </c>
      <c r="J23" s="307">
        <f t="shared" si="0"/>
        <v>17500</v>
      </c>
    </row>
    <row r="24" spans="7:13" ht="16.5">
      <c r="G24" s="306" t="s">
        <v>72</v>
      </c>
      <c r="H24" s="308">
        <v>5500</v>
      </c>
      <c r="I24" s="309">
        <v>7000</v>
      </c>
      <c r="J24" s="307">
        <f t="shared" si="0"/>
        <v>12500</v>
      </c>
    </row>
    <row r="25" spans="7:13" ht="16.5">
      <c r="G25" s="306" t="s">
        <v>61</v>
      </c>
      <c r="H25" s="308">
        <v>5500</v>
      </c>
      <c r="I25" s="309">
        <v>7000</v>
      </c>
      <c r="J25" s="307">
        <f t="shared" si="0"/>
        <v>12500</v>
      </c>
    </row>
    <row r="26" spans="7:13" ht="16.5">
      <c r="G26" s="325" t="s">
        <v>29</v>
      </c>
      <c r="H26" s="327">
        <v>5500</v>
      </c>
      <c r="I26" s="328">
        <v>7000</v>
      </c>
      <c r="J26" s="307">
        <f t="shared" si="0"/>
        <v>12500</v>
      </c>
    </row>
    <row r="27" spans="7:13" ht="16.5">
      <c r="G27" s="326" t="s">
        <v>47</v>
      </c>
      <c r="H27" s="329">
        <v>0</v>
      </c>
      <c r="I27" s="330">
        <v>0</v>
      </c>
      <c r="J27" s="307">
        <f t="shared" si="0"/>
        <v>0</v>
      </c>
    </row>
    <row r="28" spans="7:13" ht="16.5">
      <c r="G28" s="204" t="s">
        <v>54</v>
      </c>
      <c r="H28" s="183">
        <v>246900</v>
      </c>
      <c r="I28" s="183">
        <v>208500</v>
      </c>
      <c r="J28" s="204">
        <v>455400</v>
      </c>
    </row>
    <row r="29" spans="7:13">
      <c r="H29" s="283"/>
      <c r="I29" s="283"/>
    </row>
  </sheetData>
  <phoneticPr fontId="7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H5:K19"/>
  <sheetViews>
    <sheetView zoomScaleNormal="100" zoomScaleSheetLayoutView="75" workbookViewId="0">
      <selection activeCell="H5" sqref="H5:K19"/>
    </sheetView>
  </sheetViews>
  <sheetFormatPr defaultColWidth="9.25" defaultRowHeight="16.5"/>
  <cols>
    <col min="1" max="1" width="9.25" style="139" customWidth="1"/>
    <col min="2" max="16384" width="9.25" style="139"/>
  </cols>
  <sheetData>
    <row r="5" spans="8:11">
      <c r="H5" s="331" t="s">
        <v>9</v>
      </c>
      <c r="I5" s="332" t="s">
        <v>75</v>
      </c>
      <c r="J5" s="333" t="s">
        <v>128</v>
      </c>
      <c r="K5" s="334" t="s">
        <v>54</v>
      </c>
    </row>
    <row r="6" spans="8:11">
      <c r="H6" s="349" t="s">
        <v>42</v>
      </c>
      <c r="I6" s="339">
        <f>ROUND(I19/5,0)</f>
        <v>8000</v>
      </c>
      <c r="J6" s="340">
        <v>23000</v>
      </c>
      <c r="K6" s="354">
        <f>SUM(I6:J6)</f>
        <v>31000</v>
      </c>
    </row>
    <row r="7" spans="8:11">
      <c r="H7" s="350" t="s">
        <v>61</v>
      </c>
      <c r="I7" s="341">
        <f>ROUND(I19/5,0)</f>
        <v>8000</v>
      </c>
      <c r="J7" s="342">
        <v>23000</v>
      </c>
      <c r="K7" s="355">
        <f t="shared" ref="K7:K19" si="0">SUM(I7:J7)</f>
        <v>31000</v>
      </c>
    </row>
    <row r="8" spans="8:11">
      <c r="H8" s="350" t="s">
        <v>21</v>
      </c>
      <c r="I8" s="341">
        <f>ROUND(I19/5,0)</f>
        <v>8000</v>
      </c>
      <c r="J8" s="342">
        <v>23000</v>
      </c>
      <c r="K8" s="355">
        <f t="shared" si="0"/>
        <v>31000</v>
      </c>
    </row>
    <row r="9" spans="8:11">
      <c r="H9" s="350" t="s">
        <v>25</v>
      </c>
      <c r="I9" s="341">
        <f>ROUND(I19/5,0)</f>
        <v>8000</v>
      </c>
      <c r="J9" s="342">
        <v>23000</v>
      </c>
      <c r="K9" s="355">
        <f t="shared" si="0"/>
        <v>31000</v>
      </c>
    </row>
    <row r="10" spans="8:11">
      <c r="H10" s="350" t="s">
        <v>71</v>
      </c>
      <c r="I10" s="341">
        <f>ROUND(I19/5,0)</f>
        <v>8000</v>
      </c>
      <c r="J10" s="342">
        <v>23000</v>
      </c>
      <c r="K10" s="355">
        <f t="shared" si="0"/>
        <v>31000</v>
      </c>
    </row>
    <row r="11" spans="8:11">
      <c r="H11" s="351" t="s">
        <v>5</v>
      </c>
      <c r="I11" s="343">
        <v>0</v>
      </c>
      <c r="J11" s="344">
        <v>23000</v>
      </c>
      <c r="K11" s="356">
        <f t="shared" si="0"/>
        <v>23000</v>
      </c>
    </row>
    <row r="12" spans="8:11">
      <c r="H12" s="351" t="s">
        <v>27</v>
      </c>
      <c r="I12" s="343">
        <v>0</v>
      </c>
      <c r="J12" s="344">
        <v>23000</v>
      </c>
      <c r="K12" s="356">
        <f t="shared" si="0"/>
        <v>23000</v>
      </c>
    </row>
    <row r="13" spans="8:11">
      <c r="H13" s="352" t="s">
        <v>62</v>
      </c>
      <c r="I13" s="345">
        <v>0</v>
      </c>
      <c r="J13" s="346">
        <v>20500</v>
      </c>
      <c r="K13" s="357">
        <f t="shared" si="0"/>
        <v>20500</v>
      </c>
    </row>
    <row r="14" spans="8:11">
      <c r="H14" s="352" t="s">
        <v>10</v>
      </c>
      <c r="I14" s="345">
        <v>0</v>
      </c>
      <c r="J14" s="346">
        <v>20500</v>
      </c>
      <c r="K14" s="357">
        <f t="shared" si="0"/>
        <v>20500</v>
      </c>
    </row>
    <row r="15" spans="8:11">
      <c r="H15" s="352" t="s">
        <v>39</v>
      </c>
      <c r="I15" s="345">
        <v>0</v>
      </c>
      <c r="J15" s="346">
        <v>20500</v>
      </c>
      <c r="K15" s="357">
        <f t="shared" si="0"/>
        <v>20500</v>
      </c>
    </row>
    <row r="16" spans="8:11">
      <c r="H16" s="352" t="s">
        <v>66</v>
      </c>
      <c r="I16" s="345">
        <v>0</v>
      </c>
      <c r="J16" s="346">
        <v>20500</v>
      </c>
      <c r="K16" s="357">
        <f t="shared" si="0"/>
        <v>20500</v>
      </c>
    </row>
    <row r="17" spans="8:11">
      <c r="H17" s="352" t="s">
        <v>69</v>
      </c>
      <c r="I17" s="345">
        <v>0</v>
      </c>
      <c r="J17" s="346">
        <v>20500</v>
      </c>
      <c r="K17" s="357">
        <f t="shared" si="0"/>
        <v>20500</v>
      </c>
    </row>
    <row r="18" spans="8:11">
      <c r="H18" s="353" t="s">
        <v>4</v>
      </c>
      <c r="I18" s="347">
        <v>0</v>
      </c>
      <c r="J18" s="348">
        <v>20500</v>
      </c>
      <c r="K18" s="358">
        <f t="shared" si="0"/>
        <v>20500</v>
      </c>
    </row>
    <row r="19" spans="8:11">
      <c r="H19" s="335" t="s">
        <v>54</v>
      </c>
      <c r="I19" s="336">
        <v>40000</v>
      </c>
      <c r="J19" s="337">
        <v>284000</v>
      </c>
      <c r="K19" s="338">
        <f t="shared" si="0"/>
        <v>324000</v>
      </c>
    </row>
  </sheetData>
  <phoneticPr fontId="7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1038-F54C-46B5-A0AF-35BCF311907F}">
  <dimension ref="F9:J24"/>
  <sheetViews>
    <sheetView zoomScale="115" zoomScaleNormal="115" workbookViewId="0">
      <selection activeCell="K32" sqref="K32"/>
    </sheetView>
  </sheetViews>
  <sheetFormatPr defaultRowHeight="13.5"/>
  <sheetData>
    <row r="9" spans="6:10" ht="14.25" thickBot="1"/>
    <row r="10" spans="6:10" ht="17.25" thickBot="1">
      <c r="F10" s="331" t="s">
        <v>9</v>
      </c>
      <c r="G10" s="332" t="s">
        <v>138</v>
      </c>
      <c r="H10" s="333" t="s">
        <v>136</v>
      </c>
      <c r="I10" s="333" t="s">
        <v>137</v>
      </c>
      <c r="J10" s="334" t="s">
        <v>54</v>
      </c>
    </row>
    <row r="11" spans="6:10" ht="16.5">
      <c r="F11" s="349" t="s">
        <v>129</v>
      </c>
      <c r="G11" s="339">
        <v>8500</v>
      </c>
      <c r="H11" s="340">
        <v>12000</v>
      </c>
      <c r="I11" s="340">
        <v>12000</v>
      </c>
      <c r="J11" s="354">
        <f>SUM(G11:I11)</f>
        <v>32500</v>
      </c>
    </row>
    <row r="12" spans="6:10" ht="16.5">
      <c r="F12" s="350" t="s">
        <v>130</v>
      </c>
      <c r="G12" s="341">
        <v>8500</v>
      </c>
      <c r="H12" s="342">
        <v>10000</v>
      </c>
      <c r="I12" s="342">
        <v>10000</v>
      </c>
      <c r="J12" s="354">
        <f t="shared" ref="J12:J18" si="0">SUM(G12:I12)</f>
        <v>28500</v>
      </c>
    </row>
    <row r="13" spans="6:10" ht="16.5">
      <c r="F13" s="350" t="s">
        <v>21</v>
      </c>
      <c r="G13" s="341">
        <v>8500</v>
      </c>
      <c r="H13" s="342">
        <v>12000</v>
      </c>
      <c r="I13" s="342">
        <v>12000</v>
      </c>
      <c r="J13" s="354">
        <f t="shared" si="0"/>
        <v>32500</v>
      </c>
    </row>
    <row r="14" spans="6:10" ht="16.5">
      <c r="F14" s="350" t="s">
        <v>132</v>
      </c>
      <c r="G14" s="341">
        <v>8500</v>
      </c>
      <c r="H14" s="342">
        <v>11000</v>
      </c>
      <c r="I14" s="342">
        <v>12000</v>
      </c>
      <c r="J14" s="354">
        <f t="shared" si="0"/>
        <v>31500</v>
      </c>
    </row>
    <row r="15" spans="6:10" ht="16.5">
      <c r="F15" s="350" t="s">
        <v>131</v>
      </c>
      <c r="G15" s="341">
        <v>8500</v>
      </c>
      <c r="H15" s="342">
        <v>11000</v>
      </c>
      <c r="I15" s="342">
        <v>10000</v>
      </c>
      <c r="J15" s="354">
        <f t="shared" si="0"/>
        <v>29500</v>
      </c>
    </row>
    <row r="16" spans="6:10" ht="16.5">
      <c r="F16" s="350" t="s">
        <v>133</v>
      </c>
      <c r="G16" s="341">
        <v>8500</v>
      </c>
      <c r="H16" s="342">
        <v>11000</v>
      </c>
      <c r="I16" s="342">
        <v>0</v>
      </c>
      <c r="J16" s="354">
        <f t="shared" si="0"/>
        <v>19500</v>
      </c>
    </row>
    <row r="17" spans="6:10" ht="16.5">
      <c r="F17" s="360" t="s">
        <v>134</v>
      </c>
      <c r="G17" s="361"/>
      <c r="H17" s="362">
        <v>11000</v>
      </c>
      <c r="I17" s="362">
        <v>11000</v>
      </c>
      <c r="J17" s="359">
        <f t="shared" si="0"/>
        <v>22000</v>
      </c>
    </row>
    <row r="18" spans="6:10" ht="16.5">
      <c r="F18" s="360" t="s">
        <v>135</v>
      </c>
      <c r="G18" s="361"/>
      <c r="H18" s="362">
        <v>11000</v>
      </c>
      <c r="I18" s="362">
        <v>13000</v>
      </c>
      <c r="J18" s="359">
        <f t="shared" si="0"/>
        <v>24000</v>
      </c>
    </row>
    <row r="19" spans="6:10" ht="17.25" thickBot="1">
      <c r="F19" s="335" t="s">
        <v>54</v>
      </c>
      <c r="G19" s="336">
        <f>SUM(G11:G18)</f>
        <v>51000</v>
      </c>
      <c r="H19" s="336">
        <f t="shared" ref="H19:I19" si="1">SUM(H11:H18)</f>
        <v>89000</v>
      </c>
      <c r="I19" s="336">
        <f t="shared" si="1"/>
        <v>80000</v>
      </c>
      <c r="J19" s="338">
        <f>SUM(G19:I19)</f>
        <v>220000</v>
      </c>
    </row>
    <row r="22" spans="6:10">
      <c r="H22" s="363"/>
    </row>
    <row r="24" spans="6:10">
      <c r="I24" s="363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3369-DE64-4776-8560-62C4D98DFDE9}">
  <dimension ref="G7:R28"/>
  <sheetViews>
    <sheetView topLeftCell="D1" workbookViewId="0">
      <selection activeCell="S24" sqref="S24:T29"/>
    </sheetView>
  </sheetViews>
  <sheetFormatPr defaultRowHeight="13.5"/>
  <cols>
    <col min="11" max="11" width="9.5" bestFit="1" customWidth="1"/>
    <col min="13" max="13" width="11.375" bestFit="1" customWidth="1"/>
  </cols>
  <sheetData>
    <row r="7" spans="7:18" ht="14.25" thickBot="1"/>
    <row r="8" spans="7:18" ht="17.25" thickBot="1">
      <c r="G8" s="331" t="s">
        <v>9</v>
      </c>
      <c r="H8" s="332" t="s">
        <v>139</v>
      </c>
      <c r="I8" s="333" t="s">
        <v>140</v>
      </c>
      <c r="J8" s="364" t="s">
        <v>137</v>
      </c>
      <c r="K8" s="364" t="s">
        <v>136</v>
      </c>
      <c r="L8" s="331" t="s">
        <v>54</v>
      </c>
      <c r="M8" s="331" t="s">
        <v>146</v>
      </c>
    </row>
    <row r="9" spans="7:18" ht="16.5">
      <c r="G9" s="349" t="s">
        <v>129</v>
      </c>
      <c r="H9" s="339">
        <v>15000</v>
      </c>
      <c r="I9" s="340">
        <v>2100</v>
      </c>
      <c r="J9" s="365">
        <v>6900</v>
      </c>
      <c r="K9" s="365">
        <v>10500</v>
      </c>
      <c r="L9" s="349">
        <f>SUM(H9:K9)</f>
        <v>34500</v>
      </c>
      <c r="M9" s="376"/>
    </row>
    <row r="10" spans="7:18" ht="16.5">
      <c r="G10" s="350" t="s">
        <v>141</v>
      </c>
      <c r="H10" s="341">
        <v>15000</v>
      </c>
      <c r="I10" s="342">
        <v>2100</v>
      </c>
      <c r="J10" s="366">
        <v>0</v>
      </c>
      <c r="K10" s="366">
        <v>10500</v>
      </c>
      <c r="L10" s="349">
        <f t="shared" ref="L10:L17" si="0">SUM(H10:K10)</f>
        <v>27600</v>
      </c>
      <c r="M10" s="376"/>
    </row>
    <row r="11" spans="7:18" ht="16.5">
      <c r="G11" s="350" t="s">
        <v>21</v>
      </c>
      <c r="H11" s="341">
        <v>15000</v>
      </c>
      <c r="I11" s="342">
        <v>2100</v>
      </c>
      <c r="J11" s="366">
        <v>6900</v>
      </c>
      <c r="K11" s="366">
        <v>10500</v>
      </c>
      <c r="L11" s="349">
        <f>SUM(H11:K11)-16500</f>
        <v>18000</v>
      </c>
      <c r="M11" s="378" t="s">
        <v>145</v>
      </c>
    </row>
    <row r="12" spans="7:18" ht="16.5">
      <c r="G12" s="350" t="s">
        <v>142</v>
      </c>
      <c r="H12" s="341">
        <v>15000</v>
      </c>
      <c r="I12" s="342">
        <v>2100</v>
      </c>
      <c r="J12" s="366">
        <v>6900</v>
      </c>
      <c r="K12" s="366">
        <v>10500</v>
      </c>
      <c r="L12" s="349">
        <f t="shared" si="0"/>
        <v>34500</v>
      </c>
      <c r="M12" s="376"/>
    </row>
    <row r="13" spans="7:18" ht="16.5">
      <c r="G13" s="350" t="s">
        <v>133</v>
      </c>
      <c r="H13" s="341">
        <v>7500</v>
      </c>
      <c r="I13" s="342">
        <v>2100</v>
      </c>
      <c r="J13" s="366">
        <v>6900</v>
      </c>
      <c r="K13" s="366">
        <v>10500</v>
      </c>
      <c r="L13" s="349">
        <f t="shared" si="0"/>
        <v>27000</v>
      </c>
      <c r="M13" s="376"/>
    </row>
    <row r="14" spans="7:18" ht="16.5">
      <c r="G14" s="350" t="s">
        <v>143</v>
      </c>
      <c r="H14" s="341">
        <v>7500</v>
      </c>
      <c r="I14" s="342">
        <v>2100</v>
      </c>
      <c r="J14" s="366">
        <v>6900</v>
      </c>
      <c r="K14" s="366">
        <v>10500</v>
      </c>
      <c r="L14" s="349">
        <f t="shared" si="0"/>
        <v>27000</v>
      </c>
      <c r="M14" s="376"/>
    </row>
    <row r="15" spans="7:18" ht="16.5">
      <c r="G15" s="360" t="s">
        <v>5</v>
      </c>
      <c r="H15" s="361"/>
      <c r="I15" s="362"/>
      <c r="J15" s="370">
        <v>6900</v>
      </c>
      <c r="K15" s="370">
        <v>10500</v>
      </c>
      <c r="L15" s="369">
        <f t="shared" si="0"/>
        <v>17400</v>
      </c>
      <c r="M15" s="376"/>
    </row>
    <row r="16" spans="7:18" ht="16.5">
      <c r="G16" s="360" t="s">
        <v>135</v>
      </c>
      <c r="H16" s="361"/>
      <c r="I16" s="362"/>
      <c r="J16" s="370">
        <v>6900</v>
      </c>
      <c r="K16" s="370">
        <v>10500</v>
      </c>
      <c r="L16" s="369">
        <f t="shared" si="0"/>
        <v>17400</v>
      </c>
      <c r="M16" s="376"/>
      <c r="R16" s="368"/>
    </row>
    <row r="17" spans="7:13" ht="17.25" thickBot="1">
      <c r="G17" s="374" t="s">
        <v>144</v>
      </c>
      <c r="H17" s="371"/>
      <c r="I17" s="372"/>
      <c r="J17" s="373">
        <v>6700</v>
      </c>
      <c r="K17" s="373">
        <v>7500</v>
      </c>
      <c r="L17" s="374">
        <f t="shared" si="0"/>
        <v>14200</v>
      </c>
      <c r="M17" s="377"/>
    </row>
    <row r="18" spans="7:13" ht="18" thickTop="1" thickBot="1">
      <c r="G18" s="335" t="s">
        <v>54</v>
      </c>
      <c r="H18" s="336">
        <f>SUM(H9:H17)</f>
        <v>75000</v>
      </c>
      <c r="I18" s="336">
        <v>12500</v>
      </c>
      <c r="J18" s="367">
        <v>55000</v>
      </c>
      <c r="K18" s="338">
        <v>91300</v>
      </c>
      <c r="L18" s="335">
        <f>SUM(L9:L17)</f>
        <v>217600</v>
      </c>
      <c r="M18" s="335"/>
    </row>
    <row r="21" spans="7:13">
      <c r="J21" s="368"/>
    </row>
    <row r="22" spans="7:13">
      <c r="J22" s="363"/>
    </row>
    <row r="24" spans="7:13">
      <c r="K24" s="363"/>
    </row>
    <row r="25" spans="7:13">
      <c r="J25" s="375"/>
    </row>
    <row r="27" spans="7:13">
      <c r="J27" s="363"/>
    </row>
    <row r="28" spans="7:13">
      <c r="K28" s="363"/>
    </row>
  </sheetData>
  <phoneticPr fontId="7" type="noConversion"/>
  <pageMargins left="0.7" right="0.7" top="0.75" bottom="0.75" header="0.3" footer="0.3"/>
  <pageSetup paperSize="9" orientation="portrait" r:id="rId1"/>
  <ignoredErrors>
    <ignoredError sqref="L11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F4DC-8935-438F-8013-F93424D006C3}">
  <dimension ref="G11:P33"/>
  <sheetViews>
    <sheetView topLeftCell="A9" workbookViewId="0">
      <selection activeCell="R44" sqref="R44"/>
    </sheetView>
  </sheetViews>
  <sheetFormatPr defaultRowHeight="13.5"/>
  <cols>
    <col min="7" max="7" width="11.625" bestFit="1" customWidth="1"/>
    <col min="9" max="9" width="9.5" bestFit="1" customWidth="1"/>
    <col min="10" max="10" width="8.5" bestFit="1" customWidth="1"/>
    <col min="11" max="11" width="9.5" bestFit="1" customWidth="1"/>
    <col min="12" max="12" width="7.375" bestFit="1" customWidth="1"/>
    <col min="13" max="13" width="9.5" bestFit="1" customWidth="1"/>
    <col min="14" max="14" width="8.5" bestFit="1" customWidth="1"/>
    <col min="16" max="16" width="9.5" bestFit="1" customWidth="1"/>
  </cols>
  <sheetData>
    <row r="11" spans="7:16" ht="14.25" thickBot="1"/>
    <row r="12" spans="7:16" ht="17.25" thickBot="1">
      <c r="H12" s="206" t="s">
        <v>9</v>
      </c>
      <c r="I12" s="302" t="s">
        <v>156</v>
      </c>
      <c r="J12" s="303" t="s">
        <v>157</v>
      </c>
      <c r="K12" s="304" t="s">
        <v>158</v>
      </c>
      <c r="L12" s="304" t="s">
        <v>159</v>
      </c>
      <c r="M12" s="304" t="s">
        <v>160</v>
      </c>
      <c r="N12" s="304" t="s">
        <v>161</v>
      </c>
      <c r="O12" s="304" t="s">
        <v>162</v>
      </c>
      <c r="P12" s="71" t="s">
        <v>54</v>
      </c>
    </row>
    <row r="13" spans="7:16" ht="16.5">
      <c r="G13" s="506" t="s">
        <v>165</v>
      </c>
      <c r="H13" s="388" t="s">
        <v>147</v>
      </c>
      <c r="I13" s="389">
        <v>22230</v>
      </c>
      <c r="J13" s="390">
        <v>8460</v>
      </c>
      <c r="K13" s="390">
        <v>18160</v>
      </c>
      <c r="L13" s="391">
        <v>750</v>
      </c>
      <c r="M13" s="391">
        <v>2830</v>
      </c>
      <c r="N13" s="391">
        <v>10000</v>
      </c>
      <c r="O13" s="391">
        <v>-20000</v>
      </c>
      <c r="P13" s="388">
        <f>SUM(I13:O13)</f>
        <v>42430</v>
      </c>
    </row>
    <row r="14" spans="7:16" ht="16.5">
      <c r="G14" s="507"/>
      <c r="H14" s="297" t="s">
        <v>131</v>
      </c>
      <c r="I14" s="299">
        <v>22230</v>
      </c>
      <c r="J14" s="300">
        <v>8460</v>
      </c>
      <c r="K14" s="300">
        <v>18160</v>
      </c>
      <c r="L14" s="301">
        <v>750</v>
      </c>
      <c r="M14" s="301">
        <v>2830</v>
      </c>
      <c r="N14" s="301">
        <v>10000</v>
      </c>
      <c r="O14" s="301">
        <v>-20000</v>
      </c>
      <c r="P14" s="298">
        <f>SUM(I14:O14)</f>
        <v>42430</v>
      </c>
    </row>
    <row r="15" spans="7:16" ht="16.5">
      <c r="G15" s="507"/>
      <c r="H15" s="298" t="s">
        <v>148</v>
      </c>
      <c r="I15" s="299">
        <v>22230</v>
      </c>
      <c r="J15" s="300">
        <v>8460</v>
      </c>
      <c r="K15" s="300">
        <v>18160</v>
      </c>
      <c r="L15" s="301">
        <v>750</v>
      </c>
      <c r="M15" s="301">
        <v>2830</v>
      </c>
      <c r="N15" s="301">
        <v>10000</v>
      </c>
      <c r="O15" s="301">
        <v>-20000</v>
      </c>
      <c r="P15" s="298">
        <f t="shared" ref="P15:P20" si="0">SUM(I15:O15)</f>
        <v>42430</v>
      </c>
    </row>
    <row r="16" spans="7:16" ht="16.5">
      <c r="G16" s="507"/>
      <c r="H16" s="297" t="s">
        <v>149</v>
      </c>
      <c r="I16" s="299">
        <v>22230</v>
      </c>
      <c r="J16" s="300">
        <v>8460</v>
      </c>
      <c r="K16" s="300">
        <v>18160</v>
      </c>
      <c r="L16" s="301">
        <v>750</v>
      </c>
      <c r="M16" s="301">
        <v>2830</v>
      </c>
      <c r="N16" s="301">
        <v>10000</v>
      </c>
      <c r="O16" s="301">
        <v>-20000</v>
      </c>
      <c r="P16" s="298">
        <f t="shared" si="0"/>
        <v>42430</v>
      </c>
    </row>
    <row r="17" spans="7:16" ht="16.5">
      <c r="G17" s="507"/>
      <c r="H17" s="297" t="s">
        <v>150</v>
      </c>
      <c r="I17" s="299">
        <v>22230</v>
      </c>
      <c r="J17" s="300">
        <v>8460</v>
      </c>
      <c r="K17" s="300">
        <v>18160</v>
      </c>
      <c r="L17" s="301">
        <v>750</v>
      </c>
      <c r="M17" s="301">
        <v>2830</v>
      </c>
      <c r="N17" s="301">
        <v>10000</v>
      </c>
      <c r="O17" s="301">
        <v>-20000</v>
      </c>
      <c r="P17" s="298">
        <f t="shared" si="0"/>
        <v>42430</v>
      </c>
    </row>
    <row r="18" spans="7:16" ht="16.5">
      <c r="G18" s="507"/>
      <c r="H18" s="298" t="s">
        <v>151</v>
      </c>
      <c r="I18" s="299">
        <v>22230</v>
      </c>
      <c r="J18" s="300">
        <v>8460</v>
      </c>
      <c r="K18" s="300">
        <v>18160</v>
      </c>
      <c r="L18" s="301">
        <v>750</v>
      </c>
      <c r="M18" s="301">
        <v>2830</v>
      </c>
      <c r="N18" s="301">
        <v>10000</v>
      </c>
      <c r="O18" s="301">
        <v>-20000</v>
      </c>
      <c r="P18" s="298">
        <f t="shared" si="0"/>
        <v>42430</v>
      </c>
    </row>
    <row r="19" spans="7:16" ht="16.5">
      <c r="G19" s="509"/>
      <c r="H19" s="297" t="s">
        <v>143</v>
      </c>
      <c r="I19" s="299">
        <v>22230</v>
      </c>
      <c r="J19" s="300">
        <v>8460</v>
      </c>
      <c r="K19" s="300">
        <v>18160</v>
      </c>
      <c r="L19" s="301">
        <v>750</v>
      </c>
      <c r="M19" s="301">
        <v>2830</v>
      </c>
      <c r="N19" s="301">
        <v>10000</v>
      </c>
      <c r="O19" s="301">
        <v>-20000</v>
      </c>
      <c r="P19" s="298">
        <f t="shared" si="0"/>
        <v>42430</v>
      </c>
    </row>
    <row r="20" spans="7:16" ht="17.25" thickBot="1">
      <c r="G20" s="404" t="s">
        <v>166</v>
      </c>
      <c r="H20" s="383" t="s">
        <v>135</v>
      </c>
      <c r="I20" s="384">
        <v>22230</v>
      </c>
      <c r="J20" s="385">
        <v>8460</v>
      </c>
      <c r="K20" s="385">
        <v>18160</v>
      </c>
      <c r="L20" s="386">
        <v>750</v>
      </c>
      <c r="M20" s="386">
        <v>2830</v>
      </c>
      <c r="N20" s="386">
        <v>5000</v>
      </c>
      <c r="O20" s="386">
        <v>-20000</v>
      </c>
      <c r="P20" s="387">
        <f t="shared" si="0"/>
        <v>37430</v>
      </c>
    </row>
    <row r="21" spans="7:16" ht="16.5">
      <c r="G21" s="506" t="s">
        <v>163</v>
      </c>
      <c r="H21" s="395" t="s">
        <v>129</v>
      </c>
      <c r="I21" s="396">
        <v>22230</v>
      </c>
      <c r="J21" s="397">
        <v>8460</v>
      </c>
      <c r="K21" s="397">
        <v>18160</v>
      </c>
      <c r="L21" s="398">
        <v>750</v>
      </c>
      <c r="M21" s="398">
        <v>2830</v>
      </c>
      <c r="N21" s="398">
        <f>-85000/4</f>
        <v>-21250</v>
      </c>
      <c r="O21" s="398">
        <v>-20000</v>
      </c>
      <c r="P21" s="395">
        <f>SUM(I21:O21)</f>
        <v>11180</v>
      </c>
    </row>
    <row r="22" spans="7:16" ht="16.5">
      <c r="G22" s="507"/>
      <c r="H22" s="306" t="s">
        <v>152</v>
      </c>
      <c r="I22" s="308">
        <v>22230</v>
      </c>
      <c r="J22" s="309">
        <v>8460</v>
      </c>
      <c r="K22" s="309">
        <v>18160</v>
      </c>
      <c r="L22" s="310">
        <v>750</v>
      </c>
      <c r="M22" s="310">
        <v>2830</v>
      </c>
      <c r="N22" s="310">
        <f>-85000/4</f>
        <v>-21250</v>
      </c>
      <c r="O22" s="310">
        <v>-20000</v>
      </c>
      <c r="P22" s="307">
        <f t="shared" ref="P22:P24" si="1">SUM(I22:O22)</f>
        <v>11180</v>
      </c>
    </row>
    <row r="23" spans="7:16" ht="16.5">
      <c r="G23" s="507"/>
      <c r="H23" s="306" t="s">
        <v>153</v>
      </c>
      <c r="I23" s="308">
        <v>22230</v>
      </c>
      <c r="J23" s="309">
        <v>8460</v>
      </c>
      <c r="K23" s="309">
        <v>18160</v>
      </c>
      <c r="L23" s="310">
        <v>750</v>
      </c>
      <c r="M23" s="310">
        <v>2830</v>
      </c>
      <c r="N23" s="310">
        <f>-85000/4</f>
        <v>-21250</v>
      </c>
      <c r="O23" s="310">
        <v>-20000</v>
      </c>
      <c r="P23" s="307">
        <f t="shared" si="1"/>
        <v>11180</v>
      </c>
    </row>
    <row r="24" spans="7:16" ht="17.25" thickBot="1">
      <c r="G24" s="508"/>
      <c r="H24" s="399" t="s">
        <v>154</v>
      </c>
      <c r="I24" s="400">
        <v>22230</v>
      </c>
      <c r="J24" s="401">
        <v>8460</v>
      </c>
      <c r="K24" s="401">
        <v>18160</v>
      </c>
      <c r="L24" s="402">
        <v>750</v>
      </c>
      <c r="M24" s="402">
        <v>2830</v>
      </c>
      <c r="N24" s="402">
        <f>-85000/4</f>
        <v>-21250</v>
      </c>
      <c r="O24" s="402">
        <v>-20000</v>
      </c>
      <c r="P24" s="403">
        <f t="shared" si="1"/>
        <v>11180</v>
      </c>
    </row>
    <row r="25" spans="7:16" ht="17.25" thickBot="1">
      <c r="G25" s="404" t="s">
        <v>164</v>
      </c>
      <c r="H25" s="380" t="s">
        <v>155</v>
      </c>
      <c r="I25" s="392">
        <v>22230</v>
      </c>
      <c r="J25" s="393">
        <v>8460</v>
      </c>
      <c r="K25" s="393">
        <v>18160</v>
      </c>
      <c r="L25" s="394">
        <v>750</v>
      </c>
      <c r="M25" s="394">
        <v>2830</v>
      </c>
      <c r="N25" s="394">
        <v>10000</v>
      </c>
      <c r="O25" s="394">
        <v>-10000</v>
      </c>
      <c r="P25" s="380">
        <f>SUM(I25:O25)</f>
        <v>52430</v>
      </c>
    </row>
    <row r="26" spans="7:16" ht="18" thickTop="1" thickBot="1">
      <c r="H26" s="204" t="s">
        <v>54</v>
      </c>
      <c r="I26" s="183">
        <v>289000</v>
      </c>
      <c r="J26" s="183">
        <v>110000</v>
      </c>
      <c r="K26" s="183">
        <v>236000</v>
      </c>
      <c r="L26" s="379">
        <v>9700</v>
      </c>
      <c r="M26" s="203">
        <v>36700</v>
      </c>
      <c r="N26" s="382">
        <v>0</v>
      </c>
      <c r="O26" s="381">
        <f>SUM(O13:O25)</f>
        <v>-250000</v>
      </c>
      <c r="P26" s="204">
        <f>SUM(I26:O26)</f>
        <v>431400</v>
      </c>
    </row>
    <row r="28" spans="7:16">
      <c r="I28" s="283"/>
      <c r="P28" s="283"/>
    </row>
    <row r="30" spans="7:16">
      <c r="K30" s="283"/>
    </row>
    <row r="33" spans="13:13">
      <c r="M33" s="283"/>
    </row>
  </sheetData>
  <mergeCells count="2">
    <mergeCell ref="G21:G24"/>
    <mergeCell ref="G13:G19"/>
  </mergeCells>
  <phoneticPr fontId="7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0421-CC47-41C2-B06D-F604117655D2}">
  <dimension ref="C4:T24"/>
  <sheetViews>
    <sheetView zoomScaleNormal="100" workbookViewId="0">
      <selection activeCell="M26" sqref="M26"/>
    </sheetView>
  </sheetViews>
  <sheetFormatPr defaultRowHeight="13.5"/>
  <sheetData>
    <row r="4" spans="8:20" ht="14.25" thickBot="1"/>
    <row r="5" spans="8:20" ht="17.25" thickBot="1">
      <c r="H5" s="206" t="s">
        <v>9</v>
      </c>
      <c r="I5" s="302" t="s">
        <v>170</v>
      </c>
      <c r="J5" s="302" t="s">
        <v>167</v>
      </c>
      <c r="K5" s="303" t="s">
        <v>171</v>
      </c>
      <c r="L5" s="71" t="s">
        <v>54</v>
      </c>
      <c r="O5" s="206" t="s">
        <v>9</v>
      </c>
      <c r="P5" s="302" t="s">
        <v>175</v>
      </c>
      <c r="Q5" s="302" t="s">
        <v>176</v>
      </c>
      <c r="R5" s="303" t="s">
        <v>177</v>
      </c>
      <c r="S5" s="71" t="s">
        <v>178</v>
      </c>
      <c r="T5" s="71" t="s">
        <v>54</v>
      </c>
    </row>
    <row r="6" spans="8:20" ht="16.5">
      <c r="H6" s="388" t="s">
        <v>129</v>
      </c>
      <c r="I6" s="389">
        <v>1400</v>
      </c>
      <c r="J6" s="389">
        <v>21000</v>
      </c>
      <c r="K6" s="390">
        <v>7900</v>
      </c>
      <c r="L6" s="388">
        <f>SUM(I6:K6)</f>
        <v>30300</v>
      </c>
      <c r="O6" s="388" t="s">
        <v>129</v>
      </c>
      <c r="P6" s="389">
        <v>14300</v>
      </c>
      <c r="Q6" s="389">
        <v>11500</v>
      </c>
      <c r="R6" s="390">
        <v>0</v>
      </c>
      <c r="S6" s="412">
        <v>42900</v>
      </c>
      <c r="T6" s="413">
        <f>SUM(P6:R6)</f>
        <v>25800</v>
      </c>
    </row>
    <row r="7" spans="8:20" ht="16.5">
      <c r="H7" s="297" t="s">
        <v>147</v>
      </c>
      <c r="I7" s="299">
        <v>1400</v>
      </c>
      <c r="J7" s="299">
        <v>21000</v>
      </c>
      <c r="K7" s="300">
        <v>7900</v>
      </c>
      <c r="L7" s="298">
        <f>SUM(I7:K7)</f>
        <v>30300</v>
      </c>
      <c r="O7" s="297" t="s">
        <v>174</v>
      </c>
      <c r="P7" s="299">
        <v>14300</v>
      </c>
      <c r="Q7" s="299">
        <v>11500</v>
      </c>
      <c r="R7" s="300">
        <v>8800</v>
      </c>
      <c r="S7" s="411">
        <f>Q10+R10</f>
        <v>72400</v>
      </c>
      <c r="T7" s="414">
        <f>SUM(P7:R7)-S7</f>
        <v>-37800</v>
      </c>
    </row>
    <row r="8" spans="8:20" ht="16.5">
      <c r="H8" s="298" t="s">
        <v>141</v>
      </c>
      <c r="I8" s="299">
        <v>1400</v>
      </c>
      <c r="J8" s="299">
        <v>12000</v>
      </c>
      <c r="K8" s="300"/>
      <c r="L8" s="298">
        <f t="shared" ref="L8:L11" si="0">SUM(I8:K8)</f>
        <v>13400</v>
      </c>
      <c r="O8" s="298" t="s">
        <v>147</v>
      </c>
      <c r="P8" s="299">
        <v>14300</v>
      </c>
      <c r="Q8" s="299">
        <v>11500</v>
      </c>
      <c r="R8" s="300">
        <v>8800</v>
      </c>
      <c r="S8" s="298">
        <v>0</v>
      </c>
      <c r="T8" s="414">
        <f>SUM(P8:S8)</f>
        <v>34600</v>
      </c>
    </row>
    <row r="9" spans="8:20" ht="16.5">
      <c r="H9" s="297" t="s">
        <v>133</v>
      </c>
      <c r="I9" s="299">
        <v>1400</v>
      </c>
      <c r="J9" s="299">
        <v>17000</v>
      </c>
      <c r="K9" s="300"/>
      <c r="L9" s="298">
        <f t="shared" si="0"/>
        <v>18400</v>
      </c>
      <c r="O9" s="297" t="s">
        <v>135</v>
      </c>
      <c r="P9" s="299">
        <v>0</v>
      </c>
      <c r="Q9" s="299">
        <v>11500</v>
      </c>
      <c r="R9" s="300">
        <v>8800</v>
      </c>
      <c r="S9" s="298">
        <v>0</v>
      </c>
      <c r="T9" s="298">
        <f>SUM(P9:S9)</f>
        <v>20300</v>
      </c>
    </row>
    <row r="10" spans="8:20" ht="17.25" thickBot="1">
      <c r="H10" s="297" t="s">
        <v>142</v>
      </c>
      <c r="I10" s="299">
        <v>1400</v>
      </c>
      <c r="J10" s="299">
        <v>21000</v>
      </c>
      <c r="K10" s="300"/>
      <c r="L10" s="298">
        <f t="shared" si="0"/>
        <v>22400</v>
      </c>
      <c r="O10" s="204" t="s">
        <v>54</v>
      </c>
      <c r="P10" s="183">
        <v>42900</v>
      </c>
      <c r="Q10" s="183">
        <v>46000</v>
      </c>
      <c r="R10" s="183">
        <v>26400</v>
      </c>
      <c r="S10" s="204"/>
      <c r="T10" s="204"/>
    </row>
    <row r="11" spans="8:20" ht="17.25" thickBot="1">
      <c r="H11" s="383" t="s">
        <v>132</v>
      </c>
      <c r="I11" s="299">
        <v>1400</v>
      </c>
      <c r="J11" s="299">
        <v>21000</v>
      </c>
      <c r="K11" s="300"/>
      <c r="L11" s="298">
        <f t="shared" si="0"/>
        <v>22400</v>
      </c>
    </row>
    <row r="12" spans="8:20" ht="16.5">
      <c r="H12" s="408" t="s">
        <v>144</v>
      </c>
      <c r="I12" s="396"/>
      <c r="J12" s="396">
        <v>21000</v>
      </c>
      <c r="K12" s="397"/>
      <c r="L12" s="409">
        <f>SUM(I12:K12)</f>
        <v>21000</v>
      </c>
      <c r="R12" s="283"/>
    </row>
    <row r="13" spans="8:20" ht="16.5">
      <c r="H13" s="307" t="s">
        <v>169</v>
      </c>
      <c r="I13" s="405"/>
      <c r="J13" s="405">
        <v>21000</v>
      </c>
      <c r="K13" s="406">
        <v>7900</v>
      </c>
      <c r="L13" s="307">
        <f>SUM(I13:K13)</f>
        <v>28900</v>
      </c>
      <c r="R13" s="283"/>
    </row>
    <row r="14" spans="8:20" ht="16.5">
      <c r="H14" s="306" t="s">
        <v>173</v>
      </c>
      <c r="I14" s="308"/>
      <c r="J14" s="308">
        <v>20500</v>
      </c>
      <c r="K14" s="309"/>
      <c r="L14" s="307">
        <f t="shared" ref="L14:L20" si="1">SUM(I14:K14)</f>
        <v>20500</v>
      </c>
    </row>
    <row r="15" spans="8:20" ht="16.5">
      <c r="H15" s="306" t="s">
        <v>149</v>
      </c>
      <c r="I15" s="308"/>
      <c r="J15" s="308">
        <v>20500</v>
      </c>
      <c r="K15" s="309"/>
      <c r="L15" s="307">
        <f t="shared" si="1"/>
        <v>20500</v>
      </c>
    </row>
    <row r="16" spans="8:20" ht="16.5">
      <c r="H16" s="407" t="s">
        <v>135</v>
      </c>
      <c r="I16" s="308"/>
      <c r="J16" s="308">
        <v>19000</v>
      </c>
      <c r="K16" s="309">
        <v>7900</v>
      </c>
      <c r="L16" s="307">
        <f t="shared" si="1"/>
        <v>26900</v>
      </c>
    </row>
    <row r="17" spans="3:12" ht="16.5">
      <c r="H17" s="407" t="s">
        <v>151</v>
      </c>
      <c r="I17" s="308"/>
      <c r="J17" s="308">
        <v>18000</v>
      </c>
      <c r="K17" s="309"/>
      <c r="L17" s="307">
        <f t="shared" si="1"/>
        <v>18000</v>
      </c>
    </row>
    <row r="18" spans="3:12" ht="16.5">
      <c r="H18" s="407" t="s">
        <v>154</v>
      </c>
      <c r="I18" s="308"/>
      <c r="J18" s="308">
        <v>16000</v>
      </c>
      <c r="K18" s="309"/>
      <c r="L18" s="307">
        <f t="shared" si="1"/>
        <v>16000</v>
      </c>
    </row>
    <row r="19" spans="3:12" ht="16.5">
      <c r="H19" s="307" t="s">
        <v>172</v>
      </c>
      <c r="I19" s="308"/>
      <c r="J19" s="308">
        <v>16000</v>
      </c>
      <c r="K19" s="309"/>
      <c r="L19" s="307">
        <f t="shared" si="1"/>
        <v>16000</v>
      </c>
    </row>
    <row r="20" spans="3:12" ht="16.5">
      <c r="H20" s="307" t="s">
        <v>148</v>
      </c>
      <c r="I20" s="308"/>
      <c r="J20" s="308">
        <v>16000</v>
      </c>
      <c r="K20" s="309">
        <v>7900</v>
      </c>
      <c r="L20" s="307">
        <f t="shared" si="1"/>
        <v>23900</v>
      </c>
    </row>
    <row r="21" spans="3:12" ht="16.5">
      <c r="H21" s="307" t="s">
        <v>168</v>
      </c>
      <c r="I21" s="405"/>
      <c r="J21" s="405">
        <v>15000</v>
      </c>
      <c r="K21" s="406">
        <v>7900</v>
      </c>
      <c r="L21" s="307">
        <f>SUM(I21:K21)</f>
        <v>22900</v>
      </c>
    </row>
    <row r="22" spans="3:12" ht="17.25" thickBot="1">
      <c r="H22" s="204" t="s">
        <v>54</v>
      </c>
      <c r="I22" s="183">
        <v>8000</v>
      </c>
      <c r="J22" s="183">
        <v>296000</v>
      </c>
      <c r="K22" s="183">
        <v>47400</v>
      </c>
      <c r="L22" s="204">
        <f>SUM(I22:K22)</f>
        <v>351400</v>
      </c>
    </row>
    <row r="23" spans="3:12">
      <c r="C23" s="283"/>
      <c r="D23" s="283"/>
    </row>
    <row r="24" spans="3:12">
      <c r="C24" s="283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C517-2CBD-4798-81F9-086C4B728353}">
  <dimension ref="C4:M22"/>
  <sheetViews>
    <sheetView tabSelected="1" zoomScale="115" zoomScaleNormal="115" workbookViewId="0">
      <selection activeCell="N12" sqref="N12"/>
    </sheetView>
  </sheetViews>
  <sheetFormatPr defaultRowHeight="13.5"/>
  <cols>
    <col min="6" max="7" width="11.75" bestFit="1" customWidth="1"/>
    <col min="8" max="8" width="11.375" bestFit="1" customWidth="1"/>
    <col min="9" max="9" width="11.75" bestFit="1" customWidth="1"/>
    <col min="10" max="10" width="9.25" bestFit="1" customWidth="1"/>
    <col min="11" max="11" width="7.5" bestFit="1" customWidth="1"/>
    <col min="13" max="13" width="8.5" bestFit="1" customWidth="1"/>
  </cols>
  <sheetData>
    <row r="4" spans="3:13" ht="14.25" thickBot="1"/>
    <row r="5" spans="3:13" ht="13.5" customHeight="1">
      <c r="C5" s="518" t="s">
        <v>9</v>
      </c>
      <c r="D5" s="520" t="s">
        <v>179</v>
      </c>
      <c r="E5" s="521" t="s">
        <v>180</v>
      </c>
      <c r="F5" s="510" t="s">
        <v>183</v>
      </c>
      <c r="G5" s="510"/>
      <c r="H5" s="510"/>
      <c r="I5" s="511"/>
      <c r="J5" s="459" t="s">
        <v>186</v>
      </c>
      <c r="K5" s="459" t="s">
        <v>187</v>
      </c>
      <c r="L5" s="497" t="s">
        <v>162</v>
      </c>
      <c r="M5" s="455" t="s">
        <v>54</v>
      </c>
    </row>
    <row r="6" spans="3:13" ht="14.25" customHeight="1" thickBot="1">
      <c r="C6" s="519"/>
      <c r="D6" s="504"/>
      <c r="E6" s="522"/>
      <c r="F6" s="430" t="s">
        <v>184</v>
      </c>
      <c r="G6" s="410" t="s">
        <v>185</v>
      </c>
      <c r="H6" s="410" t="s">
        <v>193</v>
      </c>
      <c r="I6" s="410" t="s">
        <v>194</v>
      </c>
      <c r="J6" s="513"/>
      <c r="K6" s="513"/>
      <c r="L6" s="517"/>
      <c r="M6" s="512"/>
    </row>
    <row r="7" spans="3:13" ht="16.5">
      <c r="C7" s="439" t="s">
        <v>133</v>
      </c>
      <c r="D7" s="417">
        <v>0.79166666666666663</v>
      </c>
      <c r="E7" s="440" t="s">
        <v>191</v>
      </c>
      <c r="F7" s="432">
        <v>13300</v>
      </c>
      <c r="G7" s="418">
        <v>9500</v>
      </c>
      <c r="H7" s="418">
        <v>2000</v>
      </c>
      <c r="I7" s="418">
        <v>5000</v>
      </c>
      <c r="J7" s="418">
        <v>8900</v>
      </c>
      <c r="K7" s="418"/>
      <c r="L7" s="418">
        <v>-7300</v>
      </c>
      <c r="M7" s="224">
        <f>SUM(F7:L7)</f>
        <v>31400</v>
      </c>
    </row>
    <row r="8" spans="3:13" ht="16.5">
      <c r="C8" s="441" t="s">
        <v>142</v>
      </c>
      <c r="D8" s="415">
        <v>0.79166666666666663</v>
      </c>
      <c r="E8" s="442" t="s">
        <v>191</v>
      </c>
      <c r="F8" s="433">
        <v>13300</v>
      </c>
      <c r="G8" s="19">
        <v>9500</v>
      </c>
      <c r="H8" s="19">
        <v>2000</v>
      </c>
      <c r="I8" s="19">
        <v>5000</v>
      </c>
      <c r="J8" s="19">
        <v>8900</v>
      </c>
      <c r="K8" s="19"/>
      <c r="L8" s="19">
        <v>-7300</v>
      </c>
      <c r="M8" s="16">
        <f>SUM(F8:L8)</f>
        <v>31400</v>
      </c>
    </row>
    <row r="9" spans="3:13" ht="16.5">
      <c r="C9" s="441" t="s">
        <v>147</v>
      </c>
      <c r="D9" s="415">
        <v>0.80555555555555547</v>
      </c>
      <c r="E9" s="442" t="s">
        <v>191</v>
      </c>
      <c r="F9" s="433">
        <v>13300</v>
      </c>
      <c r="G9" s="19">
        <v>9500</v>
      </c>
      <c r="H9" s="19">
        <v>2000</v>
      </c>
      <c r="I9" s="19">
        <v>5000</v>
      </c>
      <c r="J9" s="19">
        <v>8900</v>
      </c>
      <c r="K9" s="19"/>
      <c r="L9" s="19">
        <v>-7300</v>
      </c>
      <c r="M9" s="16">
        <f t="shared" ref="M9:M19" si="0">SUM(F9:L9)</f>
        <v>31400</v>
      </c>
    </row>
    <row r="10" spans="3:13" ht="16.5">
      <c r="C10" s="441" t="s">
        <v>141</v>
      </c>
      <c r="D10" s="415">
        <v>0.80555555555555547</v>
      </c>
      <c r="E10" s="442" t="s">
        <v>182</v>
      </c>
      <c r="F10" s="433">
        <v>13300</v>
      </c>
      <c r="G10" s="19">
        <v>9500</v>
      </c>
      <c r="H10" s="19"/>
      <c r="I10" s="19"/>
      <c r="J10" s="19"/>
      <c r="K10" s="19"/>
      <c r="L10" s="19">
        <v>-7300</v>
      </c>
      <c r="M10" s="16">
        <f t="shared" si="0"/>
        <v>15500</v>
      </c>
    </row>
    <row r="11" spans="3:13" ht="16.5">
      <c r="C11" s="441" t="s">
        <v>144</v>
      </c>
      <c r="D11" s="415">
        <v>0.80555555555555547</v>
      </c>
      <c r="E11" s="442">
        <v>0.97916666666666663</v>
      </c>
      <c r="F11" s="433">
        <v>13300</v>
      </c>
      <c r="G11" s="19">
        <v>9500</v>
      </c>
      <c r="H11" s="19">
        <v>1000</v>
      </c>
      <c r="I11" s="19"/>
      <c r="J11" s="19"/>
      <c r="K11" s="19"/>
      <c r="L11" s="19">
        <v>-7300</v>
      </c>
      <c r="M11" s="16">
        <f t="shared" si="0"/>
        <v>16500</v>
      </c>
    </row>
    <row r="12" spans="3:13" ht="16.5">
      <c r="C12" s="441" t="s">
        <v>149</v>
      </c>
      <c r="D12" s="415">
        <v>0.8125</v>
      </c>
      <c r="E12" s="442">
        <v>0.95138888888888884</v>
      </c>
      <c r="F12" s="433">
        <v>13300</v>
      </c>
      <c r="G12" s="19">
        <v>9500</v>
      </c>
      <c r="H12" s="19"/>
      <c r="I12" s="19"/>
      <c r="J12" s="19"/>
      <c r="K12" s="19"/>
      <c r="L12" s="19">
        <v>-7300</v>
      </c>
      <c r="M12" s="16">
        <f t="shared" si="0"/>
        <v>15500</v>
      </c>
    </row>
    <row r="13" spans="3:13" ht="16.5">
      <c r="C13" s="443" t="s">
        <v>181</v>
      </c>
      <c r="D13" s="419">
        <v>0.82291666666666663</v>
      </c>
      <c r="E13" s="444">
        <v>0.97916666666666663</v>
      </c>
      <c r="F13" s="434">
        <v>13300</v>
      </c>
      <c r="G13" s="420">
        <v>9500</v>
      </c>
      <c r="H13" s="420">
        <v>2000</v>
      </c>
      <c r="I13" s="420"/>
      <c r="J13" s="420"/>
      <c r="K13" s="420"/>
      <c r="L13" s="420">
        <v>-7300</v>
      </c>
      <c r="M13" s="16">
        <f t="shared" si="0"/>
        <v>17500</v>
      </c>
    </row>
    <row r="14" spans="3:13" ht="16.5">
      <c r="C14" s="445" t="s">
        <v>135</v>
      </c>
      <c r="D14" s="422" t="s">
        <v>188</v>
      </c>
      <c r="E14" s="446" t="s">
        <v>191</v>
      </c>
      <c r="F14" s="435">
        <v>5600</v>
      </c>
      <c r="G14" s="423">
        <v>9500</v>
      </c>
      <c r="H14" s="423">
        <v>2000</v>
      </c>
      <c r="I14" s="423">
        <v>5000</v>
      </c>
      <c r="J14" s="423">
        <v>8900</v>
      </c>
      <c r="K14" s="423"/>
      <c r="L14" s="423">
        <v>-7300</v>
      </c>
      <c r="M14" s="421">
        <f t="shared" si="0"/>
        <v>23700</v>
      </c>
    </row>
    <row r="15" spans="3:13" ht="16.5">
      <c r="C15" s="447" t="s">
        <v>152</v>
      </c>
      <c r="D15" s="424" t="s">
        <v>189</v>
      </c>
      <c r="E15" s="448" t="s">
        <v>192</v>
      </c>
      <c r="F15" s="436">
        <v>2800</v>
      </c>
      <c r="G15" s="425">
        <v>9500</v>
      </c>
      <c r="H15" s="425">
        <v>2000</v>
      </c>
      <c r="I15" s="425">
        <v>5000</v>
      </c>
      <c r="J15" s="425">
        <v>8900</v>
      </c>
      <c r="K15" s="425">
        <v>16600</v>
      </c>
      <c r="L15" s="425">
        <v>-7300</v>
      </c>
      <c r="M15" s="421">
        <f t="shared" si="0"/>
        <v>37500</v>
      </c>
    </row>
    <row r="16" spans="3:13" ht="16.5">
      <c r="C16" s="449" t="s">
        <v>129</v>
      </c>
      <c r="D16" s="426">
        <v>0.85416666666666663</v>
      </c>
      <c r="E16" s="450" t="s">
        <v>192</v>
      </c>
      <c r="F16" s="437">
        <v>200</v>
      </c>
      <c r="G16" s="427">
        <v>9500</v>
      </c>
      <c r="H16" s="427">
        <v>2000</v>
      </c>
      <c r="I16" s="427">
        <v>5000</v>
      </c>
      <c r="J16" s="427">
        <v>9000</v>
      </c>
      <c r="K16" s="427">
        <v>16500</v>
      </c>
      <c r="L16" s="427">
        <v>-7300</v>
      </c>
      <c r="M16" s="421">
        <f t="shared" si="0"/>
        <v>34900</v>
      </c>
    </row>
    <row r="17" spans="3:13" ht="16.5">
      <c r="C17" s="451" t="s">
        <v>154</v>
      </c>
      <c r="D17" s="428" t="s">
        <v>190</v>
      </c>
      <c r="E17" s="452">
        <v>0.95833333333333337</v>
      </c>
      <c r="F17" s="438"/>
      <c r="G17" s="41">
        <v>7500</v>
      </c>
      <c r="H17" s="41"/>
      <c r="I17" s="41"/>
      <c r="J17" s="41"/>
      <c r="K17" s="41"/>
      <c r="L17" s="41">
        <v>-7500</v>
      </c>
      <c r="M17" s="431">
        <f t="shared" si="0"/>
        <v>0</v>
      </c>
    </row>
    <row r="18" spans="3:13" ht="16.5">
      <c r="C18" s="451" t="s">
        <v>172</v>
      </c>
      <c r="D18" s="429" t="s">
        <v>190</v>
      </c>
      <c r="E18" s="453">
        <v>0.99305555555555547</v>
      </c>
      <c r="F18" s="438"/>
      <c r="G18" s="41">
        <v>7500</v>
      </c>
      <c r="H18" s="41">
        <v>2000</v>
      </c>
      <c r="I18" s="41"/>
      <c r="J18" s="41"/>
      <c r="K18" s="41"/>
      <c r="L18" s="41">
        <v>-7500</v>
      </c>
      <c r="M18" s="431">
        <f t="shared" si="0"/>
        <v>2000</v>
      </c>
    </row>
    <row r="19" spans="3:13" ht="16.5">
      <c r="C19" s="451" t="s">
        <v>155</v>
      </c>
      <c r="D19" s="416">
        <v>0.875</v>
      </c>
      <c r="E19" s="454">
        <v>0.97916666666666663</v>
      </c>
      <c r="F19" s="438"/>
      <c r="G19" s="41">
        <v>8400</v>
      </c>
      <c r="H19" s="41">
        <v>1000</v>
      </c>
      <c r="I19" s="41"/>
      <c r="J19" s="41"/>
      <c r="K19" s="41"/>
      <c r="L19" s="41"/>
      <c r="M19" s="431">
        <f t="shared" si="0"/>
        <v>9400</v>
      </c>
    </row>
    <row r="20" spans="3:13" ht="17.25" thickBot="1">
      <c r="C20" s="514" t="s">
        <v>54</v>
      </c>
      <c r="D20" s="515"/>
      <c r="E20" s="516"/>
      <c r="F20" s="183">
        <f>SUM(F7:F19)</f>
        <v>101700</v>
      </c>
      <c r="G20" s="66">
        <f t="shared" ref="G20:L20" si="1">SUM(G7:G19)</f>
        <v>118400</v>
      </c>
      <c r="H20" s="66">
        <f t="shared" si="1"/>
        <v>18000</v>
      </c>
      <c r="I20" s="66">
        <f t="shared" si="1"/>
        <v>30000</v>
      </c>
      <c r="J20" s="66">
        <f t="shared" ref="J20" si="2">SUM(J7:J19)</f>
        <v>53500</v>
      </c>
      <c r="K20" s="66">
        <v>23000</v>
      </c>
      <c r="L20" s="66">
        <f t="shared" si="1"/>
        <v>-88000</v>
      </c>
      <c r="M20" s="250">
        <f>SUM(F20:L20)</f>
        <v>256600</v>
      </c>
    </row>
    <row r="21" spans="3:13">
      <c r="F21" s="368"/>
    </row>
    <row r="22" spans="3:13">
      <c r="G22" s="283"/>
    </row>
  </sheetData>
  <mergeCells count="9">
    <mergeCell ref="F5:I5"/>
    <mergeCell ref="M5:M6"/>
    <mergeCell ref="J5:J6"/>
    <mergeCell ref="C20:E20"/>
    <mergeCell ref="K5:K6"/>
    <mergeCell ref="L5:L6"/>
    <mergeCell ref="C5:C6"/>
    <mergeCell ref="D5:D6"/>
    <mergeCell ref="E5:E6"/>
  </mergeCells>
  <phoneticPr fontId="7" type="noConversion"/>
  <pageMargins left="0.7" right="0.7" top="0.75" bottom="0.75" header="0.3" footer="0.3"/>
  <pageSetup paperSize="9" orientation="portrait" r:id="rId1"/>
  <ignoredErrors>
    <ignoredError sqref="M11:M13 M17:M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23.01.07 신년회</vt:lpstr>
      <vt:lpstr>23.01.13 오티</vt:lpstr>
      <vt:lpstr>23.01.27 보드게임</vt:lpstr>
      <vt:lpstr>23.02.04 볼링</vt:lpstr>
      <vt:lpstr>23.02.10 베이킹</vt:lpstr>
      <vt:lpstr>23.03.18 한강</vt:lpstr>
      <vt:lpstr>23.03.24 오티</vt:lpstr>
      <vt:lpstr>23.03.31 보드게임</vt:lpstr>
      <vt:lpstr>23.04.04 회장생일</vt:lpstr>
      <vt:lpstr>23.04.08 한강</vt:lpstr>
      <vt:lpstr>23.04.14 영화</vt:lpstr>
      <vt:lpstr>23.04.22 볼링</vt:lpstr>
      <vt:lpstr>23.05.06 엠티</vt:lpstr>
      <vt:lpstr>23.06.02 공덕</vt:lpstr>
      <vt:lpstr>23.06.24 건대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HSB</dc:creator>
  <cp:lastModifiedBy>ACL2022_13</cp:lastModifiedBy>
  <cp:revision>52</cp:revision>
  <dcterms:created xsi:type="dcterms:W3CDTF">2023-01-09T00:35:26Z</dcterms:created>
  <dcterms:modified xsi:type="dcterms:W3CDTF">2023-07-13T09:10:24Z</dcterms:modified>
  <cp:version>0906.0100.01</cp:version>
</cp:coreProperties>
</file>